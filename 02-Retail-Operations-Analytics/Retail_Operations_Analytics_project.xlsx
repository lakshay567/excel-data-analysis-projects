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kshay Parashar\OneDrive\Desktop\DUCAT PROJECT\"/>
    </mc:Choice>
  </mc:AlternateContent>
  <xr:revisionPtr revIDLastSave="0" documentId="13_ncr:1_{C96166AC-18C6-424B-8B1D-60FDF5DAEA5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ders_Data" sheetId="1" r:id="rId1"/>
    <sheet name="Inventory_Data" sheetId="2" r:id="rId2"/>
    <sheet name="Order Dashboard" sheetId="3" r:id="rId3"/>
    <sheet name="Inventory Dashboard" sheetId="5" r:id="rId4"/>
    <sheet name="Sheet2" sheetId="4" state="hidden" r:id="rId5"/>
  </sheets>
  <calcPr calcId="191029"/>
  <pivotCaches>
    <pivotCache cacheId="13" r:id="rId6"/>
    <pivotCache cacheId="2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4" l="1"/>
  <c r="M37" i="4"/>
  <c r="M38" i="4"/>
  <c r="M35" i="4"/>
  <c r="L36" i="4"/>
  <c r="L37" i="4"/>
  <c r="L38" i="4"/>
  <c r="L35" i="4"/>
  <c r="P36" i="4" a="1"/>
  <c r="P36" i="4" s="1"/>
  <c r="Q36" i="4" s="1"/>
  <c r="T34" i="4" a="1"/>
  <c r="T34" i="4" s="1"/>
  <c r="U34" i="4" s="1"/>
  <c r="W26" i="4"/>
  <c r="W27" i="4"/>
  <c r="W28" i="4"/>
  <c r="W25" i="4"/>
  <c r="T27" i="4"/>
  <c r="T25" i="4"/>
  <c r="T26" i="4"/>
  <c r="S25" i="4" a="1"/>
  <c r="S25" i="4" s="1"/>
  <c r="Q11" i="4"/>
  <c r="Q10" i="4"/>
  <c r="Q9" i="4"/>
  <c r="Q8" i="4"/>
  <c r="D23" i="4"/>
  <c r="D24" i="4"/>
  <c r="D22" i="4"/>
  <c r="D28" i="4"/>
  <c r="D27" i="4"/>
  <c r="C22" i="4" a="1"/>
  <c r="C22" i="4" s="1"/>
  <c r="L22" i="4" a="1"/>
  <c r="L22" i="4" s="1"/>
  <c r="N22" i="4" s="1"/>
  <c r="N23" i="4"/>
  <c r="N24" i="4"/>
  <c r="N25" i="4"/>
  <c r="N26" i="4"/>
  <c r="N27" i="4"/>
  <c r="K22" i="4" a="1"/>
  <c r="K22" i="4" s="1"/>
  <c r="U37" i="4" l="1"/>
  <c r="U35" i="4"/>
  <c r="U49" i="4"/>
  <c r="U36" i="4"/>
  <c r="U48" i="4"/>
  <c r="Q39" i="4"/>
  <c r="U39" i="4"/>
  <c r="U38" i="4"/>
  <c r="U47" i="4"/>
  <c r="Q38" i="4"/>
  <c r="U46" i="4"/>
  <c r="Q37" i="4"/>
  <c r="U45" i="4"/>
  <c r="U44" i="4"/>
  <c r="U43" i="4"/>
  <c r="U42" i="4"/>
  <c r="U41" i="4"/>
  <c r="U40" i="4"/>
  <c r="F11" i="4"/>
  <c r="F10" i="4"/>
  <c r="F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<sst xmlns="http://schemas.openxmlformats.org/spreadsheetml/2006/main" count="21715" uniqueCount="1819">
  <si>
    <t>Order_ID</t>
  </si>
  <si>
    <t>Order_Date</t>
  </si>
  <si>
    <t>Customer_ID</t>
  </si>
  <si>
    <t>Customer_Name</t>
  </si>
  <si>
    <t>City</t>
  </si>
  <si>
    <t>State</t>
  </si>
  <si>
    <t>Region</t>
  </si>
  <si>
    <t>Product_ID</t>
  </si>
  <si>
    <t>Product_Name</t>
  </si>
  <si>
    <t>Category</t>
  </si>
  <si>
    <t>Sub_Category</t>
  </si>
  <si>
    <t>Quantity</t>
  </si>
  <si>
    <t>Unit_Price</t>
  </si>
  <si>
    <t>Discount_%</t>
  </si>
  <si>
    <t>Sales_Amount</t>
  </si>
  <si>
    <t>Cost_Price</t>
  </si>
  <si>
    <t>Profit</t>
  </si>
  <si>
    <t>Payment_Mode</t>
  </si>
  <si>
    <t>Sales_Channel</t>
  </si>
  <si>
    <t>Delivery_Status</t>
  </si>
  <si>
    <t>Customer_Rating</t>
  </si>
  <si>
    <t>Return_Status</t>
  </si>
  <si>
    <t>ORD0001</t>
  </si>
  <si>
    <t>C1087</t>
  </si>
  <si>
    <t>Karan</t>
  </si>
  <si>
    <t>Pune</t>
  </si>
  <si>
    <t>Maharashtra</t>
  </si>
  <si>
    <t>West</t>
  </si>
  <si>
    <t>P025</t>
  </si>
  <si>
    <t>Shoes 25</t>
  </si>
  <si>
    <t>Fashion</t>
  </si>
  <si>
    <t>Shoes</t>
  </si>
  <si>
    <t>Card</t>
  </si>
  <si>
    <t>Offline</t>
  </si>
  <si>
    <t>Delivered</t>
  </si>
  <si>
    <t>No</t>
  </si>
  <si>
    <t>ORD0002</t>
  </si>
  <si>
    <t>C1189</t>
  </si>
  <si>
    <t>Aman</t>
  </si>
  <si>
    <t>Chennai</t>
  </si>
  <si>
    <t>Tamil Nadu</t>
  </si>
  <si>
    <t>South</t>
  </si>
  <si>
    <t>P048</t>
  </si>
  <si>
    <t>Shoes 48</t>
  </si>
  <si>
    <t>UPI</t>
  </si>
  <si>
    <t>Yes</t>
  </si>
  <si>
    <t>ORD0003</t>
  </si>
  <si>
    <t>C1196</t>
  </si>
  <si>
    <t>Lakshay</t>
  </si>
  <si>
    <t>Jaipur</t>
  </si>
  <si>
    <t>Rajasthan</t>
  </si>
  <si>
    <t>North</t>
  </si>
  <si>
    <t>P019</t>
  </si>
  <si>
    <t>Laptop 19</t>
  </si>
  <si>
    <t>Electronics</t>
  </si>
  <si>
    <t>Laptop</t>
  </si>
  <si>
    <t>ORD0004</t>
  </si>
  <si>
    <t>C1242</t>
  </si>
  <si>
    <t>Sneha</t>
  </si>
  <si>
    <t>Kolkata</t>
  </si>
  <si>
    <t>West Bengal</t>
  </si>
  <si>
    <t>East</t>
  </si>
  <si>
    <t>P007</t>
  </si>
  <si>
    <t>Laptop 7</t>
  </si>
  <si>
    <t>Cash</t>
  </si>
  <si>
    <t>Cancelled</t>
  </si>
  <si>
    <t>ORD0005</t>
  </si>
  <si>
    <t>C1251</t>
  </si>
  <si>
    <t>Anjali</t>
  </si>
  <si>
    <t>P064</t>
  </si>
  <si>
    <t>Table 64</t>
  </si>
  <si>
    <t>Furniture</t>
  </si>
  <si>
    <t>Table</t>
  </si>
  <si>
    <t>Pending</t>
  </si>
  <si>
    <t>ORD0006</t>
  </si>
  <si>
    <t>C1277</t>
  </si>
  <si>
    <t>Neha</t>
  </si>
  <si>
    <t>Bengaluru</t>
  </si>
  <si>
    <t>Karnataka</t>
  </si>
  <si>
    <t>P045</t>
  </si>
  <si>
    <t>Chair 45</t>
  </si>
  <si>
    <t>Chair</t>
  </si>
  <si>
    <t>Online</t>
  </si>
  <si>
    <t>ORD0007</t>
  </si>
  <si>
    <t>C1185</t>
  </si>
  <si>
    <t>P083</t>
  </si>
  <si>
    <t>Table 83</t>
  </si>
  <si>
    <t>ORD0008</t>
  </si>
  <si>
    <t>C1105</t>
  </si>
  <si>
    <t>Vikas</t>
  </si>
  <si>
    <t>P099</t>
  </si>
  <si>
    <t>Chair 99</t>
  </si>
  <si>
    <t>ORD0009</t>
  </si>
  <si>
    <t>C1179</t>
  </si>
  <si>
    <t>Mumbai</t>
  </si>
  <si>
    <t>P023</t>
  </si>
  <si>
    <t>Mobile 23</t>
  </si>
  <si>
    <t>Mobile</t>
  </si>
  <si>
    <t>ORD0010</t>
  </si>
  <si>
    <t>C1235</t>
  </si>
  <si>
    <t>P073</t>
  </si>
  <si>
    <t>Mixer 73</t>
  </si>
  <si>
    <t>Home</t>
  </si>
  <si>
    <t>Mixer</t>
  </si>
  <si>
    <t>ORD0011</t>
  </si>
  <si>
    <t>C1081</t>
  </si>
  <si>
    <t>P008</t>
  </si>
  <si>
    <t>Shoes 8</t>
  </si>
  <si>
    <t>ORD0012</t>
  </si>
  <si>
    <t>C1219</t>
  </si>
  <si>
    <t>Priya</t>
  </si>
  <si>
    <t>ORD0013</t>
  </si>
  <si>
    <t>C1114</t>
  </si>
  <si>
    <t>P076</t>
  </si>
  <si>
    <t>Mixer 76</t>
  </si>
  <si>
    <t>ORD0014</t>
  </si>
  <si>
    <t>C1169</t>
  </si>
  <si>
    <t>Rohit</t>
  </si>
  <si>
    <t>P086</t>
  </si>
  <si>
    <t>Mobile 86</t>
  </si>
  <si>
    <t>ORD0015</t>
  </si>
  <si>
    <t>C1049</t>
  </si>
  <si>
    <t>P017</t>
  </si>
  <si>
    <t>Shoes 17</t>
  </si>
  <si>
    <t>ORD0016</t>
  </si>
  <si>
    <t>C1078</t>
  </si>
  <si>
    <t>Delhi</t>
  </si>
  <si>
    <t>P074</t>
  </si>
  <si>
    <t>Mixer 74</t>
  </si>
  <si>
    <t>ORD0017</t>
  </si>
  <si>
    <t>C1261</t>
  </si>
  <si>
    <t>P044</t>
  </si>
  <si>
    <t>Chair 44</t>
  </si>
  <si>
    <t>ORD0018</t>
  </si>
  <si>
    <t>C1263</t>
  </si>
  <si>
    <t>P036</t>
  </si>
  <si>
    <t>Shoes 36</t>
  </si>
  <si>
    <t>ORD0019</t>
  </si>
  <si>
    <t>C1224</t>
  </si>
  <si>
    <t>ORD0020</t>
  </si>
  <si>
    <t>C1148</t>
  </si>
  <si>
    <t>P096</t>
  </si>
  <si>
    <t>Chair 96</t>
  </si>
  <si>
    <t>ORD0021</t>
  </si>
  <si>
    <t>C1204</t>
  </si>
  <si>
    <t>ORD0022</t>
  </si>
  <si>
    <t>ORD0023</t>
  </si>
  <si>
    <t>P040</t>
  </si>
  <si>
    <t>Chair 40</t>
  </si>
  <si>
    <t>ORD0024</t>
  </si>
  <si>
    <t>C1109</t>
  </si>
  <si>
    <t>Rahul</t>
  </si>
  <si>
    <t>P058</t>
  </si>
  <si>
    <t>Mobile 58</t>
  </si>
  <si>
    <t>ORD0025</t>
  </si>
  <si>
    <t>C1216</t>
  </si>
  <si>
    <t>P056</t>
  </si>
  <si>
    <t>Shoes 56</t>
  </si>
  <si>
    <t>ORD0026</t>
  </si>
  <si>
    <t>C1175</t>
  </si>
  <si>
    <t>P003</t>
  </si>
  <si>
    <t>Mixer 3</t>
  </si>
  <si>
    <t>ORD0027</t>
  </si>
  <si>
    <t>C1217</t>
  </si>
  <si>
    <t>P067</t>
  </si>
  <si>
    <t>Mixer 67</t>
  </si>
  <si>
    <t>ORD0028</t>
  </si>
  <si>
    <t>C1066</t>
  </si>
  <si>
    <t>P054</t>
  </si>
  <si>
    <t>Mixer 54</t>
  </si>
  <si>
    <t>ORD0029</t>
  </si>
  <si>
    <t>C1178</t>
  </si>
  <si>
    <t>P006</t>
  </si>
  <si>
    <t>Mobile 6</t>
  </si>
  <si>
    <t>ORD0030</t>
  </si>
  <si>
    <t>C1198</t>
  </si>
  <si>
    <t>P068</t>
  </si>
  <si>
    <t>Mobile 68</t>
  </si>
  <si>
    <t>ORD0031</t>
  </si>
  <si>
    <t>C1135</t>
  </si>
  <si>
    <t>P002</t>
  </si>
  <si>
    <t>Laptop 2</t>
  </si>
  <si>
    <t>ORD0032</t>
  </si>
  <si>
    <t>C1160</t>
  </si>
  <si>
    <t>P014</t>
  </si>
  <si>
    <t>Mixer 14</t>
  </si>
  <si>
    <t>ORD0033</t>
  </si>
  <si>
    <t>C1203</t>
  </si>
  <si>
    <t>ORD0034</t>
  </si>
  <si>
    <t>P029</t>
  </si>
  <si>
    <t>Mixer 29</t>
  </si>
  <si>
    <t>ORD0035</t>
  </si>
  <si>
    <t>C1228</t>
  </si>
  <si>
    <t>P042</t>
  </si>
  <si>
    <t>Table 42</t>
  </si>
  <si>
    <t>ORD0036</t>
  </si>
  <si>
    <t>C1136</t>
  </si>
  <si>
    <t>P063</t>
  </si>
  <si>
    <t>Shoes 63</t>
  </si>
  <si>
    <t>ORD0037</t>
  </si>
  <si>
    <t>C1071</t>
  </si>
  <si>
    <t>ORD0038</t>
  </si>
  <si>
    <t>C1265</t>
  </si>
  <si>
    <t>P034</t>
  </si>
  <si>
    <t>Chair 34</t>
  </si>
  <si>
    <t>ORD0039</t>
  </si>
  <si>
    <t>P001</t>
  </si>
  <si>
    <t>Shoes 1</t>
  </si>
  <si>
    <t>ORD0040</t>
  </si>
  <si>
    <t>C1293</t>
  </si>
  <si>
    <t>P004</t>
  </si>
  <si>
    <t>Mixer 4</t>
  </si>
  <si>
    <t>ORD0041</t>
  </si>
  <si>
    <t>P082</t>
  </si>
  <si>
    <t>Mobile 82</t>
  </si>
  <si>
    <t>ORD0042</t>
  </si>
  <si>
    <t>C1064</t>
  </si>
  <si>
    <t>P071</t>
  </si>
  <si>
    <t>Mobile 71</t>
  </si>
  <si>
    <t>ORD0043</t>
  </si>
  <si>
    <t>C1001</t>
  </si>
  <si>
    <t>ORD0044</t>
  </si>
  <si>
    <t>ORD0045</t>
  </si>
  <si>
    <t>C1174</t>
  </si>
  <si>
    <t>P062</t>
  </si>
  <si>
    <t>Mixer 62</t>
  </si>
  <si>
    <t>ORD0046</t>
  </si>
  <si>
    <t>ORD0047</t>
  </si>
  <si>
    <t>C1172</t>
  </si>
  <si>
    <t>ORD0048</t>
  </si>
  <si>
    <t>C1024</t>
  </si>
  <si>
    <t>P095</t>
  </si>
  <si>
    <t>Mobile 95</t>
  </si>
  <si>
    <t>ORD0049</t>
  </si>
  <si>
    <t>P033</t>
  </si>
  <si>
    <t>Mixer 33</t>
  </si>
  <si>
    <t>ORD0050</t>
  </si>
  <si>
    <t>C1205</t>
  </si>
  <si>
    <t>P069</t>
  </si>
  <si>
    <t>Chair 69</t>
  </si>
  <si>
    <t>ORD0051</t>
  </si>
  <si>
    <t>P052</t>
  </si>
  <si>
    <t>Laptop 52</t>
  </si>
  <si>
    <t>ORD0052</t>
  </si>
  <si>
    <t>C1243</t>
  </si>
  <si>
    <t>P043</t>
  </si>
  <si>
    <t>Mobile 43</t>
  </si>
  <si>
    <t>ORD0053</t>
  </si>
  <si>
    <t>C1106</t>
  </si>
  <si>
    <t>ORD0054</t>
  </si>
  <si>
    <t>C1197</t>
  </si>
  <si>
    <t>ORD0055</t>
  </si>
  <si>
    <t>C1267</t>
  </si>
  <si>
    <t>P018</t>
  </si>
  <si>
    <t>Laptop 18</t>
  </si>
  <si>
    <t>ORD0056</t>
  </si>
  <si>
    <t>C1040</t>
  </si>
  <si>
    <t>P032</t>
  </si>
  <si>
    <t>Chair 32</t>
  </si>
  <si>
    <t>ORD0057</t>
  </si>
  <si>
    <t>C1112</t>
  </si>
  <si>
    <t>P030</t>
  </si>
  <si>
    <t>Mixer 30</t>
  </si>
  <si>
    <t>ORD0058</t>
  </si>
  <si>
    <t>C1276</t>
  </si>
  <si>
    <t>P050</t>
  </si>
  <si>
    <t>Chair 50</t>
  </si>
  <si>
    <t>ORD0059</t>
  </si>
  <si>
    <t>C1211</t>
  </si>
  <si>
    <t>P031</t>
  </si>
  <si>
    <t>Table 31</t>
  </si>
  <si>
    <t>ORD0060</t>
  </si>
  <si>
    <t>C1076</t>
  </si>
  <si>
    <t>ORD0061</t>
  </si>
  <si>
    <t>C1017</t>
  </si>
  <si>
    <t>ORD0062</t>
  </si>
  <si>
    <t>C1253</t>
  </si>
  <si>
    <t>P085</t>
  </si>
  <si>
    <t>Chair 85</t>
  </si>
  <si>
    <t>ORD0063</t>
  </si>
  <si>
    <t>C1281</t>
  </si>
  <si>
    <t>P051</t>
  </si>
  <si>
    <t>Shoes 51</t>
  </si>
  <si>
    <t>ORD0064</t>
  </si>
  <si>
    <t>P053</t>
  </si>
  <si>
    <t>Laptop 53</t>
  </si>
  <si>
    <t>ORD0065</t>
  </si>
  <si>
    <t>C1092</t>
  </si>
  <si>
    <t>ORD0066</t>
  </si>
  <si>
    <t>C1023</t>
  </si>
  <si>
    <t>ORD0067</t>
  </si>
  <si>
    <t>ORD0068</t>
  </si>
  <si>
    <t>C1133</t>
  </si>
  <si>
    <t>ORD0069</t>
  </si>
  <si>
    <t>C1104</t>
  </si>
  <si>
    <t>P080</t>
  </si>
  <si>
    <t>Shoes 80</t>
  </si>
  <si>
    <t>ORD0070</t>
  </si>
  <si>
    <t>C1207</t>
  </si>
  <si>
    <t>P094</t>
  </si>
  <si>
    <t>Table 94</t>
  </si>
  <si>
    <t>ORD0071</t>
  </si>
  <si>
    <t>C1094</t>
  </si>
  <si>
    <t>ORD0072</t>
  </si>
  <si>
    <t>C1149</t>
  </si>
  <si>
    <t>ORD0073</t>
  </si>
  <si>
    <t>P055</t>
  </si>
  <si>
    <t>Chair 55</t>
  </si>
  <si>
    <t>ORD0074</t>
  </si>
  <si>
    <t>C1237</t>
  </si>
  <si>
    <t>ORD0075</t>
  </si>
  <si>
    <t>C1131</t>
  </si>
  <si>
    <t>P065</t>
  </si>
  <si>
    <t>Mobile 65</t>
  </si>
  <si>
    <t>ORD0076</t>
  </si>
  <si>
    <t>C1221</t>
  </si>
  <si>
    <t>P024</t>
  </si>
  <si>
    <t>Laptop 24</t>
  </si>
  <si>
    <t>ORD0077</t>
  </si>
  <si>
    <t>C1285</t>
  </si>
  <si>
    <t>ORD0078</t>
  </si>
  <si>
    <t>C1080</t>
  </si>
  <si>
    <t>ORD0079</t>
  </si>
  <si>
    <t>C1100</t>
  </si>
  <si>
    <t>P009</t>
  </si>
  <si>
    <t>Laptop 9</t>
  </si>
  <si>
    <t>ORD0080</t>
  </si>
  <si>
    <t>C1188</t>
  </si>
  <si>
    <t>ORD0081</t>
  </si>
  <si>
    <t>ORD0082</t>
  </si>
  <si>
    <t>C1016</t>
  </si>
  <si>
    <t>ORD0083</t>
  </si>
  <si>
    <t>C1127</t>
  </si>
  <si>
    <t>ORD0084</t>
  </si>
  <si>
    <t>P041</t>
  </si>
  <si>
    <t>Table 41</t>
  </si>
  <si>
    <t>ORD0085</t>
  </si>
  <si>
    <t>C1115</t>
  </si>
  <si>
    <t>P098</t>
  </si>
  <si>
    <t>Mobile 98</t>
  </si>
  <si>
    <t>ORD0086</t>
  </si>
  <si>
    <t>C1055</t>
  </si>
  <si>
    <t>P038</t>
  </si>
  <si>
    <t>Mobile 38</t>
  </si>
  <si>
    <t>ORD0087</t>
  </si>
  <si>
    <t>C1041</t>
  </si>
  <si>
    <t>ORD0088</t>
  </si>
  <si>
    <t>C1007</t>
  </si>
  <si>
    <t>ORD0089</t>
  </si>
  <si>
    <t>C1054</t>
  </si>
  <si>
    <t>ORD0090</t>
  </si>
  <si>
    <t>C1249</t>
  </si>
  <si>
    <t>ORD0091</t>
  </si>
  <si>
    <t>C1086</t>
  </si>
  <si>
    <t>ORD0092</t>
  </si>
  <si>
    <t>C1191</t>
  </si>
  <si>
    <t>ORD0093</t>
  </si>
  <si>
    <t>C1192</t>
  </si>
  <si>
    <t>P060</t>
  </si>
  <si>
    <t>Mixer 60</t>
  </si>
  <si>
    <t>ORD0094</t>
  </si>
  <si>
    <t>ORD0095</t>
  </si>
  <si>
    <t>C1082</t>
  </si>
  <si>
    <t>P092</t>
  </si>
  <si>
    <t>Laptop 92</t>
  </si>
  <si>
    <t>ORD0096</t>
  </si>
  <si>
    <t>C1268</t>
  </si>
  <si>
    <t>P012</t>
  </si>
  <si>
    <t>Table 12</t>
  </si>
  <si>
    <t>ORD0097</t>
  </si>
  <si>
    <t>C1264</t>
  </si>
  <si>
    <t>P035</t>
  </si>
  <si>
    <t>Table 35</t>
  </si>
  <si>
    <t>ORD0098</t>
  </si>
  <si>
    <t>P089</t>
  </si>
  <si>
    <t>Laptop 89</t>
  </si>
  <si>
    <t>ORD0099</t>
  </si>
  <si>
    <t>C1262</t>
  </si>
  <si>
    <t>ORD0100</t>
  </si>
  <si>
    <t>C1004</t>
  </si>
  <si>
    <t>ORD0101</t>
  </si>
  <si>
    <t>C1218</t>
  </si>
  <si>
    <t>ORD0102</t>
  </si>
  <si>
    <t>C1269</t>
  </si>
  <si>
    <t>P037</t>
  </si>
  <si>
    <t>Mixer 37</t>
  </si>
  <si>
    <t>ORD0103</t>
  </si>
  <si>
    <t>P088</t>
  </si>
  <si>
    <t>Mobile 88</t>
  </si>
  <si>
    <t>ORD0104</t>
  </si>
  <si>
    <t>C1139</t>
  </si>
  <si>
    <t>P081</t>
  </si>
  <si>
    <t>Laptop 81</t>
  </si>
  <si>
    <t>ORD0105</t>
  </si>
  <si>
    <t>ORD0106</t>
  </si>
  <si>
    <t>C1072</t>
  </si>
  <si>
    <t>P072</t>
  </si>
  <si>
    <t>Laptop 72</t>
  </si>
  <si>
    <t>ORD0107</t>
  </si>
  <si>
    <t>C1225</t>
  </si>
  <si>
    <t>ORD0108</t>
  </si>
  <si>
    <t>P090</t>
  </si>
  <si>
    <t>Mixer 90</t>
  </si>
  <si>
    <t>ORD0109</t>
  </si>
  <si>
    <t>ORD0110</t>
  </si>
  <si>
    <t>C1272</t>
  </si>
  <si>
    <t>P028</t>
  </si>
  <si>
    <t>Shoes 28</t>
  </si>
  <si>
    <t>ORD0111</t>
  </si>
  <si>
    <t>ORD0112</t>
  </si>
  <si>
    <t>C1002</t>
  </si>
  <si>
    <t>P079</t>
  </si>
  <si>
    <t>Mobile 79</t>
  </si>
  <si>
    <t>ORD0113</t>
  </si>
  <si>
    <t>C1220</t>
  </si>
  <si>
    <t>P093</t>
  </si>
  <si>
    <t>Shoes 93</t>
  </si>
  <si>
    <t>ORD0114</t>
  </si>
  <si>
    <t>C1280</t>
  </si>
  <si>
    <t>ORD0115</t>
  </si>
  <si>
    <t>C1052</t>
  </si>
  <si>
    <t>ORD0116</t>
  </si>
  <si>
    <t>ORD0117</t>
  </si>
  <si>
    <t>C1058</t>
  </si>
  <si>
    <t>ORD0118</t>
  </si>
  <si>
    <t>C1021</t>
  </si>
  <si>
    <t>ORD0119</t>
  </si>
  <si>
    <t>C1167</t>
  </si>
  <si>
    <t>ORD0120</t>
  </si>
  <si>
    <t>C1089</t>
  </si>
  <si>
    <t>ORD0121</t>
  </si>
  <si>
    <t>P057</t>
  </si>
  <si>
    <t>Shoes 57</t>
  </si>
  <si>
    <t>ORD0122</t>
  </si>
  <si>
    <t>C1170</t>
  </si>
  <si>
    <t>ORD0123</t>
  </si>
  <si>
    <t>C1048</t>
  </si>
  <si>
    <t>ORD0124</t>
  </si>
  <si>
    <t>C1202</t>
  </si>
  <si>
    <t>ORD0125</t>
  </si>
  <si>
    <t>P010</t>
  </si>
  <si>
    <t>Shoes 10</t>
  </si>
  <si>
    <t>ORD0126</t>
  </si>
  <si>
    <t>ORD0127</t>
  </si>
  <si>
    <t>C1075</t>
  </si>
  <si>
    <t>ORD0128</t>
  </si>
  <si>
    <t>C1283</t>
  </si>
  <si>
    <t>P047</t>
  </si>
  <si>
    <t>Table 47</t>
  </si>
  <si>
    <t>ORD0129</t>
  </si>
  <si>
    <t>C1144</t>
  </si>
  <si>
    <t>P049</t>
  </si>
  <si>
    <t>Shoes 49</t>
  </si>
  <si>
    <t>ORD0130</t>
  </si>
  <si>
    <t>C1195</t>
  </si>
  <si>
    <t>ORD0131</t>
  </si>
  <si>
    <t>C1030</t>
  </si>
  <si>
    <t>P016</t>
  </si>
  <si>
    <t>Chair 16</t>
  </si>
  <si>
    <t>ORD0132</t>
  </si>
  <si>
    <t>ORD0133</t>
  </si>
  <si>
    <t>P087</t>
  </si>
  <si>
    <t>Table 87</t>
  </si>
  <si>
    <t>ORD0134</t>
  </si>
  <si>
    <t>C1068</t>
  </si>
  <si>
    <t>ORD0135</t>
  </si>
  <si>
    <t>ORD0136</t>
  </si>
  <si>
    <t>ORD0137</t>
  </si>
  <si>
    <t>C1244</t>
  </si>
  <si>
    <t>ORD0138</t>
  </si>
  <si>
    <t>ORD0139</t>
  </si>
  <si>
    <t>C1171</t>
  </si>
  <si>
    <t>ORD0140</t>
  </si>
  <si>
    <t>C1073</t>
  </si>
  <si>
    <t>ORD0141</t>
  </si>
  <si>
    <t>C1085</t>
  </si>
  <si>
    <t>ORD0142</t>
  </si>
  <si>
    <t>C1103</t>
  </si>
  <si>
    <t>ORD0143</t>
  </si>
  <si>
    <t>P077</t>
  </si>
  <si>
    <t>Table 77</t>
  </si>
  <si>
    <t>ORD0144</t>
  </si>
  <si>
    <t>ORD0145</t>
  </si>
  <si>
    <t>C1128</t>
  </si>
  <si>
    <t>ORD0146</t>
  </si>
  <si>
    <t>C1108</t>
  </si>
  <si>
    <t>P005</t>
  </si>
  <si>
    <t>Chair 5</t>
  </si>
  <si>
    <t>ORD0147</t>
  </si>
  <si>
    <t>ORD0148</t>
  </si>
  <si>
    <t>C1266</t>
  </si>
  <si>
    <t>ORD0149</t>
  </si>
  <si>
    <t>C1110</t>
  </si>
  <si>
    <t>ORD0150</t>
  </si>
  <si>
    <t>C1065</t>
  </si>
  <si>
    <t>ORD0151</t>
  </si>
  <si>
    <t>P020</t>
  </si>
  <si>
    <t>Shoes 20</t>
  </si>
  <si>
    <t>ORD0152</t>
  </si>
  <si>
    <t>C1161</t>
  </si>
  <si>
    <t>ORD0153</t>
  </si>
  <si>
    <t>C1241</t>
  </si>
  <si>
    <t>ORD0154</t>
  </si>
  <si>
    <t>ORD0155</t>
  </si>
  <si>
    <t>P011</t>
  </si>
  <si>
    <t>Laptop 11</t>
  </si>
  <si>
    <t>ORD0156</t>
  </si>
  <si>
    <t>C1116</t>
  </si>
  <si>
    <t>ORD0157</t>
  </si>
  <si>
    <t>ORD0158</t>
  </si>
  <si>
    <t>ORD0159</t>
  </si>
  <si>
    <t>ORD0160</t>
  </si>
  <si>
    <t>ORD0161</t>
  </si>
  <si>
    <t>P026</t>
  </si>
  <si>
    <t>Table 26</t>
  </si>
  <si>
    <t>ORD0162</t>
  </si>
  <si>
    <t>C1279</t>
  </si>
  <si>
    <t>ORD0163</t>
  </si>
  <si>
    <t>ORD0164</t>
  </si>
  <si>
    <t>C1250</t>
  </si>
  <si>
    <t>ORD0165</t>
  </si>
  <si>
    <t>ORD0166</t>
  </si>
  <si>
    <t>C1194</t>
  </si>
  <si>
    <t>ORD0167</t>
  </si>
  <si>
    <t>C1043</t>
  </si>
  <si>
    <t>ORD0168</t>
  </si>
  <si>
    <t>P027</t>
  </si>
  <si>
    <t>Chair 27</t>
  </si>
  <si>
    <t>ORD0169</t>
  </si>
  <si>
    <t>C1033</t>
  </si>
  <si>
    <t>ORD0170</t>
  </si>
  <si>
    <t>C1124</t>
  </si>
  <si>
    <t>ORD0171</t>
  </si>
  <si>
    <t>C1214</t>
  </si>
  <si>
    <t>ORD0172</t>
  </si>
  <si>
    <t>ORD0173</t>
  </si>
  <si>
    <t>C1129</t>
  </si>
  <si>
    <t>ORD0174</t>
  </si>
  <si>
    <t>C1256</t>
  </si>
  <si>
    <t>ORD0175</t>
  </si>
  <si>
    <t>C1067</t>
  </si>
  <si>
    <t>P059</t>
  </si>
  <si>
    <t>Laptop 59</t>
  </si>
  <si>
    <t>ORD0176</t>
  </si>
  <si>
    <t>ORD0177</t>
  </si>
  <si>
    <t>C1074</t>
  </si>
  <si>
    <t>P013</t>
  </si>
  <si>
    <t>Chair 13</t>
  </si>
  <si>
    <t>ORD0178</t>
  </si>
  <si>
    <t>C1069</t>
  </si>
  <si>
    <t>ORD0179</t>
  </si>
  <si>
    <t>ORD0180</t>
  </si>
  <si>
    <t>C1053</t>
  </si>
  <si>
    <t>P070</t>
  </si>
  <si>
    <t>Laptop 70</t>
  </si>
  <si>
    <t>ORD0181</t>
  </si>
  <si>
    <t>C1154</t>
  </si>
  <si>
    <t>P021</t>
  </si>
  <si>
    <t>Mobile 21</t>
  </si>
  <si>
    <t>ORD0182</t>
  </si>
  <si>
    <t>C1035</t>
  </si>
  <si>
    <t>ORD0183</t>
  </si>
  <si>
    <t>C1125</t>
  </si>
  <si>
    <t>ORD0184</t>
  </si>
  <si>
    <t>ORD0185</t>
  </si>
  <si>
    <t>C1084</t>
  </si>
  <si>
    <t>P046</t>
  </si>
  <si>
    <t>Laptop 46</t>
  </si>
  <si>
    <t>ORD0186</t>
  </si>
  <si>
    <t>ORD0187</t>
  </si>
  <si>
    <t>ORD0188</t>
  </si>
  <si>
    <t>C1056</t>
  </si>
  <si>
    <t>ORD0189</t>
  </si>
  <si>
    <t>C1028</t>
  </si>
  <si>
    <t>P039</t>
  </si>
  <si>
    <t>Shoes 39</t>
  </si>
  <si>
    <t>ORD0190</t>
  </si>
  <si>
    <t>C1009</t>
  </si>
  <si>
    <t>ORD0191</t>
  </si>
  <si>
    <t>C1034</t>
  </si>
  <si>
    <t>ORD0192</t>
  </si>
  <si>
    <t>C1027</t>
  </si>
  <si>
    <t>ORD0193</t>
  </si>
  <si>
    <t>ORD0194</t>
  </si>
  <si>
    <t>ORD0195</t>
  </si>
  <si>
    <t>C1291</t>
  </si>
  <si>
    <t>ORD0196</t>
  </si>
  <si>
    <t>ORD0197</t>
  </si>
  <si>
    <t>C1003</t>
  </si>
  <si>
    <t>ORD0198</t>
  </si>
  <si>
    <t>C1147</t>
  </si>
  <si>
    <t>ORD0199</t>
  </si>
  <si>
    <t>C1232</t>
  </si>
  <si>
    <t>ORD0200</t>
  </si>
  <si>
    <t>ORD0201</t>
  </si>
  <si>
    <t>ORD0202</t>
  </si>
  <si>
    <t>ORD0203</t>
  </si>
  <si>
    <t>C1240</t>
  </si>
  <si>
    <t>ORD0204</t>
  </si>
  <si>
    <t>ORD0205</t>
  </si>
  <si>
    <t>ORD0206</t>
  </si>
  <si>
    <t>ORD0207</t>
  </si>
  <si>
    <t>C1166</t>
  </si>
  <si>
    <t>ORD0208</t>
  </si>
  <si>
    <t>ORD0209</t>
  </si>
  <si>
    <t>C1252</t>
  </si>
  <si>
    <t>ORD0210</t>
  </si>
  <si>
    <t>C1201</t>
  </si>
  <si>
    <t>ORD0211</t>
  </si>
  <si>
    <t>ORD0212</t>
  </si>
  <si>
    <t>C1122</t>
  </si>
  <si>
    <t>ORD0213</t>
  </si>
  <si>
    <t>C1298</t>
  </si>
  <si>
    <t>ORD0214</t>
  </si>
  <si>
    <t>C1013</t>
  </si>
  <si>
    <t>ORD0215</t>
  </si>
  <si>
    <t>ORD0216</t>
  </si>
  <si>
    <t>C1213</t>
  </si>
  <si>
    <t>ORD0217</t>
  </si>
  <si>
    <t>ORD0218</t>
  </si>
  <si>
    <t>ORD0219</t>
  </si>
  <si>
    <t>C1200</t>
  </si>
  <si>
    <t>ORD0220</t>
  </si>
  <si>
    <t>C1026</t>
  </si>
  <si>
    <t>ORD0221</t>
  </si>
  <si>
    <t>C1025</t>
  </si>
  <si>
    <t>ORD0222</t>
  </si>
  <si>
    <t>ORD0223</t>
  </si>
  <si>
    <t>C1231</t>
  </si>
  <si>
    <t>ORD0224</t>
  </si>
  <si>
    <t>ORD0225</t>
  </si>
  <si>
    <t>C1254</t>
  </si>
  <si>
    <t>ORD0226</t>
  </si>
  <si>
    <t>ORD0227</t>
  </si>
  <si>
    <t>ORD0228</t>
  </si>
  <si>
    <t>ORD0229</t>
  </si>
  <si>
    <t>ORD0230</t>
  </si>
  <si>
    <t>C1022</t>
  </si>
  <si>
    <t>ORD0231</t>
  </si>
  <si>
    <t>C1193</t>
  </si>
  <si>
    <t>P097</t>
  </si>
  <si>
    <t>Mobile 97</t>
  </si>
  <si>
    <t>ORD0232</t>
  </si>
  <si>
    <t>C1012</t>
  </si>
  <si>
    <t>ORD0233</t>
  </si>
  <si>
    <t>C1070</t>
  </si>
  <si>
    <t>ORD0234</t>
  </si>
  <si>
    <t>C1286</t>
  </si>
  <si>
    <t>ORD0235</t>
  </si>
  <si>
    <t>ORD0236</t>
  </si>
  <si>
    <t>C1260</t>
  </si>
  <si>
    <t>ORD0237</t>
  </si>
  <si>
    <t>C1063</t>
  </si>
  <si>
    <t>ORD0238</t>
  </si>
  <si>
    <t>C1111</t>
  </si>
  <si>
    <t>ORD0239</t>
  </si>
  <si>
    <t>C1032</t>
  </si>
  <si>
    <t>ORD0240</t>
  </si>
  <si>
    <t>ORD0241</t>
  </si>
  <si>
    <t>C1238</t>
  </si>
  <si>
    <t>ORD0242</t>
  </si>
  <si>
    <t>C1223</t>
  </si>
  <si>
    <t>ORD0243</t>
  </si>
  <si>
    <t>ORD0244</t>
  </si>
  <si>
    <t>C1153</t>
  </si>
  <si>
    <t>ORD0245</t>
  </si>
  <si>
    <t>ORD0246</t>
  </si>
  <si>
    <t>C1163</t>
  </si>
  <si>
    <t>ORD0247</t>
  </si>
  <si>
    <t>ORD0248</t>
  </si>
  <si>
    <t>C1090</t>
  </si>
  <si>
    <t>ORD0249</t>
  </si>
  <si>
    <t>ORD0250</t>
  </si>
  <si>
    <t>C1036</t>
  </si>
  <si>
    <t>ORD0251</t>
  </si>
  <si>
    <t>C1159</t>
  </si>
  <si>
    <t>ORD0252</t>
  </si>
  <si>
    <t>ORD0253</t>
  </si>
  <si>
    <t>P091</t>
  </si>
  <si>
    <t>Laptop 91</t>
  </si>
  <si>
    <t>ORD0254</t>
  </si>
  <si>
    <t>C1222</t>
  </si>
  <si>
    <t>ORD0255</t>
  </si>
  <si>
    <t>C1292</t>
  </si>
  <si>
    <t>ORD0256</t>
  </si>
  <si>
    <t>C1011</t>
  </si>
  <si>
    <t>ORD0257</t>
  </si>
  <si>
    <t>C1020</t>
  </si>
  <si>
    <t>ORD0258</t>
  </si>
  <si>
    <t>ORD0259</t>
  </si>
  <si>
    <t>C1289</t>
  </si>
  <si>
    <t>ORD0260</t>
  </si>
  <si>
    <t>ORD0261</t>
  </si>
  <si>
    <t>C1297</t>
  </si>
  <si>
    <t>ORD0262</t>
  </si>
  <si>
    <t>C1121</t>
  </si>
  <si>
    <t>ORD0263</t>
  </si>
  <si>
    <t>ORD0264</t>
  </si>
  <si>
    <t>ORD0265</t>
  </si>
  <si>
    <t>C1287</t>
  </si>
  <si>
    <t>ORD0266</t>
  </si>
  <si>
    <t>ORD0267</t>
  </si>
  <si>
    <t>C1164</t>
  </si>
  <si>
    <t>ORD0268</t>
  </si>
  <si>
    <t>ORD0269</t>
  </si>
  <si>
    <t>C1039</t>
  </si>
  <si>
    <t>ORD0270</t>
  </si>
  <si>
    <t>C1045</t>
  </si>
  <si>
    <t>ORD0271</t>
  </si>
  <si>
    <t>ORD0272</t>
  </si>
  <si>
    <t>ORD0273</t>
  </si>
  <si>
    <t>ORD0274</t>
  </si>
  <si>
    <t>C1140</t>
  </si>
  <si>
    <t>ORD0275</t>
  </si>
  <si>
    <t>C1038</t>
  </si>
  <si>
    <t>ORD0276</t>
  </si>
  <si>
    <t>ORD0277</t>
  </si>
  <si>
    <t>P075</t>
  </si>
  <si>
    <t>Mixer 75</t>
  </si>
  <si>
    <t>ORD0278</t>
  </si>
  <si>
    <t>C1155</t>
  </si>
  <si>
    <t>ORD0279</t>
  </si>
  <si>
    <t>ORD0280</t>
  </si>
  <si>
    <t>C1236</t>
  </si>
  <si>
    <t>ORD0281</t>
  </si>
  <si>
    <t>C1245</t>
  </si>
  <si>
    <t>ORD0282</t>
  </si>
  <si>
    <t>ORD0283</t>
  </si>
  <si>
    <t>ORD0284</t>
  </si>
  <si>
    <t>ORD0285</t>
  </si>
  <si>
    <t>C1132</t>
  </si>
  <si>
    <t>ORD0286</t>
  </si>
  <si>
    <t>C1176</t>
  </si>
  <si>
    <t>ORD0287</t>
  </si>
  <si>
    <t>ORD0288</t>
  </si>
  <si>
    <t>P061</t>
  </si>
  <si>
    <t>Mobile 61</t>
  </si>
  <si>
    <t>ORD0289</t>
  </si>
  <si>
    <t>C1165</t>
  </si>
  <si>
    <t>ORD0290</t>
  </si>
  <si>
    <t>C1079</t>
  </si>
  <si>
    <t>ORD0291</t>
  </si>
  <si>
    <t>ORD0292</t>
  </si>
  <si>
    <t>C1271</t>
  </si>
  <si>
    <t>ORD0293</t>
  </si>
  <si>
    <t>ORD0294</t>
  </si>
  <si>
    <t>ORD0295</t>
  </si>
  <si>
    <t>ORD0296</t>
  </si>
  <si>
    <t>ORD0297</t>
  </si>
  <si>
    <t>C1239</t>
  </si>
  <si>
    <t>ORD0298</t>
  </si>
  <si>
    <t>C1255</t>
  </si>
  <si>
    <t>ORD0299</t>
  </si>
  <si>
    <t>C1180</t>
  </si>
  <si>
    <t>ORD0300</t>
  </si>
  <si>
    <t>ORD0301</t>
  </si>
  <si>
    <t>C1209</t>
  </si>
  <si>
    <t>ORD0302</t>
  </si>
  <si>
    <t>ORD0303</t>
  </si>
  <si>
    <t>P015</t>
  </si>
  <si>
    <t>Table 15</t>
  </si>
  <si>
    <t>ORD0304</t>
  </si>
  <si>
    <t>P084</t>
  </si>
  <si>
    <t>Laptop 84</t>
  </si>
  <si>
    <t>ORD0305</t>
  </si>
  <si>
    <t>ORD0306</t>
  </si>
  <si>
    <t>ORD0307</t>
  </si>
  <si>
    <t>ORD0308</t>
  </si>
  <si>
    <t>C1101</t>
  </si>
  <si>
    <t>ORD0309</t>
  </si>
  <si>
    <t>C1042</t>
  </si>
  <si>
    <t>ORD0310</t>
  </si>
  <si>
    <t>ORD0311</t>
  </si>
  <si>
    <t>ORD0312</t>
  </si>
  <si>
    <t>C1181</t>
  </si>
  <si>
    <t>ORD0313</t>
  </si>
  <si>
    <t>ORD0314</t>
  </si>
  <si>
    <t>ORD0315</t>
  </si>
  <si>
    <t>C1120</t>
  </si>
  <si>
    <t>ORD0316</t>
  </si>
  <si>
    <t>C1282</t>
  </si>
  <si>
    <t>ORD0317</t>
  </si>
  <si>
    <t>ORD0318</t>
  </si>
  <si>
    <t>C1099</t>
  </si>
  <si>
    <t>ORD0319</t>
  </si>
  <si>
    <t>ORD0320</t>
  </si>
  <si>
    <t>ORD0321</t>
  </si>
  <si>
    <t>ORD0322</t>
  </si>
  <si>
    <t>ORD0323</t>
  </si>
  <si>
    <t>ORD0324</t>
  </si>
  <si>
    <t>C1107</t>
  </si>
  <si>
    <t>ORD0325</t>
  </si>
  <si>
    <t>ORD0326</t>
  </si>
  <si>
    <t>ORD0327</t>
  </si>
  <si>
    <t>ORD0328</t>
  </si>
  <si>
    <t>ORD0329</t>
  </si>
  <si>
    <t>ORD0330</t>
  </si>
  <si>
    <t>C1050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</si>
  <si>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</si>
  <si>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</si>
  <si>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</si>
  <si>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</si>
  <si>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</si>
  <si>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</si>
  <si>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</si>
  <si>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</si>
  <si>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</si>
  <si>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C1062</t>
  </si>
  <si>
    <t>ORD0340</t>
  </si>
  <si>
    <t>C1208</t>
  </si>
  <si>
    <t>ORD0341</t>
  </si>
  <si>
    <t>C1126</t>
  </si>
  <si>
    <t>ORD0342</t>
  </si>
  <si>
    <t>ORD0343</t>
  </si>
  <si>
    <t>ORD0344</t>
  </si>
  <si>
    <t>C1091</t>
  </si>
  <si>
    <t>P066</t>
  </si>
  <si>
    <t>Mobile 66</t>
  </si>
  <si>
    <t>ORD0345</t>
  </si>
  <si>
    <t>ORD0346</t>
  </si>
  <si>
    <t>ORD0347</t>
  </si>
  <si>
    <t>ORD0348</t>
  </si>
  <si>
    <t>ORD0349</t>
  </si>
  <si>
    <t>C1145</t>
  </si>
  <si>
    <t>P078</t>
  </si>
  <si>
    <t>Chair 78</t>
  </si>
  <si>
    <t>ORD0350</t>
  </si>
  <si>
    <t>ORD0351</t>
  </si>
  <si>
    <t>ORD0352</t>
  </si>
  <si>
    <t>C1212</t>
  </si>
  <si>
    <t>ORD0353</t>
  </si>
  <si>
    <t>ORD0354</t>
  </si>
  <si>
    <t>ORD0355</t>
  </si>
  <si>
    <t>ORD0356</t>
  </si>
  <si>
    <t>ORD0357</t>
  </si>
  <si>
    <t>ORD0358</t>
  </si>
  <si>
    <t>ORD0359</t>
  </si>
  <si>
    <t>C1044</t>
  </si>
  <si>
    <t>ORD0360</t>
  </si>
  <si>
    <t>ORD0361</t>
  </si>
  <si>
    <t>C1046</t>
  </si>
  <si>
    <t>ORD0362</t>
  </si>
  <si>
    <t>ORD0363</t>
  </si>
  <si>
    <t>ORD0364</t>
  </si>
  <si>
    <t>ORD0365</t>
  </si>
  <si>
    <t>ORD0366</t>
  </si>
  <si>
    <t>C1177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</si>
  <si>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</si>
  <si>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</si>
  <si>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</si>
  <si>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</si>
  <si>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</si>
  <si>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</si>
  <si>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</si>
  <si>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</si>
  <si>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</si>
  <si>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</si>
  <si>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C1117</t>
  </si>
  <si>
    <t>ORD0377</t>
  </si>
  <si>
    <t>C1294</t>
  </si>
  <si>
    <t>ORD0378</t>
  </si>
  <si>
    <t>C1187</t>
  </si>
  <si>
    <t>ORD0379</t>
  </si>
  <si>
    <t>ORD0380</t>
  </si>
  <si>
    <t>ORD0381</t>
  </si>
  <si>
    <t>ORD0382</t>
  </si>
  <si>
    <t>C1278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</si>
  <si>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</si>
  <si>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</si>
  <si>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</si>
  <si>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</si>
  <si>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</si>
  <si>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</si>
  <si>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</si>
  <si>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</si>
  <si>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</si>
  <si>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</si>
  <si>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C1061</t>
  </si>
  <si>
    <t>ORD0393</t>
  </si>
  <si>
    <t>ORD0394</t>
  </si>
  <si>
    <t>C1186</t>
  </si>
  <si>
    <t>ORD0395</t>
  </si>
  <si>
    <t>ORD0396</t>
  </si>
  <si>
    <t>C1014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</si>
  <si>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</si>
  <si>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</si>
  <si>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</si>
  <si>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</si>
  <si>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</si>
  <si>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</si>
  <si>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</si>
  <si>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</si>
  <si>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</si>
  <si>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</si>
  <si>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</si>
  <si>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</si>
  <si>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</si>
  <si>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</si>
  <si>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</si>
  <si>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</si>
  <si>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</si>
  <si>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</si>
  <si>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</si>
  <si>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</si>
  <si>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</si>
  <si>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</si>
  <si>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C1275</t>
  </si>
  <si>
    <t>ORD0419</t>
  </si>
  <si>
    <t>ORD0420</t>
  </si>
  <si>
    <t>ORD0421</t>
  </si>
  <si>
    <t>ORD0422</t>
  </si>
  <si>
    <t>ORD0423</t>
  </si>
  <si>
    <t>C1270</t>
  </si>
  <si>
    <t>ORD0424</t>
  </si>
  <si>
    <t>C1296</t>
  </si>
  <si>
    <t>ORD0425</t>
  </si>
  <si>
    <t>ORD0426</t>
  </si>
  <si>
    <t>C1141</t>
  </si>
  <si>
    <t>ORD0427</t>
  </si>
  <si>
    <t>C1019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</si>
  <si>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</si>
  <si>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</si>
  <si>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</si>
  <si>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</si>
  <si>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</si>
  <si>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</si>
  <si>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</si>
  <si>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</si>
  <si>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</si>
  <si>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</si>
  <si>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</si>
  <si>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</si>
  <si>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</si>
  <si>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</si>
  <si>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</si>
  <si>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</si>
  <si>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</si>
  <si>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</si>
  <si>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</si>
  <si>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C1102</t>
  </si>
  <si>
    <t>ORD0447</t>
  </si>
  <si>
    <t>C1158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</si>
  <si>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</si>
  <si>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</si>
  <si>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</si>
  <si>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</si>
  <si>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</si>
  <si>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</si>
  <si>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</si>
  <si>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</si>
  <si>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</si>
  <si>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</si>
  <si>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C1118</t>
  </si>
  <si>
    <t>ORD0458</t>
  </si>
  <si>
    <t>ORD0459</t>
  </si>
  <si>
    <t>C1142</t>
  </si>
  <si>
    <t>ORD0460</t>
  </si>
  <si>
    <t>ORD0461</t>
  </si>
  <si>
    <t>ORD0462</t>
  </si>
  <si>
    <t>ORD0463</t>
  </si>
  <si>
    <t>ORD0464</t>
  </si>
  <si>
    <t>ORD0465</t>
  </si>
  <si>
    <t>C1098</t>
  </si>
  <si>
    <t>ORD0466</t>
  </si>
  <si>
    <t>ORD0467</t>
  </si>
  <si>
    <t>ORD0468</t>
  </si>
  <si>
    <t>C1274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</si>
  <si>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</si>
  <si>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</si>
  <si>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</si>
  <si>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</si>
  <si>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</si>
  <si>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</si>
  <si>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</si>
  <si>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</si>
  <si>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</si>
  <si>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</si>
  <si>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</si>
  <si>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</si>
  <si>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</si>
  <si>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</si>
  <si>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</si>
  <si>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</si>
  <si>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</si>
  <si>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</si>
  <si>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</si>
  <si>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</si>
  <si>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</si>
  <si>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C1168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</si>
  <si>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</si>
  <si>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</si>
  <si>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</si>
  <si>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</si>
  <si>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</si>
  <si>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</si>
  <si>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</si>
  <si>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</si>
  <si>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</si>
  <si>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</si>
  <si>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</si>
  <si>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C1152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</si>
  <si>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</si>
  <si>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</si>
  <si>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</si>
  <si>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</si>
  <si>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</si>
  <si>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</si>
  <si>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</si>
  <si>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</si>
  <si>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</si>
  <si>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</si>
  <si>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</si>
  <si>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</si>
  <si>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</si>
  <si>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</si>
  <si>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</si>
  <si>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</si>
  <si>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</si>
  <si>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C1247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</si>
  <si>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</si>
  <si>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</si>
  <si>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</si>
  <si>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</si>
  <si>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</si>
  <si>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</si>
  <si>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</si>
  <si>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</si>
  <si>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C1246</t>
  </si>
  <si>
    <t>ORD0526</t>
  </si>
  <si>
    <t>ORD0527</t>
  </si>
  <si>
    <t>ORD0528</t>
  </si>
  <si>
    <t>ORD0529</t>
  </si>
  <si>
    <t>C1031</t>
  </si>
  <si>
    <t>ORD0530</t>
  </si>
  <si>
    <t>ORD0531</t>
  </si>
  <si>
    <t>ORD0532</t>
  </si>
  <si>
    <t>C1183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</si>
  <si>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</si>
  <si>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</si>
  <si>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</si>
  <si>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</si>
  <si>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</si>
  <si>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</si>
  <si>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</si>
  <si>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</si>
  <si>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</si>
  <si>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</si>
  <si>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</si>
  <si>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</si>
  <si>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</si>
  <si>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</si>
  <si>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</si>
  <si>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</si>
  <si>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</si>
  <si>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</si>
  <si>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</si>
  <si>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C1008</t>
  </si>
  <si>
    <t>ORD0552</t>
  </si>
  <si>
    <t>ORD0553</t>
  </si>
  <si>
    <t>ORD0554</t>
  </si>
  <si>
    <t>C1029</t>
  </si>
  <si>
    <t>ORD0555</t>
  </si>
  <si>
    <t>C1300</t>
  </si>
  <si>
    <t>ORD0556</t>
  </si>
  <si>
    <t>C1051</t>
  </si>
  <si>
    <t>ORD0557</t>
  </si>
  <si>
    <t>C1077</t>
  </si>
  <si>
    <t>ORD0558</t>
  </si>
  <si>
    <t>ORD0559</t>
  </si>
  <si>
    <t>ORD0560</t>
  </si>
  <si>
    <t>C1248</t>
  </si>
  <si>
    <t>ORD0561</t>
  </si>
  <si>
    <t>ORD0562</t>
  </si>
  <si>
    <t>ORD0563</t>
  </si>
  <si>
    <t>ORD0564</t>
  </si>
  <si>
    <t>C1226</t>
  </si>
  <si>
    <t>ORD0565</t>
  </si>
  <si>
    <t>ORD0566</t>
  </si>
  <si>
    <t>ORD0567</t>
  </si>
  <si>
    <t>ORD0568</t>
  </si>
  <si>
    <t>ORD0569</t>
  </si>
  <si>
    <t>ORD0570</t>
  </si>
  <si>
    <t>C1190</t>
  </si>
  <si>
    <t>ORD0571</t>
  </si>
  <si>
    <t>ORD0572</t>
  </si>
  <si>
    <t>C1143</t>
  </si>
  <si>
    <t>ORD0573</t>
  </si>
  <si>
    <t>C1210</t>
  </si>
  <si>
    <t>ORD0574</t>
  </si>
  <si>
    <t>C1151</t>
  </si>
  <si>
    <t>ORD0575</t>
  </si>
  <si>
    <t>ORD0576</t>
  </si>
  <si>
    <t>ORD0577</t>
  </si>
  <si>
    <t>ORD0578</t>
  </si>
  <si>
    <t>C1093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</si>
  <si>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</si>
  <si>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</si>
  <si>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</si>
  <si>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</si>
  <si>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</si>
  <si>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</si>
  <si>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</si>
  <si>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</si>
  <si>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C1057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</si>
  <si>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</si>
  <si>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</si>
  <si>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</si>
  <si>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</si>
  <si>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</si>
  <si>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</si>
  <si>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</si>
  <si>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</si>
  <si>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</si>
  <si>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</si>
  <si>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</si>
  <si>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</si>
  <si>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</si>
  <si>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</si>
  <si>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</si>
  <si>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</si>
  <si>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</si>
  <si>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</si>
  <si>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</si>
  <si>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</si>
  <si>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</si>
  <si>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</si>
  <si>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</si>
  <si>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</si>
  <si>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</si>
  <si>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</si>
  <si>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</si>
  <si>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</si>
  <si>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</si>
  <si>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</si>
  <si>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</si>
  <si>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</si>
  <si>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</si>
  <si>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</si>
  <si>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</si>
  <si>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</si>
  <si>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</si>
  <si>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</si>
  <si>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</si>
  <si>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C1083</t>
  </si>
  <si>
    <t>ORD0626</t>
  </si>
  <si>
    <t>ORD0627</t>
  </si>
  <si>
    <t>ORD0628</t>
  </si>
  <si>
    <t>ORD0629</t>
  </si>
  <si>
    <t>ORD0630</t>
  </si>
  <si>
    <t>ORD0631</t>
  </si>
  <si>
    <t>ORD0632</t>
  </si>
  <si>
    <t>C1146</t>
  </si>
  <si>
    <t>ORD0633</t>
  </si>
  <si>
    <t>ORD0634</t>
  </si>
  <si>
    <t>ORD0635</t>
  </si>
  <si>
    <t>ORD0636</t>
  </si>
  <si>
    <t>C1284</t>
  </si>
  <si>
    <t>ORD0637</t>
  </si>
  <si>
    <t>C1156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</si>
  <si>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</si>
  <si>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</si>
  <si>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</si>
  <si>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</si>
  <si>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</si>
  <si>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</si>
  <si>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</si>
  <si>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</si>
  <si>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C1199</t>
  </si>
  <si>
    <t>ORD0646</t>
  </si>
  <si>
    <t>ORD0647</t>
  </si>
  <si>
    <t>ORD0648</t>
  </si>
  <si>
    <t>C1173</t>
  </si>
  <si>
    <t>ORD0649</t>
  </si>
  <si>
    <t>ORD0650</t>
  </si>
  <si>
    <t>ORD0651</t>
  </si>
  <si>
    <t>ORD0652</t>
  </si>
  <si>
    <t>ORD0653</t>
  </si>
  <si>
    <t>ORD0654</t>
  </si>
  <si>
    <t>ORD0655</t>
  </si>
  <si>
    <t>C1299</t>
  </si>
  <si>
    <t>ORD0656</t>
  </si>
  <si>
    <t>ORD0657</t>
  </si>
  <si>
    <t>ORD0658</t>
  </si>
  <si>
    <t>ORD0659</t>
  </si>
  <si>
    <t>C1095</t>
  </si>
  <si>
    <t>ORD0660</t>
  </si>
  <si>
    <t>C1184</t>
  </si>
  <si>
    <t>ORD0661</t>
  </si>
  <si>
    <t>C1088</t>
  </si>
  <si>
    <t>ORD0662</t>
  </si>
  <si>
    <t>ORD0663</t>
  </si>
  <si>
    <t>ORD0664</t>
  </si>
  <si>
    <t>ORD0665</t>
  </si>
  <si>
    <t>ORD0666</t>
  </si>
  <si>
    <t>ORD0667</t>
  </si>
  <si>
    <t>C1005</t>
  </si>
  <si>
    <t>ORD0668</t>
  </si>
  <si>
    <t>ORD0669</t>
  </si>
  <si>
    <t>ORD0670</t>
  </si>
  <si>
    <t>ORD0671</t>
  </si>
  <si>
    <t>ORD0672</t>
  </si>
  <si>
    <t>C1288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</si>
  <si>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</si>
  <si>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</si>
  <si>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</si>
  <si>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</si>
  <si>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</si>
  <si>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</si>
  <si>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</si>
  <si>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</si>
  <si>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</si>
  <si>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</si>
  <si>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</si>
  <si>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</si>
  <si>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</si>
  <si>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</si>
  <si>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</si>
  <si>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</si>
  <si>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</si>
  <si>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</si>
  <si>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</si>
  <si>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</si>
  <si>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C1259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</si>
  <si>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</si>
  <si>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</si>
  <si>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</si>
  <si>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</si>
  <si>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</si>
  <si>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</si>
  <si>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</si>
  <si>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</si>
  <si>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</si>
  <si>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</si>
  <si>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</si>
  <si>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</si>
  <si>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</si>
  <si>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</si>
  <si>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</si>
  <si>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</si>
  <si>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</si>
  <si>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</si>
  <si>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</si>
  <si>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</si>
  <si>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</si>
  <si>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</si>
  <si>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</si>
  <si>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</si>
  <si>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</si>
  <si>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</si>
  <si>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</si>
  <si>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</si>
  <si>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</si>
  <si>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</si>
  <si>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</si>
  <si>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</si>
  <si>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</si>
  <si>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</si>
  <si>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</si>
  <si>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</si>
  <si>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</si>
  <si>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</si>
  <si>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</si>
  <si>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</si>
  <si>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</si>
  <si>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</si>
  <si>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</si>
  <si>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</si>
  <si>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</si>
  <si>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C1295</t>
  </si>
  <si>
    <t>ORD0738</t>
  </si>
  <si>
    <t>ORD0739</t>
  </si>
  <si>
    <t>C1230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</si>
  <si>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</si>
  <si>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</si>
  <si>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</si>
  <si>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</si>
  <si>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</si>
  <si>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</si>
  <si>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</si>
  <si>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</si>
  <si>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</si>
  <si>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</si>
  <si>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C1150</t>
  </si>
  <si>
    <t>ORD0750</t>
  </si>
  <si>
    <t>ORD0751</t>
  </si>
  <si>
    <t>C1018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</si>
  <si>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</si>
  <si>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</si>
  <si>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</si>
  <si>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</si>
  <si>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</si>
  <si>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</si>
  <si>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</si>
  <si>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</si>
  <si>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C1273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</si>
  <si>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</si>
  <si>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</si>
  <si>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</si>
  <si>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</si>
  <si>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</si>
  <si>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</si>
  <si>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</si>
  <si>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</si>
  <si>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</si>
  <si>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</si>
  <si>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</si>
  <si>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</si>
  <si>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</si>
  <si>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</si>
  <si>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</si>
  <si>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C1182</t>
  </si>
  <si>
    <t>ORD0775</t>
  </si>
  <si>
    <t>C1119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</si>
  <si>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</si>
  <si>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</si>
  <si>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</si>
  <si>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</si>
  <si>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</si>
  <si>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</si>
  <si>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</si>
  <si>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</si>
  <si>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</si>
  <si>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C1258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</si>
  <si>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</si>
  <si>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</si>
  <si>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</si>
  <si>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</si>
  <si>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</si>
  <si>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</si>
  <si>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</si>
  <si>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</si>
  <si>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</si>
  <si>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</si>
  <si>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</si>
  <si>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</si>
  <si>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</si>
  <si>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</si>
  <si>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</si>
  <si>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</si>
  <si>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</si>
  <si>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</si>
  <si>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</si>
  <si>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</si>
  <si>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</si>
  <si>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</si>
  <si>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</si>
  <si>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</si>
  <si>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</si>
  <si>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</si>
  <si>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</si>
  <si>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</si>
  <si>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</si>
  <si>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</si>
  <si>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</si>
  <si>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</si>
  <si>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</si>
  <si>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</si>
  <si>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</si>
  <si>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</si>
  <si>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P022</t>
  </si>
  <si>
    <t>Table 22</t>
  </si>
  <si>
    <t>ORD0821</t>
  </si>
  <si>
    <t>ORD0822</t>
  </si>
  <si>
    <t>C1290</t>
  </si>
  <si>
    <t>ORD0823</t>
  </si>
  <si>
    <t>P100</t>
  </si>
  <si>
    <t>Mobile 100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</si>
  <si>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</si>
  <si>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</si>
  <si>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</si>
  <si>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</si>
  <si>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</si>
  <si>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</si>
  <si>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</si>
  <si>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</si>
  <si>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</si>
  <si>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</si>
  <si>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</si>
  <si>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C1113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</si>
  <si>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</si>
  <si>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</si>
  <si>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</si>
  <si>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</si>
  <si>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</si>
  <si>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</si>
  <si>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</si>
  <si>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</si>
  <si>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C1157</t>
  </si>
  <si>
    <t>ORD0843</t>
  </si>
  <si>
    <t>C1134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</si>
  <si>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</si>
  <si>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</si>
  <si>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</si>
  <si>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</si>
  <si>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</si>
  <si>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</si>
  <si>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</si>
  <si>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</si>
  <si>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</si>
  <si>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</si>
  <si>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</si>
  <si>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</si>
  <si>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</si>
  <si>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</si>
  <si>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</si>
  <si>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</si>
  <si>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</si>
  <si>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</si>
  <si>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</si>
  <si>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</si>
  <si>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</si>
  <si>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</si>
  <si>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</si>
  <si>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</si>
  <si>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</si>
  <si>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C1233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</si>
  <si>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</si>
  <si>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</si>
  <si>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</si>
  <si>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</si>
  <si>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</si>
  <si>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</si>
  <si>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</si>
  <si>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</si>
  <si>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</si>
  <si>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</si>
  <si>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</si>
  <si>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</si>
  <si>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</si>
  <si>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</si>
  <si>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</si>
  <si>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</si>
  <si>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C1229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</si>
  <si>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</si>
  <si>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</si>
  <si>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</si>
  <si>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</si>
  <si>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</si>
  <si>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</si>
  <si>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</si>
  <si>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</si>
  <si>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</si>
  <si>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</si>
  <si>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</si>
  <si>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</si>
  <si>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</si>
  <si>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</si>
  <si>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</si>
  <si>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</si>
  <si>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</si>
  <si>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</si>
  <si>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</si>
  <si>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</si>
  <si>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</si>
  <si>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</si>
  <si>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C1162</t>
  </si>
  <si>
    <t>ORD0907</t>
  </si>
  <si>
    <t>C1015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</si>
  <si>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</si>
  <si>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</si>
  <si>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</si>
  <si>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</si>
  <si>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</si>
  <si>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</si>
  <si>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</si>
  <si>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</si>
  <si>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</si>
  <si>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</si>
  <si>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</si>
  <si>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</si>
  <si>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</si>
  <si>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</si>
  <si>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</si>
  <si>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</si>
  <si>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</si>
  <si>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</si>
  <si>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</si>
  <si>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</si>
  <si>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</si>
  <si>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</si>
  <si>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</si>
  <si>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</si>
  <si>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C1257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</si>
  <si>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</si>
  <si>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</si>
  <si>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</si>
  <si>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</si>
  <si>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</si>
  <si>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</si>
  <si>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</si>
  <si>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</si>
  <si>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</si>
  <si>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</si>
  <si>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</si>
  <si>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</si>
  <si>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</si>
  <si>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</si>
  <si>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</si>
  <si>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</si>
  <si>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</si>
  <si>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</si>
  <si>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</si>
  <si>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</si>
  <si>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</si>
  <si>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</si>
  <si>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</si>
  <si>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</si>
  <si>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</si>
  <si>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</si>
  <si>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</si>
  <si>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</si>
  <si>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</si>
  <si>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</si>
  <si>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</si>
  <si>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</si>
  <si>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</si>
  <si>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</si>
  <si>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</si>
  <si>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</si>
  <si>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</si>
  <si>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</si>
  <si>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</si>
  <si>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</si>
  <si>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</si>
  <si>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</si>
  <si>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</si>
  <si>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</si>
  <si>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</si>
  <si>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</si>
  <si>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</si>
  <si>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</si>
  <si>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</si>
  <si>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</si>
  <si>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</si>
  <si>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</si>
  <si>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</si>
  <si>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</si>
  <si>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</si>
  <si>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</si>
  <si>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</si>
  <si>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</si>
  <si>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</si>
  <si>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</si>
  <si>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</si>
  <si>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</si>
  <si>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</si>
  <si>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</si>
  <si>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</si>
  <si>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</si>
  <si>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</si>
  <si>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</si>
  <si>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</si>
  <si>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</si>
  <si>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</si>
  <si>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</si>
  <si>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</si>
  <si>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</si>
  <si>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</si>
  <si>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</si>
  <si>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</si>
  <si>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C1123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</si>
  <si>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</si>
  <si>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</si>
  <si>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</si>
  <si>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</si>
  <si>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</si>
  <si>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</si>
  <si>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</si>
  <si>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</si>
  <si>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</si>
  <si>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</si>
  <si>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</si>
  <si>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</si>
  <si>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</si>
  <si>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</si>
  <si>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</si>
  <si>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</si>
  <si>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</si>
  <si>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</si>
  <si>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</si>
  <si>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</si>
  <si>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</si>
  <si>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</si>
  <si>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</si>
  <si>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</si>
  <si>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</si>
  <si>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</si>
  <si>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</si>
  <si>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</si>
  <si>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</si>
  <si>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</si>
  <si>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</si>
  <si>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</si>
  <si>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</si>
  <si>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C1010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</si>
  <si>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</si>
  <si>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</si>
  <si>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</si>
  <si>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</si>
  <si>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</si>
  <si>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</si>
  <si>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</si>
  <si>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</si>
  <si>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</si>
  <si>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</si>
  <si>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</si>
  <si>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</si>
  <si>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</si>
  <si>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</si>
  <si>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</si>
  <si>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</si>
  <si>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</si>
  <si>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</si>
  <si>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</si>
  <si>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</si>
  <si>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</si>
  <si>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</si>
  <si>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</si>
  <si>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</si>
  <si>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</si>
  <si>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</si>
  <si>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</si>
  <si>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</si>
  <si>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</si>
  <si>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</si>
  <si>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</si>
  <si>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</si>
  <si>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</si>
  <si>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</si>
  <si>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</si>
  <si>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</si>
  <si>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</si>
  <si>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</si>
  <si>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</si>
  <si>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</si>
  <si>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</si>
  <si>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</si>
  <si>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</si>
  <si>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</si>
  <si>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</si>
  <si>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</si>
  <si>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</si>
  <si>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</si>
  <si>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</si>
  <si>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</si>
  <si>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</si>
  <si>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</si>
  <si>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</si>
  <si>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</si>
  <si>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</si>
  <si>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</si>
  <si>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</si>
  <si>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</si>
  <si>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</si>
  <si>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</si>
  <si>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</si>
  <si>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</si>
  <si>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</si>
  <si>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</si>
  <si>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</si>
  <si>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</si>
  <si>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</si>
  <si>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C1060</t>
  </si>
  <si>
    <t>ORD1109</t>
  </si>
  <si>
    <t>C1047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</si>
  <si>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</si>
  <si>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</si>
  <si>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</si>
  <si>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</si>
  <si>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</si>
  <si>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</si>
  <si>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</si>
  <si>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</si>
  <si>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</si>
  <si>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</si>
  <si>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</si>
  <si>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</si>
  <si>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</si>
  <si>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</si>
  <si>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</si>
  <si>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</si>
  <si>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</si>
  <si>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</si>
  <si>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</si>
  <si>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</si>
  <si>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</si>
  <si>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</si>
  <si>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</si>
  <si>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</si>
  <si>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</si>
  <si>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</si>
  <si>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</si>
  <si>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</si>
  <si>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</si>
  <si>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</si>
  <si>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</si>
  <si>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</si>
  <si>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</si>
  <si>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</si>
  <si>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</si>
  <si>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</si>
  <si>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</si>
  <si>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C1059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</si>
  <si>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</si>
  <si>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</si>
  <si>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</si>
  <si>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</si>
  <si>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</si>
  <si>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</si>
  <si>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</si>
  <si>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</si>
  <si>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</si>
  <si>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</si>
  <si>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</si>
  <si>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</si>
  <si>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</si>
  <si>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</si>
  <si>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</si>
  <si>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</si>
  <si>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</si>
  <si>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</si>
  <si>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</si>
  <si>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</si>
  <si>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</si>
  <si>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</si>
  <si>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</si>
  <si>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</si>
  <si>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</si>
  <si>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</si>
  <si>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</si>
  <si>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</si>
  <si>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C1137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</si>
  <si>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</si>
  <si>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</si>
  <si>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</si>
  <si>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</si>
  <si>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</si>
  <si>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</si>
  <si>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</si>
  <si>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</si>
  <si>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</si>
  <si>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</si>
  <si>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</si>
  <si>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</si>
  <si>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</si>
  <si>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</si>
  <si>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</si>
  <si>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</si>
  <si>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</si>
  <si>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</si>
  <si>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</si>
  <si>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</si>
  <si>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</si>
  <si>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</si>
  <si>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</si>
  <si>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</si>
  <si>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C1215</t>
  </si>
  <si>
    <t>ORD1199</t>
  </si>
  <si>
    <t>ORD1200</t>
  </si>
  <si>
    <t>Warehouse</t>
  </si>
  <si>
    <t>Supplier</t>
  </si>
  <si>
    <t>Stock_Received</t>
  </si>
  <si>
    <t>Stock_Sold</t>
  </si>
  <si>
    <t>Current_Stock</t>
  </si>
  <si>
    <t>Reorder_Level</t>
  </si>
  <si>
    <t>Unit_Cost</t>
  </si>
  <si>
    <t>Selling_Price</t>
  </si>
  <si>
    <t>Inventory_Value</t>
  </si>
  <si>
    <t>Damaged_Units</t>
  </si>
  <si>
    <t>Lead_Time_Days</t>
  </si>
  <si>
    <t>Supplier_Rating</t>
  </si>
  <si>
    <t>Last_Restock_Date</t>
  </si>
  <si>
    <t>Stock_Status</t>
  </si>
  <si>
    <t>Bengaluru WH</t>
  </si>
  <si>
    <t>TechCorp</t>
  </si>
  <si>
    <t>Normal</t>
  </si>
  <si>
    <t>Kolkata WH</t>
  </si>
  <si>
    <t>NovaSupply</t>
  </si>
  <si>
    <t>Delhi WH</t>
  </si>
  <si>
    <t>PrimeTrade</t>
  </si>
  <si>
    <t>Mumbai WH</t>
  </si>
  <si>
    <t>SupplyHub</t>
  </si>
  <si>
    <t>Low</t>
  </si>
  <si>
    <t>Out</t>
  </si>
  <si>
    <t>Total Sales</t>
  </si>
  <si>
    <t>Total Profit</t>
  </si>
  <si>
    <t>Total Orders</t>
  </si>
  <si>
    <t>Monthly Sales Trend</t>
  </si>
  <si>
    <t>Sales by Category</t>
  </si>
  <si>
    <t>Sales by Region</t>
  </si>
  <si>
    <t>Payment Mode Distribution</t>
  </si>
  <si>
    <t>Online vs Offline Sales</t>
  </si>
  <si>
    <t>Top Products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</si>
  <si>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</si>
  <si>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</si>
  <si>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</si>
  <si>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</si>
  <si>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</si>
  <si>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</si>
  <si>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</si>
  <si>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</si>
  <si>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Sum of Sales_Amount</t>
  </si>
  <si>
    <t>ONLINE</t>
  </si>
  <si>
    <t>OFFLINE</t>
  </si>
  <si>
    <t>TOTAL INVENTORY</t>
  </si>
  <si>
    <t>CURRENT STOCK</t>
  </si>
  <si>
    <t>LOW STOCK ITEM</t>
  </si>
  <si>
    <t>AVERAGE SUPPLY RATING</t>
  </si>
  <si>
    <t>1 stock by category</t>
  </si>
  <si>
    <t>2 warehouse wise stock</t>
  </si>
  <si>
    <t>3 stock status distribution</t>
  </si>
  <si>
    <t>4 invtenory value by category</t>
  </si>
  <si>
    <t>5 supplier rating</t>
  </si>
  <si>
    <t>6 recorder level</t>
  </si>
  <si>
    <t>Sum of Current_Stock</t>
  </si>
  <si>
    <t>Sum of Inventory_Value</t>
  </si>
  <si>
    <t>category</t>
  </si>
  <si>
    <t>current stock</t>
  </si>
  <si>
    <t>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</si>
</sst>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9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0" fontId="0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[Retail_Operations_Analytics_project.xlsx]Sheet2!PivotTable2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Sheet2!$H$9:$H$13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  <c:pt idx="3">
                  <c:v>Home</c:v>
                </c:pt>
              </c:strCache>
            </c:strRef>
          </c:cat>
          <c:val>
            <c:numRef>
              <c:f>Sheet2!$I$9:$I$13</c:f>
              <c:numCache>
                <c:formatCode>General</c:formatCode>
                <c:ptCount val="4"/>
                <c:pt idx="0">
                  <c:v>51979377.600000016</c:v>
                </c:pt>
                <c:pt idx="1">
                  <c:v>22361289.449999999</c:v>
                </c:pt>
                <c:pt idx="2">
                  <c:v>35609202.349999987</c:v>
                </c:pt>
                <c:pt idx="3">
                  <c:v>18601627.800000001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F-4B9D-ACBC-8BE7E9900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85194831"/>
        <c:axId val="1303399407"/>
      </c:barChart>
      <c:catAx>
        <c:axId val="138519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99407"/>
        <c:crosses val="autoZero"/>
        <c:auto val="1"/>
        <c:lblAlgn val="ctr"/>
        <c:lblOffset val="100"/>
        <c:noMultiLvlLbl val="0"/>
      </c:catAx>
      <c:valAx>
        <c:axId val="13033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9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[Retail_Operations_Analytics_project.xlsx]Sheet2!PivotTable1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Sheet2!$I$22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Sheet2!$H$23:$H$29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Sheet2!$I$23:$I$29</c:f>
              <c:numCache>
                <c:formatCode>General</c:formatCode>
                <c:ptCount val="6"/>
                <c:pt idx="0">
                  <c:v>22099242.399999995</c:v>
                </c:pt>
                <c:pt idx="1">
                  <c:v>20583785.75</c:v>
                </c:pt>
                <c:pt idx="2">
                  <c:v>21674450.649999991</c:v>
                </c:pt>
                <c:pt idx="3">
                  <c:v>21362114.899999999</c:v>
                </c:pt>
                <c:pt idx="4">
                  <c:v>24400840.349999994</c:v>
                </c:pt>
                <c:pt idx="5">
                  <c:v>18431063.149999995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5-4765-A2C5-44E80A1B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835439"/>
        <c:axId val="1303469487"/>
      </c:lineChart>
      <c:catAx>
        <c:axId val="146483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69487"/>
        <c:crosses val="autoZero"/>
        <c:auto val="1"/>
        <c:lblAlgn val="ctr"/>
        <c:lblOffset val="100"/>
        <c:noMultiLvlLbl val="0"/>
      </c:catAx>
      <c:valAx>
        <c:axId val="13034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3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AE-42C2-A0EA-F3108F0A81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AE-42C2-A0EA-F3108F0A810B}"/>
              </c:ext>
            </c:extLst>
          </c:dPt>
          <c:cat>
            <c:strRef>
              <c:f>Sheet2!$C$27:$C$28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Sheet2!$D$27:$D$28</c:f>
              <c:numCache>
                <c:formatCode>General</c:formatCode>
                <c:ptCount val="2"/>
                <c:pt idx="0">
                  <c:v>58935604.800000049</c:v>
                </c:pt>
                <c:pt idx="1">
                  <c:v>69491152.400000006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E-42C2-A0EA-F3108F0A8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[Retail_Operations_Analytics_project.xlsx]Sheet2!PivotTable3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Sheet2!$K$9:$K$13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Sheet2!$L$9:$L$13</c:f>
              <c:numCache>
                <c:formatCode>General</c:formatCode>
                <c:ptCount val="4"/>
                <c:pt idx="0">
                  <c:v>36166621.699999996</c:v>
                </c:pt>
                <c:pt idx="1">
                  <c:v>35315600.54999999</c:v>
                </c:pt>
                <c:pt idx="2">
                  <c:v>19237990.599999994</c:v>
                </c:pt>
                <c:pt idx="3">
                  <c:v>37831284.350000024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6-4DEE-BB79-B22294E83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0591455"/>
        <c:axId val="1303471407"/>
      </c:barChart>
      <c:catAx>
        <c:axId val="146059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71407"/>
        <c:crosses val="autoZero"/>
        <c:auto val="1"/>
        <c:lblAlgn val="ctr"/>
        <c:lblOffset val="100"/>
        <c:noMultiLvlLbl val="0"/>
      </c:catAx>
      <c:valAx>
        <c:axId val="130347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9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22-4416-977B-FB0EEAE598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22-4416-977B-FB0EEAE598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22-4416-977B-FB0EEAE5988A}"/>
              </c:ext>
            </c:extLst>
          </c:dPt>
          <c:cat>
            <c:strRef>
              <c:f>Sheet2!$C$22:$C$24</c:f>
              <c:strCache>
                <c:ptCount val="3"/>
                <c:pt idx="0">
                  <c:v>Card</c:v>
                </c:pt>
                <c:pt idx="1">
                  <c:v>UPI</c:v>
                </c:pt>
                <c:pt idx="2">
                  <c:v>Cash</c:v>
                </c:pt>
              </c:strCache>
            </c:strRef>
          </c:cat>
          <c:val>
            <c:numRef>
              <c:f>Sheet2!$D$22:$D$24</c:f>
              <c:numCache>
                <c:formatCode>General</c:formatCode>
                <c:ptCount val="3"/>
                <c:pt idx="0">
                  <c:v>44834764.650000036</c:v>
                </c:pt>
                <c:pt idx="1">
                  <c:v>43313306.150000013</c:v>
                </c:pt>
                <c:pt idx="2">
                  <c:v>40403426.399999984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22-4416-977B-FB0EEAE59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Sheet2!$L$22:$L$27</c:f>
              <c:strCache>
                <c:ptCount val="6"/>
                <c:pt idx="0">
                  <c:v>Shoes</c:v>
                </c:pt>
                <c:pt idx="1">
                  <c:v>Laptop</c:v>
                </c:pt>
                <c:pt idx="2">
                  <c:v>Table</c:v>
                </c:pt>
                <c:pt idx="3">
                  <c:v>Chair</c:v>
                </c:pt>
                <c:pt idx="4">
                  <c:v>Mobile</c:v>
                </c:pt>
                <c:pt idx="5">
                  <c:v>Mixer</c:v>
                </c:pt>
              </c:strCache>
            </c:strRef>
          </c:cat>
          <c:val>
            <c:numRef>
              <c:f>Sheet2!$M$22:$M$27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7AE-441A-873C-7A83E766BF3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Sheet2!$L$22:$L$27</c:f>
              <c:strCache>
                <c:ptCount val="6"/>
                <c:pt idx="0">
                  <c:v>Shoes</c:v>
                </c:pt>
                <c:pt idx="1">
                  <c:v>Laptop</c:v>
                </c:pt>
                <c:pt idx="2">
                  <c:v>Table</c:v>
                </c:pt>
                <c:pt idx="3">
                  <c:v>Chair</c:v>
                </c:pt>
                <c:pt idx="4">
                  <c:v>Mobile</c:v>
                </c:pt>
                <c:pt idx="5">
                  <c:v>Mixer</c:v>
                </c:pt>
              </c:strCache>
            </c:strRef>
          </c:cat>
          <c:val>
            <c:numRef>
              <c:f>Sheet2!$N$22:$N$27</c:f>
              <c:numCache>
                <c:formatCode>General</c:formatCode>
                <c:ptCount val="6"/>
                <c:pt idx="0">
                  <c:v>22361289.449999999</c:v>
                </c:pt>
                <c:pt idx="1">
                  <c:v>25229311.000000004</c:v>
                </c:pt>
                <c:pt idx="2">
                  <c:v>19088733.049999993</c:v>
                </c:pt>
                <c:pt idx="3">
                  <c:v>16520469.300000001</c:v>
                </c:pt>
                <c:pt idx="4">
                  <c:v>26750066.599999994</c:v>
                </c:pt>
                <c:pt idx="5">
                  <c:v>18601627.800000001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E-441A-873C-7A83E766B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113695"/>
        <c:axId val="1303406607"/>
      </c:barChart>
      <c:catAx>
        <c:axId val="13821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06607"/>
        <c:crosses val="autoZero"/>
        <c:auto val="1"/>
        <c:lblAlgn val="ctr"/>
        <c:lblOffset val="100"/>
        <c:noMultiLvlLbl val="0"/>
      </c:catAx>
      <c:valAx>
        <c:axId val="13034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1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[Retail_Operations_Analytics_project.xlsx]Sheet2!PivotTable4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Sheet2!$Q$25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Sheet2!$P$26:$P$30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  <c:pt idx="3">
                  <c:v>Home</c:v>
                </c:pt>
              </c:strCache>
            </c:strRef>
          </c:cat>
          <c:val>
            <c:numRef>
              <c:f>Sheet2!$Q$26:$Q$30</c:f>
              <c:numCache>
                <c:formatCode>General</c:formatCode>
                <c:ptCount val="4"/>
                <c:pt idx="0">
                  <c:v>43296</c:v>
                </c:pt>
                <c:pt idx="1">
                  <c:v>17065</c:v>
                </c:pt>
                <c:pt idx="2">
                  <c:v>32028</c:v>
                </c:pt>
                <c:pt idx="3">
                  <c:v>18186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5-4AFE-9E4A-EED3430A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050127"/>
        <c:axId val="1303398447"/>
      </c:barChart>
      <c:catAx>
        <c:axId val="138205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98447"/>
        <c:crosses val="autoZero"/>
        <c:auto val="1"/>
        <c:lblAlgn val="ctr"/>
        <c:lblOffset val="100"/>
        <c:noMultiLvlLbl val="0"/>
      </c:catAx>
      <c:valAx>
        <c:axId val="13033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F-4FE5-96DE-297B2496D6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6F-4FE5-96DE-297B2496D6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6F-4FE5-96DE-297B2496D6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Sheet2!$S$25:$S$27</c:f>
              <c:strCache>
                <c:ptCount val="3"/>
                <c:pt idx="0">
                  <c:v>Normal</c:v>
                </c:pt>
                <c:pt idx="1">
                  <c:v>Low</c:v>
                </c:pt>
                <c:pt idx="2">
                  <c:v>Out</c:v>
                </c:pt>
              </c:strCache>
            </c:strRef>
          </c:cat>
          <c:val>
            <c:numRef>
              <c:f>Sheet2!$T$25:$T$27</c:f>
              <c:numCache>
                <c:formatCode>General</c:formatCode>
                <c:ptCount val="3"/>
                <c:pt idx="0">
                  <c:v>595</c:v>
                </c:pt>
                <c:pt idx="1">
                  <c:v>199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6F-4FE5-96DE-297B2496D6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Sheet2!$V$25:$V$28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  <c:pt idx="3">
                  <c:v>Home</c:v>
                </c:pt>
              </c:strCache>
            </c:strRef>
          </c:cat>
          <c:val>
            <c:numRef>
              <c:f>Sheet2!$W$25:$W$28</c:f>
              <c:numCache>
                <c:formatCode>General</c:formatCode>
                <c:ptCount val="4"/>
                <c:pt idx="0">
                  <c:v>1377056604</c:v>
                </c:pt>
                <c:pt idx="1">
                  <c:v>524563735</c:v>
                </c:pt>
                <c:pt idx="2">
                  <c:v>1034468318</c:v>
                </c:pt>
                <c:pt idx="3">
                  <c:v>565299375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6-44A2-85D9-28DAB00128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2113231"/>
        <c:axId val="1303395567"/>
      </c:barChart>
      <c:catAx>
        <c:axId val="138211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95567"/>
        <c:crosses val="autoZero"/>
        <c:auto val="1"/>
        <c:lblAlgn val="ctr"/>
        <c:lblOffset val="100"/>
        <c:noMultiLvlLbl val="0"/>
      </c:catAx>
      <c:valAx>
        <c:axId val="13033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1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Sheet2!$P$36:$P$39</c:f>
              <c:strCache>
                <c:ptCount val="4"/>
                <c:pt idx="0">
                  <c:v>Bengaluru WH</c:v>
                </c:pt>
                <c:pt idx="1">
                  <c:v>Kolkata WH</c:v>
                </c:pt>
                <c:pt idx="2">
                  <c:v>Delhi WH</c:v>
                </c:pt>
                <c:pt idx="3">
                  <c:v>Mumbai WH</c:v>
                </c:pt>
              </c:strCache>
            </c:strRef>
          </c:cat>
          <c:val>
            <c:numRef>
              <c:f>Sheet2!$Q$36:$Q$39</c:f>
              <c:numCache>
                <c:formatCode>General</c:formatCode>
                <c:ptCount val="4"/>
                <c:pt idx="0">
                  <c:v>28209</c:v>
                </c:pt>
                <c:pt idx="1">
                  <c:v>26061</c:v>
                </c:pt>
                <c:pt idx="2">
                  <c:v>29826</c:v>
                </c:pt>
                <c:pt idx="3">
                  <c:v>26479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0-4DED-B4A7-41B9F7A06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105343"/>
        <c:axId val="1303392207"/>
      </c:barChart>
      <c:catAx>
        <c:axId val="138210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92207"/>
        <c:crosses val="autoZero"/>
        <c:auto val="1"/>
        <c:lblAlgn val="ctr"/>
        <c:lblOffset val="100"/>
        <c:noMultiLvlLbl val="0"/>
      </c:catAx>
      <c:valAx>
        <c:axId val="130339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0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Sheet2!$T$34:$T$49</c:f>
              <c:numCache>
                <c:formatCode>General</c:formatCode>
                <c:ptCount val="16"/>
                <c:pt idx="0">
                  <c:v>4.5999999999999996</c:v>
                </c:pt>
                <c:pt idx="1">
                  <c:v>3.8</c:v>
                </c:pt>
                <c:pt idx="2">
                  <c:v>4.0999999999999996</c:v>
                </c:pt>
                <c:pt idx="3">
                  <c:v>4.9000000000000004</c:v>
                </c:pt>
                <c:pt idx="4">
                  <c:v>4.2</c:v>
                </c:pt>
                <c:pt idx="5">
                  <c:v>3.7</c:v>
                </c:pt>
                <c:pt idx="6">
                  <c:v>4.3</c:v>
                </c:pt>
                <c:pt idx="7">
                  <c:v>3.6</c:v>
                </c:pt>
                <c:pt idx="8">
                  <c:v>3.9</c:v>
                </c:pt>
                <c:pt idx="9">
                  <c:v>4.7</c:v>
                </c:pt>
                <c:pt idx="10">
                  <c:v>4.5</c:v>
                </c:pt>
                <c:pt idx="11">
                  <c:v>4.8</c:v>
                </c:pt>
                <c:pt idx="12">
                  <c:v>4.4000000000000004</c:v>
                </c:pt>
                <c:pt idx="13">
                  <c:v>3.5</c:v>
                </c:pt>
                <c:pt idx="14">
                  <c:v>4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B14-9BD2-2CCBF190F9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Sheet2!$U$34:$U$49</c:f>
              <c:numCache>
                <c:formatCode>General</c:formatCode>
                <c:ptCount val="16"/>
                <c:pt idx="0">
                  <c:v>61</c:v>
                </c:pt>
                <c:pt idx="1">
                  <c:v>42</c:v>
                </c:pt>
                <c:pt idx="2">
                  <c:v>56</c:v>
                </c:pt>
                <c:pt idx="3">
                  <c:v>56</c:v>
                </c:pt>
                <c:pt idx="4">
                  <c:v>54</c:v>
                </c:pt>
                <c:pt idx="5">
                  <c:v>51</c:v>
                </c:pt>
                <c:pt idx="6">
                  <c:v>66</c:v>
                </c:pt>
                <c:pt idx="7">
                  <c:v>51</c:v>
                </c:pt>
                <c:pt idx="8">
                  <c:v>50</c:v>
                </c:pt>
                <c:pt idx="9">
                  <c:v>47</c:v>
                </c:pt>
                <c:pt idx="10">
                  <c:v>57</c:v>
                </c:pt>
                <c:pt idx="11">
                  <c:v>53</c:v>
                </c:pt>
                <c:pt idx="12">
                  <c:v>62</c:v>
                </c:pt>
                <c:pt idx="13">
                  <c:v>23</c:v>
                </c:pt>
                <c:pt idx="14">
                  <c:v>45</c:v>
                </c:pt>
                <c:pt idx="1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9-4B14-9BD2-2CCBF190F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153599"/>
        <c:axId val="1303468527"/>
      </c:barChart>
      <c:catAx>
        <c:axId val="138215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68527"/>
        <c:crosses val="autoZero"/>
        <c:auto val="1"/>
        <c:lblAlgn val="ctr"/>
        <c:lblOffset val="100"/>
        <c:noMultiLvlLbl val="0"/>
      </c:catAx>
      <c:valAx>
        <c:axId val="13034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[Retail_Operations_Analytics_project.xlsx]Sheet2!PivotTable9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Sheet2!$O$44:$O$48</c:f>
              <c:strCache>
                <c:ptCount val="4"/>
                <c:pt idx="0">
                  <c:v>NovaSupply</c:v>
                </c:pt>
                <c:pt idx="1">
                  <c:v>PrimeTrade</c:v>
                </c:pt>
                <c:pt idx="2">
                  <c:v>SupplyHub</c:v>
                </c:pt>
                <c:pt idx="3">
                  <c:v>TechCorp</c:v>
                </c:pt>
              </c:strCache>
            </c:strRef>
          </c:cat>
          <c:val>
            <c:numRef>
              <c:f>Sheet2!$P$44:$P$48</c:f>
              <c:numCache>
                <c:formatCode>General</c:formatCode>
                <c:ptCount val="4"/>
                <c:pt idx="0">
                  <c:v>28835</c:v>
                </c:pt>
                <c:pt idx="1">
                  <c:v>25128</c:v>
                </c:pt>
                <c:pt idx="2">
                  <c:v>30673</c:v>
                </c:pt>
                <c:pt idx="3">
                  <c:v>25939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B-4509-95DE-082FEB27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765631"/>
        <c:axId val="1303402767"/>
      </c:barChart>
      <c:catAx>
        <c:axId val="13767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02767"/>
        <c:crosses val="autoZero"/>
        <c:auto val="1"/>
        <c:lblAlgn val="ctr"/>
        <c:lblOffset val="100"/>
        <c:noMultiLvlLbl val="0"/>
      </c:catAx>
      <c:valAx>
        <c:axId val="130340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6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2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image" Target="../media/image1.png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</xdr:colOff>
      <xdr:row>1</xdr:row>
      <xdr:rowOff>2</xdr:rowOff>
    </xdr:from>
    <xdr:to>
      <xdr:col>11</xdr:col>
      <xdr:colOff>22087</xdr:colOff>
      <xdr:row>3</xdr:row>
      <xdr:rowOff>132522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927CBF-B4B9-2878-3C04-F2CEB7729A56}"/>
            </a:ext>
          </a:extLst>
        </xdr:cNvPr>
        <xdr:cNvSpPr txBox="1"/>
      </xdr:nvSpPr>
      <xdr:spPr>
        <a:xfrm>
          <a:off x="2164525" y="187741"/>
          <a:ext cx="9762432" cy="507998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 b="1"/>
            <a:t>                                             </a:t>
          </a:r>
          <a:r>
            <a:rPr lang="en-IN" sz="2400" b="1" baseline="0"/>
            <a:t> </a:t>
          </a:r>
          <a:r>
            <a:rPr lang="en-IN" sz="3200" b="1">
              <a:solidFill>
                <a:schemeClr val="bg1"/>
              </a:solidFill>
            </a:rPr>
            <a:t>ORDER DASHBORD</a:t>
          </a:r>
        </a:p>
      </xdr:txBody>
    </xdr:sp>
    <xdr:clientData/>
  </xdr:twoCellAnchor>
  <xdr:twoCellAnchor>
    <xdr:from>
      <xdr:col>2</xdr:col>
      <xdr:colOff>16933</xdr:colOff>
      <xdr:row>4</xdr:row>
      <xdr:rowOff>8467</xdr:rowOff>
    </xdr:from>
    <xdr:to>
      <xdr:col>5</xdr:col>
      <xdr:colOff>0</xdr:colOff>
      <xdr:row>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5DB409-9D94-C173-46DC-FA6A89C50DC5}"/>
            </a:ext>
          </a:extLst>
        </xdr:cNvPr>
        <xdr:cNvSpPr txBox="1"/>
      </xdr:nvSpPr>
      <xdr:spPr>
        <a:xfrm>
          <a:off x="2184400" y="787400"/>
          <a:ext cx="3234267" cy="313267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Sales</a:t>
          </a:r>
          <a:r>
            <a:rPr lang="en-IN" sz="1600" b="1">
              <a:solidFill>
                <a:schemeClr val="bg1"/>
              </a:solidFill>
              <a:effectLst/>
            </a:rPr>
            <a:t> </a:t>
          </a:r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1075267</xdr:colOff>
      <xdr:row>4</xdr:row>
      <xdr:rowOff>8467</xdr:rowOff>
    </xdr:from>
    <xdr:to>
      <xdr:col>8</xdr:col>
      <xdr:colOff>0</xdr:colOff>
      <xdr:row>5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97E66A-D244-2C5D-D36D-65890C75E8D1}"/>
            </a:ext>
          </a:extLst>
        </xdr:cNvPr>
        <xdr:cNvSpPr txBox="1"/>
      </xdr:nvSpPr>
      <xdr:spPr>
        <a:xfrm>
          <a:off x="5410200" y="787400"/>
          <a:ext cx="3259667" cy="313268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IN" sz="16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Profit</a:t>
          </a:r>
          <a:r>
            <a:rPr lang="en-IN" sz="1600" b="1">
              <a:solidFill>
                <a:schemeClr val="bg1"/>
              </a:solidFill>
              <a:effectLst/>
            </a:rPr>
            <a:t> </a:t>
          </a:r>
          <a:endParaRPr lang="en-IN" sz="16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4</xdr:row>
      <xdr:rowOff>8466</xdr:rowOff>
    </xdr:from>
    <xdr:to>
      <xdr:col>11</xdr:col>
      <xdr:colOff>33130</xdr:colOff>
      <xdr:row>5</xdr:row>
      <xdr:rowOff>11044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DCC614-E041-D33D-45A9-63675AE22DB1}"/>
            </a:ext>
          </a:extLst>
        </xdr:cNvPr>
        <xdr:cNvSpPr txBox="1"/>
      </xdr:nvSpPr>
      <xdr:spPr>
        <a:xfrm>
          <a:off x="8658087" y="759423"/>
          <a:ext cx="3279913" cy="322838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IN" sz="16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Orders</a:t>
          </a:r>
          <a:r>
            <a:rPr lang="en-IN" sz="1600" b="1">
              <a:solidFill>
                <a:schemeClr val="bg1"/>
              </a:solidFill>
              <a:effectLst/>
            </a:rPr>
            <a:t> </a:t>
          </a:r>
          <a:endParaRPr lang="en-IN" sz="16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59266</xdr:colOff>
      <xdr:row>6</xdr:row>
      <xdr:rowOff>1</xdr:rowOff>
    </xdr:from>
    <xdr:to>
      <xdr:col>4</xdr:col>
      <xdr:colOff>1041400</xdr:colOff>
      <xdr:row>8</xdr:row>
      <xdr:rowOff>0</xdr:rowOff>
    </xdr:to>
    <xdr:sp macro="" textlink="Sheet2!F9">
      <xdr:nvSpPr>
        <xdr:cNvPr id="8" name="Rectangle: Rounded Corners 7">
          <a:extLst>
            <a:ext uri="{FF2B5EF4-FFF2-40B4-BE49-F238E27FC236}">
              <a16:creationId xmlns:a16="http://schemas.microsoft.com/office/drawing/2014/main" id="{C75031C8-8043-A59E-6E8E-AC9BE5B123C4}"/>
            </a:ext>
          </a:extLst>
        </xdr:cNvPr>
        <xdr:cNvSpPr/>
      </xdr:nvSpPr>
      <xdr:spPr>
        <a:xfrm>
          <a:off x="2226733" y="1295401"/>
          <a:ext cx="3149600" cy="389466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559AAA1-3084-493C-B0B3-6D92A4151BFA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128551497.2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42333</xdr:colOff>
      <xdr:row>6</xdr:row>
      <xdr:rowOff>16934</xdr:rowOff>
    </xdr:from>
    <xdr:to>
      <xdr:col>7</xdr:col>
      <xdr:colOff>990600</xdr:colOff>
      <xdr:row>8</xdr:row>
      <xdr:rowOff>1</xdr:rowOff>
    </xdr:to>
    <xdr:sp macro="" textlink="Sheet2!F10">
      <xdr:nvSpPr>
        <xdr:cNvPr id="9" name="Rectangle: Rounded Corners 8">
          <a:extLst>
            <a:ext uri="{FF2B5EF4-FFF2-40B4-BE49-F238E27FC236}">
              <a16:creationId xmlns:a16="http://schemas.microsoft.com/office/drawing/2014/main" id="{DA84687D-9A67-C93E-3AFD-EB2EE91FD541}"/>
            </a:ext>
          </a:extLst>
        </xdr:cNvPr>
        <xdr:cNvSpPr/>
      </xdr:nvSpPr>
      <xdr:spPr>
        <a:xfrm>
          <a:off x="5461000" y="1312334"/>
          <a:ext cx="3115733" cy="372534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9E427163-27BA-46CC-9925-CF72BD6DE02C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26569883.09</a:t>
          </a:fld>
          <a:endParaRPr lang="en-IN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16933</xdr:colOff>
      <xdr:row>5</xdr:row>
      <xdr:rowOff>186266</xdr:rowOff>
    </xdr:from>
    <xdr:to>
      <xdr:col>11</xdr:col>
      <xdr:colOff>55217</xdr:colOff>
      <xdr:row>8</xdr:row>
      <xdr:rowOff>0</xdr:rowOff>
    </xdr:to>
    <xdr:sp macro="" textlink="Sheet2!F11">
      <xdr:nvSpPr>
        <xdr:cNvPr id="10" name="Rectangle: Rounded Corners 9">
          <a:extLst>
            <a:ext uri="{FF2B5EF4-FFF2-40B4-BE49-F238E27FC236}">
              <a16:creationId xmlns:a16="http://schemas.microsoft.com/office/drawing/2014/main" id="{DC3B4896-FA2D-7E9E-8323-0EB7A0222879}"/>
            </a:ext>
          </a:extLst>
        </xdr:cNvPr>
        <xdr:cNvSpPr/>
      </xdr:nvSpPr>
      <xdr:spPr>
        <a:xfrm>
          <a:off x="8675020" y="1257483"/>
          <a:ext cx="3285067" cy="376952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54B6BFF5-2876-4287-9BA2-53600B1D4C78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1200</a:t>
          </a:fld>
          <a:endParaRPr lang="en-IN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1079685</xdr:colOff>
      <xdr:row>11</xdr:row>
      <xdr:rowOff>53746</xdr:rowOff>
    </xdr:from>
    <xdr:to>
      <xdr:col>4</xdr:col>
      <xdr:colOff>1021891</xdr:colOff>
      <xdr:row>21</xdr:row>
      <xdr:rowOff>53746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698E4AB-BB0C-4749-929D-1609724B8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1075268</xdr:colOff>
      <xdr:row>11</xdr:row>
      <xdr:rowOff>53488</xdr:rowOff>
    </xdr:from>
    <xdr:to>
      <xdr:col>7</xdr:col>
      <xdr:colOff>1016001</xdr:colOff>
      <xdr:row>21</xdr:row>
      <xdr:rowOff>77304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E43084-A483-4D5C-8F52-BB5D40C35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33866</xdr:colOff>
      <xdr:row>11</xdr:row>
      <xdr:rowOff>63684</xdr:rowOff>
    </xdr:from>
    <xdr:to>
      <xdr:col>11</xdr:col>
      <xdr:colOff>55217</xdr:colOff>
      <xdr:row>21</xdr:row>
      <xdr:rowOff>66260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39CBD1-4574-4E0F-B064-CB6530C56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1058333</xdr:colOff>
      <xdr:row>24</xdr:row>
      <xdr:rowOff>39020</xdr:rowOff>
    </xdr:from>
    <xdr:to>
      <xdr:col>4</xdr:col>
      <xdr:colOff>1082260</xdr:colOff>
      <xdr:row>34</xdr:row>
      <xdr:rowOff>143565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5A57BF4-E1F7-4DB6-9A21-A0AA6F5DB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55218</xdr:colOff>
      <xdr:row>24</xdr:row>
      <xdr:rowOff>33130</xdr:rowOff>
    </xdr:from>
    <xdr:to>
      <xdr:col>7</xdr:col>
      <xdr:colOff>1060174</xdr:colOff>
      <xdr:row>34</xdr:row>
      <xdr:rowOff>143564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3059699-3C00-489A-95EC-CFB3F4927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16933</xdr:colOff>
      <xdr:row>24</xdr:row>
      <xdr:rowOff>33131</xdr:rowOff>
    </xdr:from>
    <xdr:to>
      <xdr:col>11</xdr:col>
      <xdr:colOff>44174</xdr:colOff>
      <xdr:row>34</xdr:row>
      <xdr:rowOff>143565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4263C68-4A7D-4125-BBE0-8F96E941C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44173</xdr:colOff>
      <xdr:row>8</xdr:row>
      <xdr:rowOff>132521</xdr:rowOff>
    </xdr:from>
    <xdr:to>
      <xdr:col>11</xdr:col>
      <xdr:colOff>44172</xdr:colOff>
      <xdr:row>10</xdr:row>
      <xdr:rowOff>121478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8C5EEBB-8CA9-670B-F98F-729F89B8FC16}"/>
            </a:ext>
          </a:extLst>
        </xdr:cNvPr>
        <xdr:cNvSpPr txBox="1"/>
      </xdr:nvSpPr>
      <xdr:spPr>
        <a:xfrm>
          <a:off x="2208695" y="1766956"/>
          <a:ext cx="9740347" cy="364435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Monthly Sales Trend                                                                         Sales by Category                                                            Sales Channel Distribution</a:t>
          </a:r>
        </a:p>
      </xdr:txBody>
    </xdr:sp>
    <xdr:clientData/>
  </xdr:twoCellAnchor>
  <xdr:twoCellAnchor>
    <xdr:from>
      <xdr:col>1</xdr:col>
      <xdr:colOff>1027043</xdr:colOff>
      <xdr:row>21</xdr:row>
      <xdr:rowOff>154609</xdr:rowOff>
    </xdr:from>
    <xdr:to>
      <xdr:col>11</xdr:col>
      <xdr:colOff>66260</xdr:colOff>
      <xdr:row>23</xdr:row>
      <xdr:rowOff>132521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1E5FC26-F553-4F26-8561-87C3FEB3054A}"/>
            </a:ext>
          </a:extLst>
        </xdr:cNvPr>
        <xdr:cNvSpPr txBox="1"/>
      </xdr:nvSpPr>
      <xdr:spPr>
        <a:xfrm>
          <a:off x="2109304" y="4229652"/>
          <a:ext cx="9861826" cy="353391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050" b="1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+mn-cs"/>
            </a:rPr>
            <a:t>Sales by Region                                                           Payment Mode Distribution                                                     Top Products by Sales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137160</xdr:rowOff>
    </xdr:from>
    <xdr:to>
      <xdr:col>4</xdr:col>
      <xdr:colOff>1059180</xdr:colOff>
      <xdr:row>5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2F9088-DA39-4E6B-B666-0960C4ABCD96}"/>
            </a:ext>
          </a:extLst>
        </xdr:cNvPr>
        <xdr:cNvSpPr txBox="1"/>
      </xdr:nvSpPr>
      <xdr:spPr>
        <a:xfrm>
          <a:off x="2164080" y="708660"/>
          <a:ext cx="3223260" cy="33528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INVENTORY</a:t>
          </a:r>
          <a:r>
            <a:rPr lang="en-IN" sz="1400" b="1">
              <a:solidFill>
                <a:schemeClr val="bg1"/>
              </a:solidFill>
              <a:effectLst/>
            </a:rPr>
            <a:t> </a:t>
          </a:r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1059180</xdr:colOff>
      <xdr:row>3</xdr:row>
      <xdr:rowOff>137160</xdr:rowOff>
    </xdr:from>
    <xdr:to>
      <xdr:col>7</xdr:col>
      <xdr:colOff>1074420</xdr:colOff>
      <xdr:row>5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156979-A0F7-4105-A394-9740BC582953}"/>
            </a:ext>
          </a:extLst>
        </xdr:cNvPr>
        <xdr:cNvSpPr txBox="1"/>
      </xdr:nvSpPr>
      <xdr:spPr>
        <a:xfrm>
          <a:off x="5387340" y="708660"/>
          <a:ext cx="3261360" cy="30480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Sales</a:t>
          </a:r>
          <a:r>
            <a:rPr lang="en-IN" sz="1600" b="1">
              <a:solidFill>
                <a:schemeClr val="bg1"/>
              </a:solidFill>
              <a:effectLst/>
            </a:rPr>
            <a:t> </a:t>
          </a:r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3</xdr:row>
      <xdr:rowOff>137160</xdr:rowOff>
    </xdr:from>
    <xdr:to>
      <xdr:col>11</xdr:col>
      <xdr:colOff>15240</xdr:colOff>
      <xdr:row>5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CE8249-946D-4EE1-AA54-E4C5020B4255}"/>
            </a:ext>
          </a:extLst>
        </xdr:cNvPr>
        <xdr:cNvSpPr txBox="1"/>
      </xdr:nvSpPr>
      <xdr:spPr>
        <a:xfrm>
          <a:off x="8656320" y="708660"/>
          <a:ext cx="3261360" cy="30480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Sales</a:t>
          </a:r>
          <a:r>
            <a:rPr lang="en-IN" sz="1600" b="1">
              <a:solidFill>
                <a:schemeClr val="bg1"/>
              </a:solidFill>
              <a:effectLst/>
            </a:rPr>
            <a:t> </a:t>
          </a:r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7620</xdr:colOff>
      <xdr:row>5</xdr:row>
      <xdr:rowOff>160020</xdr:rowOff>
    </xdr:from>
    <xdr:to>
      <xdr:col>4</xdr:col>
      <xdr:colOff>1074420</xdr:colOff>
      <xdr:row>7</xdr:row>
      <xdr:rowOff>175260</xdr:rowOff>
    </xdr:to>
    <xdr:sp macro="" textlink="Sheet2!Q8">
      <xdr:nvSpPr>
        <xdr:cNvPr id="6" name="Rectangle: Rounded Corners 5">
          <a:extLst>
            <a:ext uri="{FF2B5EF4-FFF2-40B4-BE49-F238E27FC236}">
              <a16:creationId xmlns:a16="http://schemas.microsoft.com/office/drawing/2014/main" id="{4F8807A3-57DB-474E-B980-DB141FAC66D4}"/>
            </a:ext>
          </a:extLst>
        </xdr:cNvPr>
        <xdr:cNvSpPr/>
      </xdr:nvSpPr>
      <xdr:spPr>
        <a:xfrm>
          <a:off x="2171700" y="1112520"/>
          <a:ext cx="3230880" cy="39624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E1AF889-2F59-4859-AFD9-94FABE0EAC1E}" type="TxLink">
            <a:rPr lang="en-US" sz="1100" b="1" i="0" u="none" strike="noStrike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Calibri"/>
            </a:rPr>
            <a:pPr marL="0" indent="0" algn="ctr"/>
            <a:t>3501388032</a:t>
          </a:fld>
          <a:endParaRPr lang="en-IN" sz="1100" b="1" i="0" u="none" strike="noStrike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  <a:cs typeface="Calibri"/>
          </a:endParaRPr>
        </a:p>
      </xdr:txBody>
    </xdr:sp>
    <xdr:clientData/>
  </xdr:twoCellAnchor>
  <xdr:twoCellAnchor>
    <xdr:from>
      <xdr:col>5</xdr:col>
      <xdr:colOff>22860</xdr:colOff>
      <xdr:row>5</xdr:row>
      <xdr:rowOff>152400</xdr:rowOff>
    </xdr:from>
    <xdr:to>
      <xdr:col>7</xdr:col>
      <xdr:colOff>1059180</xdr:colOff>
      <xdr:row>7</xdr:row>
      <xdr:rowOff>175260</xdr:rowOff>
    </xdr:to>
    <xdr:sp macro="" textlink="Sheet2!Q9">
      <xdr:nvSpPr>
        <xdr:cNvPr id="8" name="Rectangle: Rounded Corners 7">
          <a:extLst>
            <a:ext uri="{FF2B5EF4-FFF2-40B4-BE49-F238E27FC236}">
              <a16:creationId xmlns:a16="http://schemas.microsoft.com/office/drawing/2014/main" id="{BCDFECA7-1AB5-4204-AF5D-9DBC1174B558}"/>
            </a:ext>
          </a:extLst>
        </xdr:cNvPr>
        <xdr:cNvSpPr/>
      </xdr:nvSpPr>
      <xdr:spPr>
        <a:xfrm>
          <a:off x="5433060" y="1104900"/>
          <a:ext cx="3200400" cy="40386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0BC16A5-42EE-4F91-8CF3-6A9AF3C7540E}" type="TxLink">
            <a:rPr lang="en-US" sz="1100" b="1" i="0" u="none" strike="noStrike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Calibri"/>
            </a:rPr>
            <a:pPr marL="0" indent="0" algn="ctr"/>
            <a:t>110575</a:t>
          </a:fld>
          <a:endParaRPr lang="en-IN" sz="1100" b="1" i="0" u="none" strike="noStrike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  <a:cs typeface="Calibri"/>
          </a:endParaRPr>
        </a:p>
      </xdr:txBody>
    </xdr:sp>
    <xdr:clientData/>
  </xdr:twoCellAnchor>
  <xdr:twoCellAnchor>
    <xdr:from>
      <xdr:col>2</xdr:col>
      <xdr:colOff>7620</xdr:colOff>
      <xdr:row>1</xdr:row>
      <xdr:rowOff>22860</xdr:rowOff>
    </xdr:from>
    <xdr:to>
      <xdr:col>14</xdr:col>
      <xdr:colOff>38100</xdr:colOff>
      <xdr:row>3</xdr:row>
      <xdr:rowOff>7620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D7BDDB-1A8D-8A56-322C-8D52572F984B}"/>
            </a:ext>
          </a:extLst>
        </xdr:cNvPr>
        <xdr:cNvSpPr txBox="1"/>
      </xdr:nvSpPr>
      <xdr:spPr>
        <a:xfrm>
          <a:off x="2171700" y="213360"/>
          <a:ext cx="13014960" cy="36576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bg1"/>
              </a:solidFill>
            </a:rPr>
            <a:t>INVENTORY</a:t>
          </a:r>
          <a:r>
            <a:rPr lang="en-IN" sz="2400" b="1" baseline="0">
              <a:solidFill>
                <a:schemeClr val="bg1"/>
              </a:solidFill>
            </a:rPr>
            <a:t> DASHBOARD</a:t>
          </a:r>
          <a:endParaRPr lang="en-IN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22860</xdr:colOff>
      <xdr:row>3</xdr:row>
      <xdr:rowOff>144780</xdr:rowOff>
    </xdr:from>
    <xdr:to>
      <xdr:col>14</xdr:col>
      <xdr:colOff>38100</xdr:colOff>
      <xdr:row>5</xdr:row>
      <xdr:rowOff>68580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FA50A8-B055-4013-A6DF-811083809D35}"/>
            </a:ext>
          </a:extLst>
        </xdr:cNvPr>
        <xdr:cNvSpPr txBox="1"/>
      </xdr:nvSpPr>
      <xdr:spPr>
        <a:xfrm>
          <a:off x="11925300" y="716280"/>
          <a:ext cx="3261360" cy="30480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IN" sz="16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SUPPLY RATING </a:t>
          </a:r>
        </a:p>
      </xdr:txBody>
    </xdr:sp>
    <xdr:clientData/>
  </xdr:twoCellAnchor>
  <xdr:twoCellAnchor>
    <xdr:from>
      <xdr:col>8</xdr:col>
      <xdr:colOff>15240</xdr:colOff>
      <xdr:row>5</xdr:row>
      <xdr:rowOff>160020</xdr:rowOff>
    </xdr:from>
    <xdr:to>
      <xdr:col>10</xdr:col>
      <xdr:colOff>1051560</xdr:colOff>
      <xdr:row>7</xdr:row>
      <xdr:rowOff>182880</xdr:rowOff>
    </xdr:to>
    <xdr:sp macro="" textlink="Sheet2!Q10">
      <xdr:nvSpPr>
        <xdr:cNvPr id="11" name="Rectangle: Rounded Corners 10">
          <a:extLst>
            <a:ext uri="{FF2B5EF4-FFF2-40B4-BE49-F238E27FC236}">
              <a16:creationId xmlns:a16="http://schemas.microsoft.com/office/drawing/2014/main" id="{A45708B3-9522-4F7A-BA68-4CED849F49B9}"/>
            </a:ext>
          </a:extLst>
        </xdr:cNvPr>
        <xdr:cNvSpPr/>
      </xdr:nvSpPr>
      <xdr:spPr>
        <a:xfrm>
          <a:off x="8671560" y="1112520"/>
          <a:ext cx="3200400" cy="40386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EB144B2-075D-4FB4-A2B7-A7471EF07570}" type="TxLink">
            <a:rPr lang="en-US" sz="1100" b="1" i="0" u="none" strike="noStrike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Calibri"/>
            </a:rPr>
            <a:pPr marL="0" indent="0" algn="ctr"/>
            <a:t>199</a:t>
          </a:fld>
          <a:endParaRPr lang="en-IN" sz="1100" b="1" i="0" u="none" strike="noStrike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  <a:cs typeface="Calibri"/>
          </a:endParaRPr>
        </a:p>
      </xdr:txBody>
    </xdr:sp>
    <xdr:clientData/>
  </xdr:twoCellAnchor>
  <xdr:twoCellAnchor>
    <xdr:from>
      <xdr:col>11</xdr:col>
      <xdr:colOff>38100</xdr:colOff>
      <xdr:row>5</xdr:row>
      <xdr:rowOff>137160</xdr:rowOff>
    </xdr:from>
    <xdr:to>
      <xdr:col>13</xdr:col>
      <xdr:colOff>1074420</xdr:colOff>
      <xdr:row>7</xdr:row>
      <xdr:rowOff>160020</xdr:rowOff>
    </xdr:to>
    <xdr:sp macro="" textlink="Sheet2!Q11">
      <xdr:nvSpPr>
        <xdr:cNvPr id="12" name="Rectangle: Rounded Corners 11">
          <a:extLst>
            <a:ext uri="{FF2B5EF4-FFF2-40B4-BE49-F238E27FC236}">
              <a16:creationId xmlns:a16="http://schemas.microsoft.com/office/drawing/2014/main" id="{9D5BD9AD-A52D-450F-B775-C67BBCDB06D5}"/>
            </a:ext>
          </a:extLst>
        </xdr:cNvPr>
        <xdr:cNvSpPr/>
      </xdr:nvSpPr>
      <xdr:spPr>
        <a:xfrm>
          <a:off x="11940540" y="1089660"/>
          <a:ext cx="3200400" cy="40386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FBDADDE-D60D-4EB9-A9EF-FCD701FB1181}" type="TxLink">
            <a:rPr lang="en-US" sz="1100" b="1" i="0" u="none" strike="noStrike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Calibri"/>
            </a:rPr>
            <a:pPr marL="0" indent="0" algn="ctr"/>
            <a:t>4.2715</a:t>
          </a:fld>
          <a:endParaRPr lang="en-IN" sz="1100" b="1" i="0" u="none" strike="noStrike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  <a:cs typeface="Calibri"/>
          </a:endParaRPr>
        </a:p>
      </xdr:txBody>
    </xdr:sp>
    <xdr:clientData/>
  </xdr:twoCellAnchor>
  <xdr:twoCellAnchor>
    <xdr:from>
      <xdr:col>2</xdr:col>
      <xdr:colOff>0</xdr:colOff>
      <xdr:row>9</xdr:row>
      <xdr:rowOff>38100</xdr:rowOff>
    </xdr:from>
    <xdr:to>
      <xdr:col>13</xdr:col>
      <xdr:colOff>1059180</xdr:colOff>
      <xdr:row>10</xdr:row>
      <xdr:rowOff>152400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EC83DE-8F18-5516-5C97-245CF107BBF5}"/>
            </a:ext>
          </a:extLst>
        </xdr:cNvPr>
        <xdr:cNvSpPr txBox="1"/>
      </xdr:nvSpPr>
      <xdr:spPr>
        <a:xfrm>
          <a:off x="2164080" y="1752600"/>
          <a:ext cx="12961620" cy="304800"/>
        </a:xfrm>
        <a:prstGeom prst="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 i="0" u="none" strike="noStrike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Calibri"/>
            </a:rPr>
            <a:t>Stock by Category                                     Region-wise Stock                                                             Stock Status Distribution                                    Inventory Value By</a:t>
          </a:r>
          <a:r>
            <a:rPr lang="en-IN" sz="1100" b="1" i="0" u="none" strike="noStrike" baseline="0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Calibri"/>
            </a:rPr>
            <a:t> Category</a:t>
          </a:r>
          <a:endParaRPr lang="en-IN" sz="1100" b="1" i="0" u="none" strike="noStrike">
            <a:solidFill>
              <a:schemeClr val="bg1"/>
            </a:solidFill>
            <a:latin typeface="Segoe UI Emoji" panose="020B0502040204020203" pitchFamily="34" charset="0"/>
            <a:ea typeface="Segoe UI Emoji" panose="020B0502040204020203" pitchFamily="34" charset="0"/>
            <a:cs typeface="Calibri"/>
          </a:endParaRPr>
        </a:p>
      </xdr:txBody>
    </xdr:sp>
    <xdr:clientData/>
  </xdr:twoCellAnchor>
  <xdr:twoCellAnchor>
    <xdr:from>
      <xdr:col>2</xdr:col>
      <xdr:colOff>22860</xdr:colOff>
      <xdr:row>12</xdr:row>
      <xdr:rowOff>15240</xdr:rowOff>
    </xdr:from>
    <xdr:to>
      <xdr:col>5</xdr:col>
      <xdr:colOff>0</xdr:colOff>
      <xdr:row>22</xdr:row>
      <xdr:rowOff>175260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D071931-BAAA-44A9-8623-4AE2CDDCA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11</xdr:row>
      <xdr:rowOff>182880</xdr:rowOff>
    </xdr:from>
    <xdr:to>
      <xdr:col>11</xdr:col>
      <xdr:colOff>0</xdr:colOff>
      <xdr:row>23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D7BED5A-B77C-4DA3-9383-5B9C5EE45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</xdr:colOff>
      <xdr:row>11</xdr:row>
      <xdr:rowOff>182880</xdr:rowOff>
    </xdr:from>
    <xdr:to>
      <xdr:col>14</xdr:col>
      <xdr:colOff>0</xdr:colOff>
      <xdr:row>23</xdr:row>
      <xdr:rowOff>7620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853DAF5-D23E-4041-939F-F632E20BB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15240</xdr:colOff>
      <xdr:row>12</xdr:row>
      <xdr:rowOff>7620</xdr:rowOff>
    </xdr:from>
    <xdr:to>
      <xdr:col>7</xdr:col>
      <xdr:colOff>1066800</xdr:colOff>
      <xdr:row>22</xdr:row>
      <xdr:rowOff>160020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708D8C5-F9C0-4EEC-BBD9-11872A524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22860</xdr:colOff>
      <xdr:row>24</xdr:row>
      <xdr:rowOff>38100</xdr:rowOff>
    </xdr:from>
    <xdr:to>
      <xdr:col>11</xdr:col>
      <xdr:colOff>7620</xdr:colOff>
      <xdr:row>26</xdr:row>
      <xdr:rowOff>7620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F1FDE8-27E4-4099-98E1-140CDC3D26FC}"/>
            </a:ext>
          </a:extLst>
        </xdr:cNvPr>
        <xdr:cNvSpPr txBox="1"/>
      </xdr:nvSpPr>
      <xdr:spPr>
        <a:xfrm>
          <a:off x="2186940" y="4610100"/>
          <a:ext cx="9723120" cy="350520"/>
        </a:xfrm>
        <a:prstGeom prst="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b="1"/>
            <a:t>                 Current</a:t>
          </a:r>
          <a:r>
            <a:rPr lang="en-IN" b="1" baseline="0"/>
            <a:t> Stock Vs Inventory Value</a:t>
          </a:r>
          <a:r>
            <a:rPr lang="en-IN" b="1"/>
            <a:t>                                              Supplier Rating                                                                       Stock</a:t>
          </a:r>
          <a:r>
            <a:rPr lang="en-IN" b="1" baseline="0"/>
            <a:t> By Supplier</a:t>
          </a:r>
          <a:r>
            <a:rPr lang="en-IN" b="1"/>
            <a:t>                          </a:t>
          </a:r>
          <a:r>
            <a:rPr lang="en-IN" sz="1100" b="1" i="0" u="none" strike="noStrike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Calibri"/>
            </a:rPr>
            <a:t>  </a:t>
          </a:r>
        </a:p>
      </xdr:txBody>
    </xdr:sp>
    <xdr:clientData/>
  </xdr:twoCellAnchor>
  <xdr:twoCellAnchor editAs="oneCell">
    <xdr:from>
      <xdr:col>2</xdr:col>
      <xdr:colOff>1</xdr:colOff>
      <xdr:row>27</xdr:row>
      <xdr:rowOff>1</xdr:rowOff>
    </xdr:from>
    <xdr:to>
      <xdr:col>5</xdr:col>
      <xdr:colOff>7621</xdr:colOff>
      <xdr:row>37</xdr:row>
      <xdr:rowOff>50707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765BEAD-8C10-49E2-1C12-89DDA76F4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4081" y="5143501"/>
          <a:ext cx="3253740" cy="1955706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26</xdr:row>
      <xdr:rowOff>182880</xdr:rowOff>
    </xdr:from>
    <xdr:to>
      <xdr:col>8</xdr:col>
      <xdr:colOff>7620</xdr:colOff>
      <xdr:row>37</xdr:row>
      <xdr:rowOff>53340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B6ECFF4-0969-4E2A-A92F-65742D098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15240</xdr:colOff>
      <xdr:row>26</xdr:row>
      <xdr:rowOff>175260</xdr:rowOff>
    </xdr:from>
    <xdr:to>
      <xdr:col>11</xdr:col>
      <xdr:colOff>30480</xdr:colOff>
      <xdr:row>37</xdr:row>
      <xdr:rowOff>60960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92302AB-1A2C-49EF-A12E-D97B0C938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ay Parashar" refreshedDate="46221.890727314814" createdVersion="8" refreshedVersion="8" minRefreshableVersion="3" recordCount="1200" xr:uid="{BCE3712E-B4F0-43FD-8FDB-2933ACD9457F}">
  <cacheSource type="worksheet">
    <worksheetSource ref="A1:V1201" sheet="Orders_Data"/>
  </cacheSource>
  <cacheFields count="24">
    <cacheField name="Order_ID" numFmtId="0">
      <sharedItems/>
    </cacheField>
    <cacheField name="Order_Date" numFmtId="169">
      <sharedItems containsSemiMixedTypes="0" containsNonDate="0" containsDate="1" containsString="0" minDate="2026-01-01T00:00:00" maxDate="2026-07-01T00:00:00" count="181">
        <d v="2026-05-13T00:00:00"/>
        <d v="2026-05-17T00:00:00"/>
        <d v="2026-03-25T00:00:00"/>
        <d v="2026-05-25T00:00:00"/>
        <d v="2026-02-23T00:00:00"/>
        <d v="2026-01-13T00:00:00"/>
        <d v="2026-01-31T00:00:00"/>
        <d v="2026-03-16T00:00:00"/>
        <d v="2026-01-18T00:00:00"/>
        <d v="2026-02-21T00:00:00"/>
        <d v="2026-05-01T00:00:00"/>
        <d v="2026-05-09T00:00:00"/>
        <d v="2026-02-02T00:00:00"/>
        <d v="2026-04-21T00:00:00"/>
        <d v="2026-01-10T00:00:00"/>
        <d v="2026-03-28T00:00:00"/>
        <d v="2026-05-16T00:00:00"/>
        <d v="2026-01-05T00:00:00"/>
        <d v="2026-01-01T00:00:00"/>
        <d v="2026-04-10T00:00:00"/>
        <d v="2026-06-30T00:00:00"/>
        <d v="2026-05-08T00:00:00"/>
        <d v="2026-02-16T00:00:00"/>
        <d v="2026-05-31T00:00:00"/>
        <d v="2026-03-17T00:00:00"/>
        <d v="2026-05-06T00:00:00"/>
        <d v="2026-04-11T00:00:00"/>
        <d v="2026-01-03T00:00:00"/>
        <d v="2026-02-22T00:00:00"/>
        <d v="2026-01-11T00:00:00"/>
        <d v="2026-01-30T00:00:00"/>
        <d v="2026-02-01T00:00:00"/>
        <d v="2026-04-05T00:00:00"/>
        <d v="2026-02-26T00:00:00"/>
        <d v="2026-06-24T00:00:00"/>
        <d v="2026-01-12T00:00:00"/>
        <d v="2026-01-19T00:00:00"/>
        <d v="2026-06-29T00:00:00"/>
        <d v="2026-04-30T00:00:00"/>
        <d v="2026-01-15T00:00:00"/>
        <d v="2026-04-08T00:00:00"/>
        <d v="2026-01-21T00:00:00"/>
        <d v="2026-03-22T00:00:00"/>
        <d v="2026-05-23T00:00:00"/>
        <d v="2026-04-16T00:00:00"/>
        <d v="2026-03-05T00:00:00"/>
        <d v="2026-03-26T00:00:00"/>
        <d v="2026-02-08T00:00:00"/>
        <d v="2026-01-22T00:00:00"/>
        <d v="2026-03-13T00:00:00"/>
        <d v="2026-04-07T00:00:00"/>
        <d v="2026-03-14T00:00:00"/>
        <d v="2026-03-30T00:00:00"/>
        <d v="2026-04-19T00:00:00"/>
        <d v="2026-04-01T00:00:00"/>
        <d v="2026-02-28T00:00:00"/>
        <d v="2026-06-16T00:00:00"/>
        <d v="2026-06-21T00:00:00"/>
        <d v="2026-06-25T00:00:00"/>
        <d v="2026-04-06T00:00:00"/>
        <d v="2026-06-06T00:00:00"/>
        <d v="2026-04-23T00:00:00"/>
        <d v="2026-02-25T00:00:00"/>
        <d v="2026-02-24T00:00:00"/>
        <d v="2026-03-27T00:00:00"/>
        <d v="2026-05-27T00:00:00"/>
        <d v="2026-02-15T00:00:00"/>
        <d v="2026-04-03T00:00:00"/>
        <d v="2026-06-20T00:00:00"/>
        <d v="2026-03-24T00:00:00"/>
        <d v="2026-01-23T00:00:00"/>
        <d v="2026-05-19T00:00:00"/>
        <d v="2026-04-18T00:00:00"/>
        <d v="2026-04-28T00:00:00"/>
        <d v="2026-03-01T00:00:00"/>
        <d v="2026-06-15T00:00:00"/>
        <d v="2026-03-18T00:00:00"/>
        <d v="2026-04-25T00:00:00"/>
        <d v="2026-01-20T00:00:00"/>
        <d v="2026-01-26T00:00:00"/>
        <d v="2026-02-14T00:00:00"/>
        <d v="2026-01-16T00:00:00"/>
        <d v="2026-06-08T00:00:00"/>
        <d v="2026-02-18T00:00:00"/>
        <d v="2026-02-09T00:00:00"/>
        <d v="2026-06-05T00:00:00"/>
        <d v="2026-01-29T00:00:00"/>
        <d v="2026-01-27T00:00:00"/>
        <d v="2026-05-26T00:00:00"/>
        <d v="2026-03-15T00:00:00"/>
        <d v="2026-04-27T00:00:00"/>
        <d v="2026-02-20T00:00:00"/>
        <d v="2026-03-07T00:00:00"/>
        <d v="2026-03-04T00:00:00"/>
        <d v="2026-04-29T00:00:00"/>
        <d v="2026-06-11T00:00:00"/>
        <d v="2026-06-10T00:00:00"/>
        <d v="2026-03-29T00:00:00"/>
        <d v="2026-03-20T00:00:00"/>
        <d v="2026-04-22T00:00:00"/>
        <d v="2026-04-14T00:00:00"/>
        <d v="2026-05-05T00:00:00"/>
        <d v="2026-04-15T00:00:00"/>
        <d v="2026-02-11T00:00:00"/>
        <d v="2026-05-11T00:00:00"/>
        <d v="2026-06-02T00:00:00"/>
        <d v="2026-02-07T00:00:00"/>
        <d v="2026-06-13T00:00:00"/>
        <d v="2026-03-11T00:00:00"/>
        <d v="2026-01-07T00:00:00"/>
        <d v="2026-01-08T00:00:00"/>
        <d v="2026-03-19T00:00:00"/>
        <d v="2026-04-02T00:00:00"/>
        <d v="2026-03-23T00:00:00"/>
        <d v="2026-06-01T00:00:00"/>
        <d v="2026-04-09T00:00:00"/>
        <d v="2026-05-07T00:00:00"/>
        <d v="2026-06-07T00:00:00"/>
        <d v="2026-06-19T00:00:00"/>
        <d v="2026-05-24T00:00:00"/>
        <d v="2026-06-14T00:00:00"/>
        <d v="2026-01-17T00:00:00"/>
        <d v="2026-01-28T00:00:00"/>
        <d v="2026-01-04T00:00:00"/>
        <d v="2026-06-28T00:00:00"/>
        <d v="2026-05-21T00:00:00"/>
        <d v="2026-05-02T00:00:00"/>
        <d v="2026-06-17T00:00:00"/>
        <d v="2026-03-08T00:00:00"/>
        <d v="2026-04-20T00:00:00"/>
        <d v="2026-01-24T00:00:00"/>
        <d v="2026-05-22T00:00:00"/>
        <d v="2026-02-10T00:00:00"/>
        <d v="2026-03-03T00:00:00"/>
        <d v="2026-05-03T00:00:00"/>
        <d v="2026-05-14T00:00:00"/>
        <d v="2026-06-09T00:00:00"/>
        <d v="2026-04-17T00:00:00"/>
        <d v="2026-01-02T00:00:00"/>
        <d v="2026-02-17T00:00:00"/>
        <d v="2026-04-04T00:00:00"/>
        <d v="2026-06-22T00:00:00"/>
        <d v="2026-06-03T00:00:00"/>
        <d v="2026-03-02T00:00:00"/>
        <d v="2026-05-29T00:00:00"/>
        <d v="2026-02-13T00:00:00"/>
        <d v="2026-05-30T00:00:00"/>
        <d v="2026-02-27T00:00:00"/>
        <d v="2026-06-18T00:00:00"/>
        <d v="2026-04-13T00:00:00"/>
        <d v="2026-02-12T00:00:00"/>
        <d v="2026-02-06T00:00:00"/>
        <d v="2026-02-19T00:00:00"/>
        <d v="2026-06-23T00:00:00"/>
        <d v="2026-05-10T00:00:00"/>
        <d v="2026-05-15T00:00:00"/>
        <d v="2026-02-04T00:00:00"/>
        <d v="2026-04-26T00:00:00"/>
        <d v="2026-04-24T00:00:00"/>
        <d v="2026-03-06T00:00:00"/>
        <d v="2026-05-18T00:00:00"/>
        <d v="2026-06-12T00:00:00"/>
        <d v="2026-06-26T00:00:00"/>
        <d v="2026-05-12T00:00:00"/>
        <d v="2026-05-28T00:00:00"/>
        <d v="2026-02-05T00:00:00"/>
        <d v="2026-03-10T00:00:00"/>
        <d v="2026-01-06T00:00:00"/>
        <d v="2026-05-04T00:00:00"/>
        <d v="2026-03-31T00:00:00"/>
        <d v="2026-03-21T00:00:00"/>
        <d v="2026-01-09T00:00:00"/>
        <d v="2026-02-03T00:00:00"/>
        <d v="2026-05-20T00:00:00"/>
        <d v="2026-06-04T00:00:00"/>
        <d v="2026-01-25T00:00:00"/>
        <d v="2026-01-14T00:00:00"/>
        <d v="2026-06-27T00:00:00"/>
        <d v="2026-03-09T00:00:00"/>
        <d v="2026-04-12T00:00:00"/>
        <d v="2026-03-12T00:00:00"/>
      </sharedItems>
      <fieldGroup par="23"/>
    </cacheField>
    <cacheField name="Customer_ID" numFmtId="0">
      <sharedItems/>
    </cacheField>
    <cacheField name="Customer_Name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Product_ID" numFmtId="0">
      <sharedItems/>
    </cacheField>
    <cacheField name="Product_Name" numFmtId="0">
      <sharedItems/>
    </cacheField>
    <cacheField name="Category" numFmtId="0">
      <sharedItems count="4">
        <s v="Fashion"/>
        <s v="Electronics"/>
        <s v="Furniture"/>
        <s v="Home"/>
      </sharedItems>
    </cacheField>
    <cacheField name="Sub_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538" maxValue="79898"/>
    </cacheField>
    <cacheField name="Discount_%" numFmtId="0">
      <sharedItems containsSemiMixedTypes="0" containsString="0" containsNumber="1" containsInteger="1" minValue="0" maxValue="20"/>
    </cacheField>
    <cacheField name="Sales_Amount" numFmtId="0">
      <sharedItems containsSemiMixedTypes="0" containsString="0" containsNumber="1" minValue="549.95000000000005" maxValue="388480"/>
    </cacheField>
    <cacheField name="Cost_Price" numFmtId="0">
      <sharedItems containsSemiMixedTypes="0" containsString="0" containsNumber="1" minValue="474.98" maxValue="334899.27"/>
    </cacheField>
    <cacheField name="Profit" numFmtId="0">
      <sharedItems containsSemiMixedTypes="0" containsString="0" containsNumber="1" minValue="-12677.93" maxValue="128005.77"/>
    </cacheField>
    <cacheField name="Payment_Mode" numFmtId="0">
      <sharedItems/>
    </cacheField>
    <cacheField name="Sales_Channel" numFmtId="0">
      <sharedItems/>
    </cacheField>
    <cacheField name="Delivery_Status" numFmtId="0">
      <sharedItems/>
    </cacheField>
    <cacheField name="Customer_Rating" numFmtId="0">
      <sharedItems containsSemiMixedTypes="0" containsString="0" containsNumber="1" containsInteger="1" minValue="1" maxValue="5"/>
    </cacheField>
    <cacheField name="Return_Status" numFmtId="0">
      <sharedItems/>
    </cacheField>
    <cacheField name="Days (Order_Date)" numFmtId="0" databaseField="0">
      <fieldGroup base="1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Order_Date)" numFmtId="0" databaseField="0">
      <fieldGroup base="1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ay Parashar" refreshedDate="46222.007685069446" createdVersion="8" refreshedVersion="8" minRefreshableVersion="3" recordCount="800" xr:uid="{C428E59F-E252-4A22-9F23-C7520CE96B81}">
  <cacheSource type="worksheet">
    <worksheetSource ref="A1:Q801" sheet="Inventory_Data"/>
  </cacheSource>
  <cacheFields count="17">
    <cacheField name="Product_ID" numFmtId="0">
      <sharedItems/>
    </cacheField>
    <cacheField name="Product_Name" numFmtId="0">
      <sharedItems/>
    </cacheField>
    <cacheField name="Category" numFmtId="0">
      <sharedItems count="4">
        <s v="Electronics"/>
        <s v="Furniture"/>
        <s v="Home"/>
        <s v="Fashion"/>
      </sharedItems>
    </cacheField>
    <cacheField name="Warehouse" numFmtId="0">
      <sharedItems/>
    </cacheField>
    <cacheField name="Supplier" numFmtId="0">
      <sharedItems count="4">
        <s v="TechCorp"/>
        <s v="NovaSupply"/>
        <s v="PrimeTrade"/>
        <s v="SupplyHub"/>
      </sharedItems>
    </cacheField>
    <cacheField name="Stock_Received" numFmtId="0">
      <sharedItems containsSemiMixedTypes="0" containsString="0" containsNumber="1" containsInteger="1" minValue="50" maxValue="500"/>
    </cacheField>
    <cacheField name="Stock_Sold" numFmtId="0">
      <sharedItems containsSemiMixedTypes="0" containsString="0" containsNumber="1" containsInteger="1" minValue="0" maxValue="477"/>
    </cacheField>
    <cacheField name="Current_Stock" numFmtId="0">
      <sharedItems containsSemiMixedTypes="0" containsString="0" containsNumber="1" containsInteger="1" minValue="0" maxValue="485"/>
    </cacheField>
    <cacheField name="Reorder_Level" numFmtId="0">
      <sharedItems containsSemiMixedTypes="0" containsString="0" containsNumber="1" containsInteger="1" minValue="20" maxValue="80"/>
    </cacheField>
    <cacheField name="Unit_Cost" numFmtId="0">
      <sharedItems containsSemiMixedTypes="0" containsString="0" containsNumber="1" containsInteger="1" minValue="399" maxValue="59954"/>
    </cacheField>
    <cacheField name="Selling_Price" numFmtId="0">
      <sharedItems containsSemiMixedTypes="0" containsString="0" containsNumber="1" minValue="529.23" maxValue="82383.89"/>
    </cacheField>
    <cacheField name="Inventory_Value" numFmtId="0">
      <sharedItems containsSemiMixedTypes="0" containsString="0" containsNumber="1" containsInteger="1" minValue="0" maxValue="24517778"/>
    </cacheField>
    <cacheField name="Damaged_Units" numFmtId="0">
      <sharedItems containsSemiMixedTypes="0" containsString="0" containsNumber="1" containsInteger="1" minValue="0" maxValue="5"/>
    </cacheField>
    <cacheField name="Lead_Time_Days" numFmtId="0">
      <sharedItems containsSemiMixedTypes="0" containsString="0" containsNumber="1" containsInteger="1" minValue="2" maxValue="15"/>
    </cacheField>
    <cacheField name="Supplier_Rating" numFmtId="0">
      <sharedItems containsSemiMixedTypes="0" containsString="0" containsNumber="1" minValue="3.5" maxValue="5"/>
    </cacheField>
    <cacheField name="Last_Restock_Date" numFmtId="164">
      <sharedItems containsSemiMixedTypes="0" containsNonDate="0" containsDate="1" containsString="0" minDate="2026-01-01T00:00:00" maxDate="2026-07-01T00:00:00"/>
    </cacheField>
    <cacheField name="Stock_Status" numFmtId="0">
      <sharedItems count="3">
        <s v="Normal"/>
        <s v="Low"/>
        <s v="O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0001"/>
    <x v="0"/>
    <s v="C1087"/>
    <s v="Karan"/>
    <s v="Pune"/>
    <s v="Maharashtra"/>
    <x v="0"/>
    <s v="P025"/>
    <s v="Shoes 25"/>
    <x v="0"/>
    <s v="Shoes"/>
    <n v="5"/>
    <n v="27720"/>
    <n v="10"/>
    <n v="124740"/>
    <n v="110047.41"/>
    <n v="14692.59"/>
    <s v="Card"/>
    <s v="Offline"/>
    <s v="Delivered"/>
    <n v="4"/>
    <s v="No"/>
  </r>
  <r>
    <s v="ORD0002"/>
    <x v="1"/>
    <s v="C1189"/>
    <s v="Aman"/>
    <s v="Chennai"/>
    <s v="Tamil Nadu"/>
    <x v="1"/>
    <s v="P048"/>
    <s v="Shoes 48"/>
    <x v="0"/>
    <s v="Shoes"/>
    <n v="1"/>
    <n v="73635"/>
    <n v="15"/>
    <n v="62589.75"/>
    <n v="56147.55"/>
    <n v="6442.2"/>
    <s v="UPI"/>
    <s v="Offline"/>
    <s v="Delivered"/>
    <n v="1"/>
    <s v="Yes"/>
  </r>
  <r>
    <s v="ORD0003"/>
    <x v="2"/>
    <s v="C1196"/>
    <s v="Lakshay"/>
    <s v="Jaipur"/>
    <s v="Rajasthan"/>
    <x v="2"/>
    <s v="P019"/>
    <s v="Laptop 19"/>
    <x v="1"/>
    <s v="Laptop"/>
    <n v="2"/>
    <n v="73753"/>
    <n v="0"/>
    <n v="147506"/>
    <n v="117588.51"/>
    <n v="29917.49"/>
    <s v="UPI"/>
    <s v="Offline"/>
    <s v="Delivered"/>
    <n v="5"/>
    <s v="Yes"/>
  </r>
  <r>
    <s v="ORD0004"/>
    <x v="3"/>
    <s v="C1242"/>
    <s v="Sneha"/>
    <s v="Kolkata"/>
    <s v="West Bengal"/>
    <x v="3"/>
    <s v="P007"/>
    <s v="Laptop 7"/>
    <x v="1"/>
    <s v="Laptop"/>
    <n v="3"/>
    <n v="18611"/>
    <n v="15"/>
    <n v="47458.05"/>
    <n v="40125.480000000003"/>
    <n v="7332.57"/>
    <s v="Cash"/>
    <s v="Offline"/>
    <s v="Cancelled"/>
    <n v="3"/>
    <s v="Yes"/>
  </r>
  <r>
    <s v="ORD0005"/>
    <x v="4"/>
    <s v="C1251"/>
    <s v="Anjali"/>
    <s v="Chennai"/>
    <s v="Tamil Nadu"/>
    <x v="1"/>
    <s v="P064"/>
    <s v="Table 64"/>
    <x v="2"/>
    <s v="Table"/>
    <n v="3"/>
    <n v="19914"/>
    <n v="10"/>
    <n v="53767.8"/>
    <n v="37965.300000000003"/>
    <n v="15802.5"/>
    <s v="UPI"/>
    <s v="Offline"/>
    <s v="Pending"/>
    <n v="1"/>
    <s v="No"/>
  </r>
  <r>
    <s v="ORD0006"/>
    <x v="5"/>
    <s v="C1277"/>
    <s v="Neha"/>
    <s v="Bengaluru"/>
    <s v="Karnataka"/>
    <x v="1"/>
    <s v="P045"/>
    <s v="Chair 45"/>
    <x v="2"/>
    <s v="Chair"/>
    <n v="2"/>
    <n v="44996"/>
    <n v="20"/>
    <n v="71993.600000000006"/>
    <n v="54910.48"/>
    <n v="17083.12"/>
    <s v="Card"/>
    <s v="Online"/>
    <s v="Delivered"/>
    <n v="2"/>
    <s v="No"/>
  </r>
  <r>
    <s v="ORD0007"/>
    <x v="6"/>
    <s v="C1185"/>
    <s v="Neha"/>
    <s v="Kolkata"/>
    <s v="West Bengal"/>
    <x v="3"/>
    <s v="P083"/>
    <s v="Table 83"/>
    <x v="2"/>
    <s v="Table"/>
    <n v="3"/>
    <n v="54196"/>
    <n v="20"/>
    <n v="130070.39999999999"/>
    <n v="106515.81"/>
    <n v="23554.59"/>
    <s v="Card"/>
    <s v="Offline"/>
    <s v="Cancelled"/>
    <n v="4"/>
    <s v="Yes"/>
  </r>
  <r>
    <s v="ORD0008"/>
    <x v="7"/>
    <s v="C1105"/>
    <s v="Vikas"/>
    <s v="Kolkata"/>
    <s v="West Bengal"/>
    <x v="3"/>
    <s v="P099"/>
    <s v="Chair 99"/>
    <x v="2"/>
    <s v="Chair"/>
    <n v="3"/>
    <n v="66370"/>
    <n v="10"/>
    <n v="179199"/>
    <n v="163264.22"/>
    <n v="15934.78"/>
    <s v="Cash"/>
    <s v="Online"/>
    <s v="Cancelled"/>
    <n v="1"/>
    <s v="Yes"/>
  </r>
  <r>
    <s v="ORD0009"/>
    <x v="8"/>
    <s v="C1179"/>
    <s v="Aman"/>
    <s v="Mumbai"/>
    <s v="Maharashtra"/>
    <x v="0"/>
    <s v="P023"/>
    <s v="Mobile 23"/>
    <x v="1"/>
    <s v="Mobile"/>
    <n v="4"/>
    <n v="6035"/>
    <n v="20"/>
    <n v="19312"/>
    <n v="19952.77"/>
    <n v="-640.77"/>
    <s v="UPI"/>
    <s v="Offline"/>
    <s v="Delivered"/>
    <n v="3"/>
    <s v="No"/>
  </r>
  <r>
    <s v="ORD0010"/>
    <x v="9"/>
    <s v="C1235"/>
    <s v="Lakshay"/>
    <s v="Kolkata"/>
    <s v="West Bengal"/>
    <x v="3"/>
    <s v="P073"/>
    <s v="Mixer 73"/>
    <x v="3"/>
    <s v="Mixer"/>
    <n v="3"/>
    <n v="41563"/>
    <n v="20"/>
    <n v="99751.2"/>
    <n v="87180.86"/>
    <n v="12570.34"/>
    <s v="UPI"/>
    <s v="Offline"/>
    <s v="Pending"/>
    <n v="1"/>
    <s v="Yes"/>
  </r>
  <r>
    <s v="ORD0011"/>
    <x v="10"/>
    <s v="C1081"/>
    <s v="Aman"/>
    <s v="Jaipur"/>
    <s v="Rajasthan"/>
    <x v="2"/>
    <s v="P008"/>
    <s v="Shoes 8"/>
    <x v="0"/>
    <s v="Shoes"/>
    <n v="1"/>
    <n v="60732"/>
    <n v="20"/>
    <n v="48585.599999999999"/>
    <n v="36918.160000000003"/>
    <n v="11667.44"/>
    <s v="UPI"/>
    <s v="Offline"/>
    <s v="Pending"/>
    <n v="5"/>
    <s v="Yes"/>
  </r>
  <r>
    <s v="ORD0012"/>
    <x v="11"/>
    <s v="C1219"/>
    <s v="Priya"/>
    <s v="Chennai"/>
    <s v="Tamil Nadu"/>
    <x v="1"/>
    <s v="P025"/>
    <s v="Shoes 25"/>
    <x v="0"/>
    <s v="Shoes"/>
    <n v="3"/>
    <n v="56160"/>
    <n v="5"/>
    <n v="160056"/>
    <n v="111084.13"/>
    <n v="48971.87"/>
    <s v="Card"/>
    <s v="Offline"/>
    <s v="Cancelled"/>
    <n v="2"/>
    <s v="No"/>
  </r>
  <r>
    <s v="ORD0013"/>
    <x v="12"/>
    <s v="C1114"/>
    <s v="Anjali"/>
    <s v="Jaipur"/>
    <s v="Rajasthan"/>
    <x v="2"/>
    <s v="P076"/>
    <s v="Mixer 76"/>
    <x v="3"/>
    <s v="Mixer"/>
    <n v="2"/>
    <n v="716"/>
    <n v="5"/>
    <n v="1360.4"/>
    <n v="821.02"/>
    <n v="539.38"/>
    <s v="UPI"/>
    <s v="Online"/>
    <s v="Pending"/>
    <n v="3"/>
    <s v="No"/>
  </r>
  <r>
    <s v="ORD0014"/>
    <x v="13"/>
    <s v="C1169"/>
    <s v="Rohit"/>
    <s v="Mumbai"/>
    <s v="Maharashtra"/>
    <x v="0"/>
    <s v="P086"/>
    <s v="Mobile 86"/>
    <x v="1"/>
    <s v="Mobile"/>
    <n v="5"/>
    <n v="16942"/>
    <n v="5"/>
    <n v="80474.5"/>
    <n v="49637.5"/>
    <n v="30837"/>
    <s v="Cash"/>
    <s v="Online"/>
    <s v="Delivered"/>
    <n v="3"/>
    <s v="No"/>
  </r>
  <r>
    <s v="ORD0015"/>
    <x v="14"/>
    <s v="C1049"/>
    <s v="Vikas"/>
    <s v="Chennai"/>
    <s v="Tamil Nadu"/>
    <x v="1"/>
    <s v="P017"/>
    <s v="Shoes 17"/>
    <x v="0"/>
    <s v="Shoes"/>
    <n v="2"/>
    <n v="24924"/>
    <n v="10"/>
    <n v="44863.199999999997"/>
    <n v="29487.63"/>
    <n v="15375.57"/>
    <s v="Cash"/>
    <s v="Offline"/>
    <s v="Cancelled"/>
    <n v="5"/>
    <s v="No"/>
  </r>
  <r>
    <s v="ORD0016"/>
    <x v="15"/>
    <s v="C1078"/>
    <s v="Karan"/>
    <s v="Delhi"/>
    <s v="Delhi"/>
    <x v="2"/>
    <s v="P074"/>
    <s v="Mixer 74"/>
    <x v="3"/>
    <s v="Mixer"/>
    <n v="1"/>
    <n v="41931"/>
    <n v="20"/>
    <n v="33544.800000000003"/>
    <n v="23915.53"/>
    <n v="9629.27"/>
    <s v="UPI"/>
    <s v="Offline"/>
    <s v="Delivered"/>
    <n v="1"/>
    <s v="No"/>
  </r>
  <r>
    <s v="ORD0017"/>
    <x v="16"/>
    <s v="C1261"/>
    <s v="Neha"/>
    <s v="Kolkata"/>
    <s v="West Bengal"/>
    <x v="3"/>
    <s v="P044"/>
    <s v="Chair 44"/>
    <x v="2"/>
    <s v="Chair"/>
    <n v="5"/>
    <n v="65738"/>
    <n v="10"/>
    <n v="295821"/>
    <n v="269340.65999999997"/>
    <n v="26480.34"/>
    <s v="Card"/>
    <s v="Offline"/>
    <s v="Cancelled"/>
    <n v="4"/>
    <s v="Yes"/>
  </r>
  <r>
    <s v="ORD0018"/>
    <x v="17"/>
    <s v="C1263"/>
    <s v="Neha"/>
    <s v="Pune"/>
    <s v="Maharashtra"/>
    <x v="0"/>
    <s v="P036"/>
    <s v="Shoes 36"/>
    <x v="0"/>
    <s v="Shoes"/>
    <n v="3"/>
    <n v="41384"/>
    <n v="5"/>
    <n v="117944.4"/>
    <n v="88799.93"/>
    <n v="29144.47"/>
    <s v="UPI"/>
    <s v="Offline"/>
    <s v="Pending"/>
    <n v="1"/>
    <s v="Yes"/>
  </r>
  <r>
    <s v="ORD0019"/>
    <x v="18"/>
    <s v="C1224"/>
    <s v="Anjali"/>
    <s v="Delhi"/>
    <s v="Delhi"/>
    <x v="2"/>
    <s v="P025"/>
    <s v="Shoes 25"/>
    <x v="0"/>
    <s v="Shoes"/>
    <n v="5"/>
    <n v="6251"/>
    <n v="5"/>
    <n v="29692.25"/>
    <n v="21402.78"/>
    <n v="8289.4699999999993"/>
    <s v="Card"/>
    <s v="Offline"/>
    <s v="Cancelled"/>
    <n v="5"/>
    <s v="No"/>
  </r>
  <r>
    <s v="ORD0020"/>
    <x v="12"/>
    <s v="C1148"/>
    <s v="Sneha"/>
    <s v="Delhi"/>
    <s v="Delhi"/>
    <x v="2"/>
    <s v="P096"/>
    <s v="Chair 96"/>
    <x v="2"/>
    <s v="Chair"/>
    <n v="4"/>
    <n v="54507"/>
    <n v="5"/>
    <n v="207126.6"/>
    <n v="131803.68"/>
    <n v="75322.92"/>
    <s v="UPI"/>
    <s v="Online"/>
    <s v="Cancelled"/>
    <n v="3"/>
    <s v="Yes"/>
  </r>
  <r>
    <s v="ORD0021"/>
    <x v="19"/>
    <s v="C1204"/>
    <s v="Anjali"/>
    <s v="Jaipur"/>
    <s v="Rajasthan"/>
    <x v="2"/>
    <s v="P074"/>
    <s v="Mixer 74"/>
    <x v="3"/>
    <s v="Mixer"/>
    <n v="2"/>
    <n v="61709"/>
    <n v="5"/>
    <n v="117247.1"/>
    <n v="81652.27"/>
    <n v="35594.83"/>
    <s v="UPI"/>
    <s v="Offline"/>
    <s v="Pending"/>
    <n v="3"/>
    <s v="No"/>
  </r>
  <r>
    <s v="ORD0022"/>
    <x v="20"/>
    <s v="C1261"/>
    <s v="Karan"/>
    <s v="Mumbai"/>
    <s v="Maharashtra"/>
    <x v="0"/>
    <s v="P099"/>
    <s v="Chair 99"/>
    <x v="2"/>
    <s v="Chair"/>
    <n v="1"/>
    <n v="26392"/>
    <n v="15"/>
    <n v="22433.200000000001"/>
    <n v="17216.259999999998"/>
    <n v="5216.9399999999996"/>
    <s v="UPI"/>
    <s v="Online"/>
    <s v="Cancelled"/>
    <n v="1"/>
    <s v="Yes"/>
  </r>
  <r>
    <s v="ORD0023"/>
    <x v="21"/>
    <s v="C1251"/>
    <s v="Neha"/>
    <s v="Bengaluru"/>
    <s v="Karnataka"/>
    <x v="1"/>
    <s v="P040"/>
    <s v="Chair 40"/>
    <x v="2"/>
    <s v="Chair"/>
    <n v="3"/>
    <n v="15906"/>
    <n v="10"/>
    <n v="42946.2"/>
    <n v="34216.480000000003"/>
    <n v="8729.7199999999993"/>
    <s v="Cash"/>
    <s v="Online"/>
    <s v="Delivered"/>
    <n v="5"/>
    <s v="Yes"/>
  </r>
  <r>
    <s v="ORD0024"/>
    <x v="22"/>
    <s v="C1109"/>
    <s v="Rahul"/>
    <s v="Delhi"/>
    <s v="Delhi"/>
    <x v="2"/>
    <s v="P058"/>
    <s v="Mobile 58"/>
    <x v="1"/>
    <s v="Mobile"/>
    <n v="1"/>
    <n v="79766"/>
    <n v="5"/>
    <n v="75777.7"/>
    <n v="49039.22"/>
    <n v="26738.48"/>
    <s v="UPI"/>
    <s v="Offline"/>
    <s v="Delivered"/>
    <n v="4"/>
    <s v="Yes"/>
  </r>
  <r>
    <s v="ORD0025"/>
    <x v="23"/>
    <s v="C1216"/>
    <s v="Rohit"/>
    <s v="Mumbai"/>
    <s v="Maharashtra"/>
    <x v="0"/>
    <s v="P056"/>
    <s v="Shoes 56"/>
    <x v="0"/>
    <s v="Shoes"/>
    <n v="5"/>
    <n v="65014"/>
    <n v="0"/>
    <n v="325070"/>
    <n v="211686.13"/>
    <n v="113383.87"/>
    <s v="UPI"/>
    <s v="Offline"/>
    <s v="Delivered"/>
    <n v="3"/>
    <s v="Yes"/>
  </r>
  <r>
    <s v="ORD0026"/>
    <x v="1"/>
    <s v="C1175"/>
    <s v="Karan"/>
    <s v="Delhi"/>
    <s v="Delhi"/>
    <x v="2"/>
    <s v="P003"/>
    <s v="Mixer 3"/>
    <x v="3"/>
    <s v="Mixer"/>
    <n v="1"/>
    <n v="51060"/>
    <n v="10"/>
    <n v="45954"/>
    <n v="39732.15"/>
    <n v="6221.85"/>
    <s v="Card"/>
    <s v="Online"/>
    <s v="Cancelled"/>
    <n v="1"/>
    <s v="No"/>
  </r>
  <r>
    <s v="ORD0027"/>
    <x v="24"/>
    <s v="C1217"/>
    <s v="Karan"/>
    <s v="Chennai"/>
    <s v="Tamil Nadu"/>
    <x v="1"/>
    <s v="P067"/>
    <s v="Mixer 67"/>
    <x v="3"/>
    <s v="Mixer"/>
    <n v="5"/>
    <n v="52695"/>
    <n v="10"/>
    <n v="237127.5"/>
    <n v="211401"/>
    <n v="25726.5"/>
    <s v="Card"/>
    <s v="Online"/>
    <s v="Pending"/>
    <n v="2"/>
    <s v="No"/>
  </r>
  <r>
    <s v="ORD0028"/>
    <x v="25"/>
    <s v="C1066"/>
    <s v="Rohit"/>
    <s v="Jaipur"/>
    <s v="Rajasthan"/>
    <x v="2"/>
    <s v="P054"/>
    <s v="Mixer 54"/>
    <x v="3"/>
    <s v="Mixer"/>
    <n v="4"/>
    <n v="55838"/>
    <n v="15"/>
    <n v="189849.2"/>
    <n v="173386.53"/>
    <n v="16462.669999999998"/>
    <s v="UPI"/>
    <s v="Offline"/>
    <s v="Delivered"/>
    <n v="1"/>
    <s v="Yes"/>
  </r>
  <r>
    <s v="ORD0029"/>
    <x v="26"/>
    <s v="C1178"/>
    <s v="Rohit"/>
    <s v="Mumbai"/>
    <s v="Maharashtra"/>
    <x v="0"/>
    <s v="P006"/>
    <s v="Mobile 6"/>
    <x v="1"/>
    <s v="Mobile"/>
    <n v="5"/>
    <n v="12309"/>
    <n v="5"/>
    <n v="58467.75"/>
    <n v="44585.33"/>
    <n v="13882.42"/>
    <s v="UPI"/>
    <s v="Online"/>
    <s v="Pending"/>
    <n v="5"/>
    <s v="Yes"/>
  </r>
  <r>
    <s v="ORD0030"/>
    <x v="27"/>
    <s v="C1198"/>
    <s v="Sneha"/>
    <s v="Kolkata"/>
    <s v="West Bengal"/>
    <x v="3"/>
    <s v="P068"/>
    <s v="Mobile 68"/>
    <x v="1"/>
    <s v="Mobile"/>
    <n v="3"/>
    <n v="43302"/>
    <n v="15"/>
    <n v="110420.1"/>
    <n v="74096.160000000003"/>
    <n v="36323.94"/>
    <s v="UPI"/>
    <s v="Offline"/>
    <s v="Pending"/>
    <n v="4"/>
    <s v="No"/>
  </r>
  <r>
    <s v="ORD0031"/>
    <x v="28"/>
    <s v="C1135"/>
    <s v="Aman"/>
    <s v="Bengaluru"/>
    <s v="Karnataka"/>
    <x v="1"/>
    <s v="P002"/>
    <s v="Laptop 2"/>
    <x v="1"/>
    <s v="Laptop"/>
    <n v="4"/>
    <n v="68929"/>
    <n v="15"/>
    <n v="234358.6"/>
    <n v="227988.45"/>
    <n v="6370.15"/>
    <s v="Cash"/>
    <s v="Online"/>
    <s v="Delivered"/>
    <n v="4"/>
    <s v="Yes"/>
  </r>
  <r>
    <s v="ORD0032"/>
    <x v="29"/>
    <s v="C1160"/>
    <s v="Rohit"/>
    <s v="Mumbai"/>
    <s v="Maharashtra"/>
    <x v="0"/>
    <s v="P014"/>
    <s v="Mixer 14"/>
    <x v="3"/>
    <s v="Mixer"/>
    <n v="2"/>
    <n v="57271"/>
    <n v="15"/>
    <n v="97360.7"/>
    <n v="68355.77"/>
    <n v="29004.93"/>
    <s v="UPI"/>
    <s v="Online"/>
    <s v="Delivered"/>
    <n v="5"/>
    <s v="No"/>
  </r>
  <r>
    <s v="ORD0033"/>
    <x v="25"/>
    <s v="C1203"/>
    <s v="Anjali"/>
    <s v="Chennai"/>
    <s v="Tamil Nadu"/>
    <x v="1"/>
    <s v="P023"/>
    <s v="Mobile 23"/>
    <x v="1"/>
    <s v="Mobile"/>
    <n v="4"/>
    <n v="5292"/>
    <n v="20"/>
    <n v="16934.400000000001"/>
    <n v="14333.21"/>
    <n v="2601.19"/>
    <s v="Cash"/>
    <s v="Offline"/>
    <s v="Cancelled"/>
    <n v="1"/>
    <s v="No"/>
  </r>
  <r>
    <s v="ORD0034"/>
    <x v="30"/>
    <s v="C1263"/>
    <s v="Anjali"/>
    <s v="Mumbai"/>
    <s v="Maharashtra"/>
    <x v="0"/>
    <s v="P029"/>
    <s v="Mixer 29"/>
    <x v="3"/>
    <s v="Mixer"/>
    <n v="5"/>
    <n v="8517"/>
    <n v="5"/>
    <n v="40455.75"/>
    <n v="34368.25"/>
    <n v="6087.5"/>
    <s v="UPI"/>
    <s v="Online"/>
    <s v="Pending"/>
    <n v="5"/>
    <s v="Yes"/>
  </r>
  <r>
    <s v="ORD0035"/>
    <x v="21"/>
    <s v="C1228"/>
    <s v="Aman"/>
    <s v="Bengaluru"/>
    <s v="Karnataka"/>
    <x v="1"/>
    <s v="P042"/>
    <s v="Table 42"/>
    <x v="2"/>
    <s v="Table"/>
    <n v="3"/>
    <n v="23315"/>
    <n v="5"/>
    <n v="66447.75"/>
    <n v="58615.49"/>
    <n v="7832.26"/>
    <s v="Cash"/>
    <s v="Online"/>
    <s v="Delivered"/>
    <n v="4"/>
    <s v="No"/>
  </r>
  <r>
    <s v="ORD0036"/>
    <x v="31"/>
    <s v="C1136"/>
    <s v="Rahul"/>
    <s v="Delhi"/>
    <s v="Delhi"/>
    <x v="2"/>
    <s v="P063"/>
    <s v="Shoes 63"/>
    <x v="0"/>
    <s v="Shoes"/>
    <n v="3"/>
    <n v="44105"/>
    <n v="0"/>
    <n v="132315"/>
    <n v="88832.960000000006"/>
    <n v="43482.04"/>
    <s v="Card"/>
    <s v="Online"/>
    <s v="Pending"/>
    <n v="4"/>
    <s v="Yes"/>
  </r>
  <r>
    <s v="ORD0037"/>
    <x v="32"/>
    <s v="C1071"/>
    <s v="Vikas"/>
    <s v="Mumbai"/>
    <s v="Maharashtra"/>
    <x v="0"/>
    <s v="P068"/>
    <s v="Mobile 68"/>
    <x v="1"/>
    <s v="Mobile"/>
    <n v="3"/>
    <n v="65440"/>
    <n v="5"/>
    <n v="186504"/>
    <n v="112137.96"/>
    <n v="74366.039999999994"/>
    <s v="Cash"/>
    <s v="Online"/>
    <s v="Cancelled"/>
    <n v="5"/>
    <s v="No"/>
  </r>
  <r>
    <s v="ORD0038"/>
    <x v="33"/>
    <s v="C1265"/>
    <s v="Sneha"/>
    <s v="Pune"/>
    <s v="Maharashtra"/>
    <x v="0"/>
    <s v="P034"/>
    <s v="Chair 34"/>
    <x v="2"/>
    <s v="Chair"/>
    <n v="4"/>
    <n v="34506"/>
    <n v="0"/>
    <n v="138024"/>
    <n v="108889.54"/>
    <n v="29134.46"/>
    <s v="UPI"/>
    <s v="Offline"/>
    <s v="Pending"/>
    <n v="4"/>
    <s v="Yes"/>
  </r>
  <r>
    <s v="ORD0039"/>
    <x v="34"/>
    <s v="C1087"/>
    <s v="Neha"/>
    <s v="Bengaluru"/>
    <s v="Karnataka"/>
    <x v="1"/>
    <s v="P001"/>
    <s v="Shoes 1"/>
    <x v="0"/>
    <s v="Shoes"/>
    <n v="2"/>
    <n v="26228"/>
    <n v="10"/>
    <n v="47210.400000000001"/>
    <n v="41410.01"/>
    <n v="5800.39"/>
    <s v="Card"/>
    <s v="Online"/>
    <s v="Pending"/>
    <n v="5"/>
    <s v="No"/>
  </r>
  <r>
    <s v="ORD0040"/>
    <x v="29"/>
    <s v="C1293"/>
    <s v="Priya"/>
    <s v="Pune"/>
    <s v="Maharashtra"/>
    <x v="0"/>
    <s v="P004"/>
    <s v="Mixer 4"/>
    <x v="3"/>
    <s v="Mixer"/>
    <n v="1"/>
    <n v="46388"/>
    <n v="0"/>
    <n v="46388"/>
    <n v="28948.76"/>
    <n v="17439.240000000002"/>
    <s v="Cash"/>
    <s v="Offline"/>
    <s v="Pending"/>
    <n v="1"/>
    <s v="Yes"/>
  </r>
  <r>
    <s v="ORD0041"/>
    <x v="22"/>
    <s v="C1081"/>
    <s v="Neha"/>
    <s v="Pune"/>
    <s v="Maharashtra"/>
    <x v="0"/>
    <s v="P082"/>
    <s v="Mobile 82"/>
    <x v="1"/>
    <s v="Mobile"/>
    <n v="2"/>
    <n v="57757"/>
    <n v="10"/>
    <n v="103962.6"/>
    <n v="93712.28"/>
    <n v="10250.32"/>
    <s v="Card"/>
    <s v="Offline"/>
    <s v="Cancelled"/>
    <n v="1"/>
    <s v="No"/>
  </r>
  <r>
    <s v="ORD0042"/>
    <x v="12"/>
    <s v="C1064"/>
    <s v="Karan"/>
    <s v="Mumbai"/>
    <s v="Maharashtra"/>
    <x v="0"/>
    <s v="P071"/>
    <s v="Mobile 71"/>
    <x v="1"/>
    <s v="Mobile"/>
    <n v="2"/>
    <n v="35624"/>
    <n v="15"/>
    <n v="60560.800000000003"/>
    <n v="50370.68"/>
    <n v="10190.120000000001"/>
    <s v="Cash"/>
    <s v="Online"/>
    <s v="Cancelled"/>
    <n v="5"/>
    <s v="No"/>
  </r>
  <r>
    <s v="ORD0043"/>
    <x v="35"/>
    <s v="C1001"/>
    <s v="Vikas"/>
    <s v="Bengaluru"/>
    <s v="Karnataka"/>
    <x v="1"/>
    <s v="P064"/>
    <s v="Table 64"/>
    <x v="2"/>
    <s v="Table"/>
    <n v="5"/>
    <n v="34200"/>
    <n v="10"/>
    <n v="153900"/>
    <n v="144868.97"/>
    <n v="9031.0300000000007"/>
    <s v="Card"/>
    <s v="Online"/>
    <s v="Pending"/>
    <n v="5"/>
    <s v="No"/>
  </r>
  <r>
    <s v="ORD0044"/>
    <x v="36"/>
    <s v="C1216"/>
    <s v="Rohit"/>
    <s v="Pune"/>
    <s v="Maharashtra"/>
    <x v="0"/>
    <s v="P086"/>
    <s v="Mobile 86"/>
    <x v="1"/>
    <s v="Mobile"/>
    <n v="2"/>
    <n v="1099"/>
    <n v="10"/>
    <n v="1978.2"/>
    <n v="1536.76"/>
    <n v="441.44"/>
    <s v="UPI"/>
    <s v="Online"/>
    <s v="Delivered"/>
    <n v="3"/>
    <s v="No"/>
  </r>
  <r>
    <s v="ORD0045"/>
    <x v="37"/>
    <s v="C1174"/>
    <s v="Neha"/>
    <s v="Kolkata"/>
    <s v="West Bengal"/>
    <x v="3"/>
    <s v="P062"/>
    <s v="Mixer 62"/>
    <x v="3"/>
    <s v="Mixer"/>
    <n v="4"/>
    <n v="48780"/>
    <n v="10"/>
    <n v="175608"/>
    <n v="116574.54"/>
    <n v="59033.46"/>
    <s v="Card"/>
    <s v="Offline"/>
    <s v="Cancelled"/>
    <n v="5"/>
    <s v="No"/>
  </r>
  <r>
    <s v="ORD0046"/>
    <x v="38"/>
    <s v="C1198"/>
    <s v="Priya"/>
    <s v="Kolkata"/>
    <s v="West Bengal"/>
    <x v="3"/>
    <s v="P086"/>
    <s v="Mobile 86"/>
    <x v="1"/>
    <s v="Mobile"/>
    <n v="5"/>
    <n v="25514"/>
    <n v="0"/>
    <n v="127570"/>
    <n v="87868.28"/>
    <n v="39701.72"/>
    <s v="UPI"/>
    <s v="Online"/>
    <s v="Delivered"/>
    <n v="3"/>
    <s v="No"/>
  </r>
  <r>
    <s v="ORD0047"/>
    <x v="39"/>
    <s v="C1172"/>
    <s v="Aman"/>
    <s v="Delhi"/>
    <s v="Delhi"/>
    <x v="2"/>
    <s v="P006"/>
    <s v="Mobile 6"/>
    <x v="1"/>
    <s v="Mobile"/>
    <n v="3"/>
    <n v="63197"/>
    <n v="20"/>
    <n v="151672.79999999999"/>
    <n v="129068.53"/>
    <n v="22604.27"/>
    <s v="Card"/>
    <s v="Online"/>
    <s v="Delivered"/>
    <n v="3"/>
    <s v="Yes"/>
  </r>
  <r>
    <s v="ORD0048"/>
    <x v="40"/>
    <s v="C1024"/>
    <s v="Lakshay"/>
    <s v="Mumbai"/>
    <s v="Maharashtra"/>
    <x v="0"/>
    <s v="P095"/>
    <s v="Mobile 95"/>
    <x v="1"/>
    <s v="Mobile"/>
    <n v="3"/>
    <n v="6018"/>
    <n v="15"/>
    <n v="15345.9"/>
    <n v="15007.05"/>
    <n v="338.85"/>
    <s v="UPI"/>
    <s v="Offline"/>
    <s v="Delivered"/>
    <n v="3"/>
    <s v="Yes"/>
  </r>
  <r>
    <s v="ORD0049"/>
    <x v="12"/>
    <s v="C1293"/>
    <s v="Rohit"/>
    <s v="Jaipur"/>
    <s v="Rajasthan"/>
    <x v="2"/>
    <s v="P033"/>
    <s v="Mixer 33"/>
    <x v="3"/>
    <s v="Mixer"/>
    <n v="1"/>
    <n v="44458"/>
    <n v="15"/>
    <n v="37789.300000000003"/>
    <n v="24467.84"/>
    <n v="13321.46"/>
    <s v="UPI"/>
    <s v="Offline"/>
    <s v="Pending"/>
    <n v="2"/>
    <s v="Yes"/>
  </r>
  <r>
    <s v="ORD0050"/>
    <x v="41"/>
    <s v="C1205"/>
    <s v="Sneha"/>
    <s v="Mumbai"/>
    <s v="Maharashtra"/>
    <x v="0"/>
    <s v="P069"/>
    <s v="Chair 69"/>
    <x v="2"/>
    <s v="Chair"/>
    <n v="5"/>
    <n v="73704"/>
    <n v="5"/>
    <n v="350094"/>
    <n v="240217.81"/>
    <n v="109876.19"/>
    <s v="Card"/>
    <s v="Offline"/>
    <s v="Cancelled"/>
    <n v="4"/>
    <s v="Yes"/>
  </r>
  <r>
    <s v="ORD0051"/>
    <x v="42"/>
    <s v="C1235"/>
    <s v="Neha"/>
    <s v="Chennai"/>
    <s v="Tamil Nadu"/>
    <x v="1"/>
    <s v="P052"/>
    <s v="Laptop 52"/>
    <x v="1"/>
    <s v="Laptop"/>
    <n v="2"/>
    <n v="79831"/>
    <n v="10"/>
    <n v="143695.79999999999"/>
    <n v="133459.69"/>
    <n v="10236.11"/>
    <s v="UPI"/>
    <s v="Offline"/>
    <s v="Pending"/>
    <n v="5"/>
    <s v="Yes"/>
  </r>
  <r>
    <s v="ORD0052"/>
    <x v="43"/>
    <s v="C1243"/>
    <s v="Vikas"/>
    <s v="Pune"/>
    <s v="Maharashtra"/>
    <x v="0"/>
    <s v="P043"/>
    <s v="Mobile 43"/>
    <x v="1"/>
    <s v="Mobile"/>
    <n v="1"/>
    <n v="35624"/>
    <n v="0"/>
    <n v="35624"/>
    <n v="21002.5"/>
    <n v="14621.5"/>
    <s v="UPI"/>
    <s v="Offline"/>
    <s v="Cancelled"/>
    <n v="5"/>
    <s v="No"/>
  </r>
  <r>
    <s v="ORD0053"/>
    <x v="6"/>
    <s v="C1106"/>
    <s v="Karan"/>
    <s v="Bengaluru"/>
    <s v="Karnataka"/>
    <x v="1"/>
    <s v="P054"/>
    <s v="Mixer 54"/>
    <x v="3"/>
    <s v="Mixer"/>
    <n v="2"/>
    <n v="28038"/>
    <n v="0"/>
    <n v="56076"/>
    <n v="40285.03"/>
    <n v="15790.97"/>
    <s v="UPI"/>
    <s v="Offline"/>
    <s v="Delivered"/>
    <n v="3"/>
    <s v="Yes"/>
  </r>
  <r>
    <s v="ORD0054"/>
    <x v="44"/>
    <s v="C1197"/>
    <s v="Priya"/>
    <s v="Jaipur"/>
    <s v="Rajasthan"/>
    <x v="2"/>
    <s v="P064"/>
    <s v="Table 64"/>
    <x v="2"/>
    <s v="Table"/>
    <n v="2"/>
    <n v="55803"/>
    <n v="15"/>
    <n v="94865.1"/>
    <n v="64229.29"/>
    <n v="30635.81"/>
    <s v="Cash"/>
    <s v="Online"/>
    <s v="Cancelled"/>
    <n v="5"/>
    <s v="No"/>
  </r>
  <r>
    <s v="ORD0055"/>
    <x v="45"/>
    <s v="C1267"/>
    <s v="Neha"/>
    <s v="Chennai"/>
    <s v="Tamil Nadu"/>
    <x v="1"/>
    <s v="P018"/>
    <s v="Laptop 18"/>
    <x v="1"/>
    <s v="Laptop"/>
    <n v="5"/>
    <n v="37419"/>
    <n v="10"/>
    <n v="168385.5"/>
    <n v="134820.62"/>
    <n v="33564.879999999997"/>
    <s v="Card"/>
    <s v="Offline"/>
    <s v="Cancelled"/>
    <n v="3"/>
    <s v="No"/>
  </r>
  <r>
    <s v="ORD0056"/>
    <x v="46"/>
    <s v="C1040"/>
    <s v="Priya"/>
    <s v="Mumbai"/>
    <s v="Maharashtra"/>
    <x v="0"/>
    <s v="P032"/>
    <s v="Chair 32"/>
    <x v="2"/>
    <s v="Chair"/>
    <n v="4"/>
    <n v="79507"/>
    <n v="20"/>
    <n v="254422.39999999999"/>
    <n v="258152.59"/>
    <n v="-3730.19"/>
    <s v="Card"/>
    <s v="Online"/>
    <s v="Cancelled"/>
    <n v="5"/>
    <s v="No"/>
  </r>
  <r>
    <s v="ORD0057"/>
    <x v="47"/>
    <s v="C1112"/>
    <s v="Lakshay"/>
    <s v="Bengaluru"/>
    <s v="Karnataka"/>
    <x v="1"/>
    <s v="P030"/>
    <s v="Mixer 30"/>
    <x v="3"/>
    <s v="Mixer"/>
    <n v="3"/>
    <n v="65425"/>
    <n v="0"/>
    <n v="196275"/>
    <n v="157838.04"/>
    <n v="38436.959999999999"/>
    <s v="Card"/>
    <s v="Offline"/>
    <s v="Cancelled"/>
    <n v="2"/>
    <s v="Yes"/>
  </r>
  <r>
    <s v="ORD0058"/>
    <x v="48"/>
    <s v="C1276"/>
    <s v="Karan"/>
    <s v="Delhi"/>
    <s v="Delhi"/>
    <x v="2"/>
    <s v="P050"/>
    <s v="Chair 50"/>
    <x v="2"/>
    <s v="Chair"/>
    <n v="1"/>
    <n v="56709"/>
    <n v="5"/>
    <n v="53873.55"/>
    <n v="32047.15"/>
    <n v="21826.400000000001"/>
    <s v="UPI"/>
    <s v="Offline"/>
    <s v="Delivered"/>
    <n v="1"/>
    <s v="No"/>
  </r>
  <r>
    <s v="ORD0059"/>
    <x v="0"/>
    <s v="C1211"/>
    <s v="Karan"/>
    <s v="Chennai"/>
    <s v="Tamil Nadu"/>
    <x v="1"/>
    <s v="P031"/>
    <s v="Table 31"/>
    <x v="2"/>
    <s v="Table"/>
    <n v="3"/>
    <n v="60407"/>
    <n v="0"/>
    <n v="181221"/>
    <n v="148154.23999999999"/>
    <n v="33066.76"/>
    <s v="UPI"/>
    <s v="Online"/>
    <s v="Cancelled"/>
    <n v="3"/>
    <s v="Yes"/>
  </r>
  <r>
    <s v="ORD0060"/>
    <x v="49"/>
    <s v="C1076"/>
    <s v="Neha"/>
    <s v="Jaipur"/>
    <s v="Rajasthan"/>
    <x v="2"/>
    <s v="P062"/>
    <s v="Mixer 62"/>
    <x v="3"/>
    <s v="Mixer"/>
    <n v="2"/>
    <n v="14316"/>
    <n v="20"/>
    <n v="22905.599999999999"/>
    <n v="21174.94"/>
    <n v="1730.66"/>
    <s v="UPI"/>
    <s v="Online"/>
    <s v="Delivered"/>
    <n v="1"/>
    <s v="No"/>
  </r>
  <r>
    <s v="ORD0061"/>
    <x v="24"/>
    <s v="C1017"/>
    <s v="Anjali"/>
    <s v="Mumbai"/>
    <s v="Maharashtra"/>
    <x v="0"/>
    <s v="P067"/>
    <s v="Mixer 67"/>
    <x v="3"/>
    <s v="Mixer"/>
    <n v="3"/>
    <n v="22186"/>
    <n v="20"/>
    <n v="53246.400000000001"/>
    <n v="49033.45"/>
    <n v="4212.95"/>
    <s v="Card"/>
    <s v="Online"/>
    <s v="Delivered"/>
    <n v="4"/>
    <s v="No"/>
  </r>
  <r>
    <s v="ORD0062"/>
    <x v="50"/>
    <s v="C1253"/>
    <s v="Karan"/>
    <s v="Jaipur"/>
    <s v="Rajasthan"/>
    <x v="2"/>
    <s v="P085"/>
    <s v="Chair 85"/>
    <x v="2"/>
    <s v="Chair"/>
    <n v="1"/>
    <n v="45793"/>
    <n v="10"/>
    <n v="41213.699999999997"/>
    <n v="32207.33"/>
    <n v="9006.3700000000008"/>
    <s v="UPI"/>
    <s v="Online"/>
    <s v="Pending"/>
    <n v="4"/>
    <s v="No"/>
  </r>
  <r>
    <s v="ORD0063"/>
    <x v="51"/>
    <s v="C1281"/>
    <s v="Aman"/>
    <s v="Mumbai"/>
    <s v="Maharashtra"/>
    <x v="0"/>
    <s v="P051"/>
    <s v="Shoes 51"/>
    <x v="0"/>
    <s v="Shoes"/>
    <n v="1"/>
    <n v="12709"/>
    <n v="10"/>
    <n v="11438.1"/>
    <n v="8562.69"/>
    <n v="2875.41"/>
    <s v="Cash"/>
    <s v="Online"/>
    <s v="Cancelled"/>
    <n v="1"/>
    <s v="Yes"/>
  </r>
  <r>
    <s v="ORD0064"/>
    <x v="52"/>
    <s v="C1017"/>
    <s v="Anjali"/>
    <s v="Jaipur"/>
    <s v="Rajasthan"/>
    <x v="2"/>
    <s v="P053"/>
    <s v="Laptop 53"/>
    <x v="1"/>
    <s v="Laptop"/>
    <n v="3"/>
    <n v="64758"/>
    <n v="5"/>
    <n v="184560.3"/>
    <n v="148818.15"/>
    <n v="35742.15"/>
    <s v="Cash"/>
    <s v="Online"/>
    <s v="Delivered"/>
    <n v="1"/>
    <s v="Yes"/>
  </r>
  <r>
    <s v="ORD0065"/>
    <x v="53"/>
    <s v="C1092"/>
    <s v="Neha"/>
    <s v="Pune"/>
    <s v="Maharashtra"/>
    <x v="0"/>
    <s v="P068"/>
    <s v="Mobile 68"/>
    <x v="1"/>
    <s v="Mobile"/>
    <n v="1"/>
    <n v="39518"/>
    <n v="5"/>
    <n v="37542.1"/>
    <n v="23486.54"/>
    <n v="14055.56"/>
    <s v="UPI"/>
    <s v="Online"/>
    <s v="Delivered"/>
    <n v="2"/>
    <s v="No"/>
  </r>
  <r>
    <s v="ORD0066"/>
    <x v="32"/>
    <s v="C1023"/>
    <s v="Sneha"/>
    <s v="Delhi"/>
    <s v="Delhi"/>
    <x v="2"/>
    <s v="P056"/>
    <s v="Shoes 56"/>
    <x v="0"/>
    <s v="Shoes"/>
    <n v="1"/>
    <n v="64753"/>
    <n v="20"/>
    <n v="51802.400000000001"/>
    <n v="37187.69"/>
    <n v="14614.71"/>
    <s v="UPI"/>
    <s v="Online"/>
    <s v="Delivered"/>
    <n v="1"/>
    <s v="Yes"/>
  </r>
  <r>
    <s v="ORD0067"/>
    <x v="16"/>
    <s v="C1175"/>
    <s v="Neha"/>
    <s v="Kolkata"/>
    <s v="West Bengal"/>
    <x v="3"/>
    <s v="P044"/>
    <s v="Chair 44"/>
    <x v="2"/>
    <s v="Chair"/>
    <n v="2"/>
    <n v="2065"/>
    <n v="15"/>
    <n v="3510.5"/>
    <n v="3320.72"/>
    <n v="189.78"/>
    <s v="Card"/>
    <s v="Offline"/>
    <s v="Pending"/>
    <n v="5"/>
    <s v="Yes"/>
  </r>
  <r>
    <s v="ORD0068"/>
    <x v="54"/>
    <s v="C1133"/>
    <s v="Priya"/>
    <s v="Mumbai"/>
    <s v="Maharashtra"/>
    <x v="0"/>
    <s v="P063"/>
    <s v="Shoes 63"/>
    <x v="0"/>
    <s v="Shoes"/>
    <n v="2"/>
    <n v="63321"/>
    <n v="15"/>
    <n v="107645.7"/>
    <n v="70433.789999999994"/>
    <n v="37211.910000000003"/>
    <s v="Cash"/>
    <s v="Offline"/>
    <s v="Pending"/>
    <n v="2"/>
    <s v="No"/>
  </r>
  <r>
    <s v="ORD0069"/>
    <x v="55"/>
    <s v="C1104"/>
    <s v="Lakshay"/>
    <s v="Jaipur"/>
    <s v="Rajasthan"/>
    <x v="2"/>
    <s v="P080"/>
    <s v="Shoes 80"/>
    <x v="0"/>
    <s v="Shoes"/>
    <n v="1"/>
    <n v="63115"/>
    <n v="10"/>
    <n v="56803.5"/>
    <n v="43938.879999999997"/>
    <n v="12864.62"/>
    <s v="Card"/>
    <s v="Online"/>
    <s v="Pending"/>
    <n v="4"/>
    <s v="Yes"/>
  </r>
  <r>
    <s v="ORD0070"/>
    <x v="38"/>
    <s v="C1207"/>
    <s v="Rahul"/>
    <s v="Jaipur"/>
    <s v="Rajasthan"/>
    <x v="2"/>
    <s v="P094"/>
    <s v="Table 94"/>
    <x v="2"/>
    <s v="Table"/>
    <n v="5"/>
    <n v="27303"/>
    <n v="0"/>
    <n v="136515"/>
    <n v="91720.2"/>
    <n v="44794.8"/>
    <s v="UPI"/>
    <s v="Offline"/>
    <s v="Cancelled"/>
    <n v="4"/>
    <s v="No"/>
  </r>
  <r>
    <s v="ORD0071"/>
    <x v="56"/>
    <s v="C1094"/>
    <s v="Karan"/>
    <s v="Delhi"/>
    <s v="Delhi"/>
    <x v="2"/>
    <s v="P074"/>
    <s v="Mixer 74"/>
    <x v="3"/>
    <s v="Mixer"/>
    <n v="1"/>
    <n v="34324"/>
    <n v="15"/>
    <n v="29175.4"/>
    <n v="25704.3"/>
    <n v="3471.1"/>
    <s v="UPI"/>
    <s v="Offline"/>
    <s v="Cancelled"/>
    <n v="5"/>
    <s v="No"/>
  </r>
  <r>
    <s v="ORD0072"/>
    <x v="57"/>
    <s v="C1149"/>
    <s v="Vikas"/>
    <s v="Chennai"/>
    <s v="Tamil Nadu"/>
    <x v="1"/>
    <s v="P034"/>
    <s v="Chair 34"/>
    <x v="2"/>
    <s v="Chair"/>
    <n v="2"/>
    <n v="70701"/>
    <n v="10"/>
    <n v="127261.8"/>
    <n v="118622.36"/>
    <n v="8639.44"/>
    <s v="Card"/>
    <s v="Online"/>
    <s v="Cancelled"/>
    <n v="4"/>
    <s v="Yes"/>
  </r>
  <r>
    <s v="ORD0073"/>
    <x v="58"/>
    <s v="C1066"/>
    <s v="Vikas"/>
    <s v="Kolkata"/>
    <s v="West Bengal"/>
    <x v="3"/>
    <s v="P055"/>
    <s v="Chair 55"/>
    <x v="2"/>
    <s v="Chair"/>
    <n v="1"/>
    <n v="67605"/>
    <n v="10"/>
    <n v="60844.5"/>
    <n v="40377.800000000003"/>
    <n v="20466.7"/>
    <s v="Card"/>
    <s v="Offline"/>
    <s v="Pending"/>
    <n v="1"/>
    <s v="Yes"/>
  </r>
  <r>
    <s v="ORD0074"/>
    <x v="59"/>
    <s v="C1237"/>
    <s v="Sneha"/>
    <s v="Pune"/>
    <s v="Maharashtra"/>
    <x v="0"/>
    <s v="P080"/>
    <s v="Shoes 80"/>
    <x v="0"/>
    <s v="Shoes"/>
    <n v="1"/>
    <n v="23232"/>
    <n v="20"/>
    <n v="18585.599999999999"/>
    <n v="16817"/>
    <n v="1768.6"/>
    <s v="Card"/>
    <s v="Online"/>
    <s v="Delivered"/>
    <n v="4"/>
    <s v="No"/>
  </r>
  <r>
    <s v="ORD0075"/>
    <x v="60"/>
    <s v="C1131"/>
    <s v="Aman"/>
    <s v="Bengaluru"/>
    <s v="Karnataka"/>
    <x v="1"/>
    <s v="P065"/>
    <s v="Mobile 65"/>
    <x v="1"/>
    <s v="Mobile"/>
    <n v="5"/>
    <n v="47032"/>
    <n v="0"/>
    <n v="235160"/>
    <n v="174768.02"/>
    <n v="60391.98"/>
    <s v="Cash"/>
    <s v="Online"/>
    <s v="Delivered"/>
    <n v="1"/>
    <s v="Yes"/>
  </r>
  <r>
    <s v="ORD0076"/>
    <x v="61"/>
    <s v="C1221"/>
    <s v="Karan"/>
    <s v="Jaipur"/>
    <s v="Rajasthan"/>
    <x v="2"/>
    <s v="P024"/>
    <s v="Laptop 24"/>
    <x v="1"/>
    <s v="Laptop"/>
    <n v="4"/>
    <n v="79569"/>
    <n v="15"/>
    <n v="270534.59999999998"/>
    <n v="225142.29"/>
    <n v="45392.31"/>
    <s v="Cash"/>
    <s v="Online"/>
    <s v="Pending"/>
    <n v="1"/>
    <s v="No"/>
  </r>
  <r>
    <s v="ORD0077"/>
    <x v="62"/>
    <s v="C1285"/>
    <s v="Anjali"/>
    <s v="Delhi"/>
    <s v="Delhi"/>
    <x v="2"/>
    <s v="P082"/>
    <s v="Mobile 82"/>
    <x v="1"/>
    <s v="Mobile"/>
    <n v="4"/>
    <n v="71901"/>
    <n v="20"/>
    <n v="230083.20000000001"/>
    <n v="222430.99"/>
    <n v="7652.21"/>
    <s v="Card"/>
    <s v="Online"/>
    <s v="Pending"/>
    <n v="4"/>
    <s v="Yes"/>
  </r>
  <r>
    <s v="ORD0078"/>
    <x v="35"/>
    <s v="C1080"/>
    <s v="Sneha"/>
    <s v="Delhi"/>
    <s v="Delhi"/>
    <x v="2"/>
    <s v="P029"/>
    <s v="Mixer 29"/>
    <x v="3"/>
    <s v="Mixer"/>
    <n v="3"/>
    <n v="2587"/>
    <n v="0"/>
    <n v="7761"/>
    <n v="4429.88"/>
    <n v="3331.12"/>
    <s v="Cash"/>
    <s v="Offline"/>
    <s v="Delivered"/>
    <n v="2"/>
    <s v="Yes"/>
  </r>
  <r>
    <s v="ORD0079"/>
    <x v="24"/>
    <s v="C1100"/>
    <s v="Anjali"/>
    <s v="Jaipur"/>
    <s v="Rajasthan"/>
    <x v="2"/>
    <s v="P009"/>
    <s v="Laptop 9"/>
    <x v="1"/>
    <s v="Laptop"/>
    <n v="2"/>
    <n v="6459"/>
    <n v="15"/>
    <n v="10980.3"/>
    <n v="8153.93"/>
    <n v="2826.37"/>
    <s v="Cash"/>
    <s v="Offline"/>
    <s v="Delivered"/>
    <n v="4"/>
    <s v="Yes"/>
  </r>
  <r>
    <s v="ORD0080"/>
    <x v="63"/>
    <s v="C1188"/>
    <s v="Rahul"/>
    <s v="Delhi"/>
    <s v="Delhi"/>
    <x v="2"/>
    <s v="P099"/>
    <s v="Chair 99"/>
    <x v="2"/>
    <s v="Chair"/>
    <n v="2"/>
    <n v="44702"/>
    <n v="5"/>
    <n v="84933.8"/>
    <n v="62623.68"/>
    <n v="22310.12"/>
    <s v="Cash"/>
    <s v="Offline"/>
    <s v="Pending"/>
    <n v="5"/>
    <s v="Yes"/>
  </r>
  <r>
    <s v="ORD0081"/>
    <x v="19"/>
    <s v="C1219"/>
    <s v="Lakshay"/>
    <s v="Pune"/>
    <s v="Maharashtra"/>
    <x v="0"/>
    <s v="P003"/>
    <s v="Mixer 3"/>
    <x v="3"/>
    <s v="Mixer"/>
    <n v="1"/>
    <n v="59177"/>
    <n v="20"/>
    <n v="47341.599999999999"/>
    <n v="44202.879999999997"/>
    <n v="3138.72"/>
    <s v="Card"/>
    <s v="Online"/>
    <s v="Pending"/>
    <n v="4"/>
    <s v="Yes"/>
  </r>
  <r>
    <s v="ORD0082"/>
    <x v="64"/>
    <s v="C1016"/>
    <s v="Karan"/>
    <s v="Bengaluru"/>
    <s v="Karnataka"/>
    <x v="1"/>
    <s v="P002"/>
    <s v="Laptop 2"/>
    <x v="1"/>
    <s v="Laptop"/>
    <n v="5"/>
    <n v="56699"/>
    <n v="20"/>
    <n v="226796"/>
    <n v="233587.74"/>
    <n v="-6791.74"/>
    <s v="UPI"/>
    <s v="Online"/>
    <s v="Pending"/>
    <n v="3"/>
    <s v="No"/>
  </r>
  <r>
    <s v="ORD0083"/>
    <x v="65"/>
    <s v="C1127"/>
    <s v="Rohit"/>
    <s v="Jaipur"/>
    <s v="Rajasthan"/>
    <x v="2"/>
    <s v="P019"/>
    <s v="Laptop 19"/>
    <x v="1"/>
    <s v="Laptop"/>
    <n v="2"/>
    <n v="23187"/>
    <n v="0"/>
    <n v="46374"/>
    <n v="36062.39"/>
    <n v="10311.61"/>
    <s v="Card"/>
    <s v="Offline"/>
    <s v="Cancelled"/>
    <n v="5"/>
    <s v="Yes"/>
  </r>
  <r>
    <s v="ORD0084"/>
    <x v="12"/>
    <s v="C1160"/>
    <s v="Sneha"/>
    <s v="Kolkata"/>
    <s v="West Bengal"/>
    <x v="3"/>
    <s v="P041"/>
    <s v="Table 41"/>
    <x v="2"/>
    <s v="Table"/>
    <n v="3"/>
    <n v="3316"/>
    <n v="10"/>
    <n v="8953.2000000000007"/>
    <n v="6026.26"/>
    <n v="2926.94"/>
    <s v="Cash"/>
    <s v="Online"/>
    <s v="Cancelled"/>
    <n v="2"/>
    <s v="Yes"/>
  </r>
  <r>
    <s v="ORD0085"/>
    <x v="34"/>
    <s v="C1115"/>
    <s v="Neha"/>
    <s v="Kolkata"/>
    <s v="West Bengal"/>
    <x v="3"/>
    <s v="P098"/>
    <s v="Mobile 98"/>
    <x v="1"/>
    <s v="Mobile"/>
    <n v="1"/>
    <n v="21193"/>
    <n v="15"/>
    <n v="18014.05"/>
    <n v="12452.79"/>
    <n v="5561.26"/>
    <s v="Cash"/>
    <s v="Online"/>
    <s v="Pending"/>
    <n v="5"/>
    <s v="No"/>
  </r>
  <r>
    <s v="ORD0086"/>
    <x v="66"/>
    <s v="C1055"/>
    <s v="Aman"/>
    <s v="Jaipur"/>
    <s v="Rajasthan"/>
    <x v="2"/>
    <s v="P038"/>
    <s v="Mobile 38"/>
    <x v="1"/>
    <s v="Mobile"/>
    <n v="2"/>
    <n v="46574"/>
    <n v="15"/>
    <n v="79175.8"/>
    <n v="68586.44"/>
    <n v="10589.36"/>
    <s v="Card"/>
    <s v="Offline"/>
    <s v="Cancelled"/>
    <n v="1"/>
    <s v="Yes"/>
  </r>
  <r>
    <s v="ORD0087"/>
    <x v="64"/>
    <s v="C1041"/>
    <s v="Lakshay"/>
    <s v="Chennai"/>
    <s v="Tamil Nadu"/>
    <x v="1"/>
    <s v="P076"/>
    <s v="Mixer 76"/>
    <x v="3"/>
    <s v="Mixer"/>
    <n v="2"/>
    <n v="28489"/>
    <n v="20"/>
    <n v="45582.400000000001"/>
    <n v="43164.51"/>
    <n v="2417.89"/>
    <s v="Cash"/>
    <s v="Online"/>
    <s v="Delivered"/>
    <n v="5"/>
    <s v="Yes"/>
  </r>
  <r>
    <s v="ORD0088"/>
    <x v="67"/>
    <s v="C1007"/>
    <s v="Lakshay"/>
    <s v="Pune"/>
    <s v="Maharashtra"/>
    <x v="0"/>
    <s v="P007"/>
    <s v="Laptop 7"/>
    <x v="1"/>
    <s v="Laptop"/>
    <n v="5"/>
    <n v="39294"/>
    <n v="10"/>
    <n v="176823"/>
    <n v="131500.38"/>
    <n v="45322.62"/>
    <s v="Cash"/>
    <s v="Online"/>
    <s v="Pending"/>
    <n v="3"/>
    <s v="No"/>
  </r>
  <r>
    <s v="ORD0089"/>
    <x v="68"/>
    <s v="C1054"/>
    <s v="Rahul"/>
    <s v="Jaipur"/>
    <s v="Rajasthan"/>
    <x v="2"/>
    <s v="P054"/>
    <s v="Mixer 54"/>
    <x v="3"/>
    <s v="Mixer"/>
    <n v="4"/>
    <n v="10036"/>
    <n v="20"/>
    <n v="32115.200000000001"/>
    <n v="31474.2"/>
    <n v="641"/>
    <s v="UPI"/>
    <s v="Offline"/>
    <s v="Pending"/>
    <n v="3"/>
    <s v="Yes"/>
  </r>
  <r>
    <s v="ORD0090"/>
    <x v="69"/>
    <s v="C1249"/>
    <s v="Neha"/>
    <s v="Jaipur"/>
    <s v="Rajasthan"/>
    <x v="2"/>
    <s v="P025"/>
    <s v="Shoes 25"/>
    <x v="0"/>
    <s v="Shoes"/>
    <n v="5"/>
    <n v="41909"/>
    <n v="15"/>
    <n v="178113.25"/>
    <n v="177126.88"/>
    <n v="986.37"/>
    <s v="Cash"/>
    <s v="Online"/>
    <s v="Cancelled"/>
    <n v="3"/>
    <s v="Yes"/>
  </r>
  <r>
    <s v="ORD0091"/>
    <x v="70"/>
    <s v="C1086"/>
    <s v="Sneha"/>
    <s v="Chennai"/>
    <s v="Tamil Nadu"/>
    <x v="1"/>
    <s v="P024"/>
    <s v="Laptop 24"/>
    <x v="1"/>
    <s v="Laptop"/>
    <n v="2"/>
    <n v="3936"/>
    <n v="0"/>
    <n v="7872"/>
    <n v="5143.75"/>
    <n v="2728.25"/>
    <s v="Card"/>
    <s v="Online"/>
    <s v="Delivered"/>
    <n v="2"/>
    <s v="No"/>
  </r>
  <r>
    <s v="ORD0092"/>
    <x v="55"/>
    <s v="C1191"/>
    <s v="Neha"/>
    <s v="Pune"/>
    <s v="Maharashtra"/>
    <x v="0"/>
    <s v="P036"/>
    <s v="Shoes 36"/>
    <x v="0"/>
    <s v="Shoes"/>
    <n v="5"/>
    <n v="36575"/>
    <n v="15"/>
    <n v="155443.75"/>
    <n v="113629.72"/>
    <n v="41814.03"/>
    <s v="Card"/>
    <s v="Online"/>
    <s v="Pending"/>
    <n v="3"/>
    <s v="No"/>
  </r>
  <r>
    <s v="ORD0093"/>
    <x v="71"/>
    <s v="C1192"/>
    <s v="Vikas"/>
    <s v="Mumbai"/>
    <s v="Maharashtra"/>
    <x v="0"/>
    <s v="P060"/>
    <s v="Mixer 60"/>
    <x v="3"/>
    <s v="Mixer"/>
    <n v="5"/>
    <n v="77860"/>
    <n v="10"/>
    <n v="350370"/>
    <n v="276617"/>
    <n v="73753"/>
    <s v="Cash"/>
    <s v="Offline"/>
    <s v="Pending"/>
    <n v="4"/>
    <s v="Yes"/>
  </r>
  <r>
    <s v="ORD0094"/>
    <x v="53"/>
    <s v="C1114"/>
    <s v="Priya"/>
    <s v="Kolkata"/>
    <s v="West Bengal"/>
    <x v="3"/>
    <s v="P052"/>
    <s v="Laptop 52"/>
    <x v="1"/>
    <s v="Laptop"/>
    <n v="2"/>
    <n v="70190"/>
    <n v="10"/>
    <n v="126342"/>
    <n v="81889.72"/>
    <n v="44452.28"/>
    <s v="UPI"/>
    <s v="Online"/>
    <s v="Pending"/>
    <n v="3"/>
    <s v="Yes"/>
  </r>
  <r>
    <s v="ORD0095"/>
    <x v="57"/>
    <s v="C1082"/>
    <s v="Rahul"/>
    <s v="Jaipur"/>
    <s v="Rajasthan"/>
    <x v="2"/>
    <s v="P092"/>
    <s v="Laptop 92"/>
    <x v="1"/>
    <s v="Laptop"/>
    <n v="1"/>
    <n v="27209"/>
    <n v="5"/>
    <n v="25848.55"/>
    <n v="20481.990000000002"/>
    <n v="5366.56"/>
    <s v="Card"/>
    <s v="Offline"/>
    <s v="Cancelled"/>
    <n v="4"/>
    <s v="No"/>
  </r>
  <r>
    <s v="ORD0096"/>
    <x v="72"/>
    <s v="C1268"/>
    <s v="Aman"/>
    <s v="Delhi"/>
    <s v="Delhi"/>
    <x v="2"/>
    <s v="P012"/>
    <s v="Table 12"/>
    <x v="2"/>
    <s v="Table"/>
    <n v="2"/>
    <n v="48516"/>
    <n v="15"/>
    <n v="82477.2"/>
    <n v="64953.61"/>
    <n v="17523.59"/>
    <s v="Cash"/>
    <s v="Online"/>
    <s v="Pending"/>
    <n v="3"/>
    <s v="Yes"/>
  </r>
  <r>
    <s v="ORD0097"/>
    <x v="35"/>
    <s v="C1264"/>
    <s v="Priya"/>
    <s v="Chennai"/>
    <s v="Tamil Nadu"/>
    <x v="1"/>
    <s v="P035"/>
    <s v="Table 35"/>
    <x v="2"/>
    <s v="Table"/>
    <n v="2"/>
    <n v="13948"/>
    <n v="10"/>
    <n v="25106.400000000001"/>
    <n v="18207.38"/>
    <n v="6899.02"/>
    <s v="Card"/>
    <s v="Online"/>
    <s v="Pending"/>
    <n v="3"/>
    <s v="Yes"/>
  </r>
  <r>
    <s v="ORD0098"/>
    <x v="32"/>
    <s v="C1131"/>
    <s v="Rohit"/>
    <s v="Pune"/>
    <s v="Maharashtra"/>
    <x v="0"/>
    <s v="P089"/>
    <s v="Laptop 89"/>
    <x v="1"/>
    <s v="Laptop"/>
    <n v="2"/>
    <n v="78962"/>
    <n v="20"/>
    <n v="126339.2"/>
    <n v="128027.35"/>
    <n v="-1688.15"/>
    <s v="Card"/>
    <s v="Online"/>
    <s v="Cancelled"/>
    <n v="1"/>
    <s v="Yes"/>
  </r>
  <r>
    <s v="ORD0099"/>
    <x v="0"/>
    <s v="C1262"/>
    <s v="Rahul"/>
    <s v="Jaipur"/>
    <s v="Rajasthan"/>
    <x v="2"/>
    <s v="P074"/>
    <s v="Mixer 74"/>
    <x v="3"/>
    <s v="Mixer"/>
    <n v="4"/>
    <n v="56438"/>
    <n v="5"/>
    <n v="214464.4"/>
    <n v="132665.49"/>
    <n v="81798.91"/>
    <s v="UPI"/>
    <s v="Offline"/>
    <s v="Delivered"/>
    <n v="3"/>
    <s v="Yes"/>
  </r>
  <r>
    <s v="ORD0100"/>
    <x v="56"/>
    <s v="C1004"/>
    <s v="Rahul"/>
    <s v="Chennai"/>
    <s v="Tamil Nadu"/>
    <x v="1"/>
    <s v="P003"/>
    <s v="Mixer 3"/>
    <x v="3"/>
    <s v="Mixer"/>
    <n v="1"/>
    <n v="23210"/>
    <n v="5"/>
    <n v="22049.5"/>
    <n v="19083.759999999998"/>
    <n v="2965.74"/>
    <s v="UPI"/>
    <s v="Offline"/>
    <s v="Cancelled"/>
    <n v="3"/>
    <s v="No"/>
  </r>
  <r>
    <s v="ORD0101"/>
    <x v="73"/>
    <s v="C1218"/>
    <s v="Aman"/>
    <s v="Pune"/>
    <s v="Maharashtra"/>
    <x v="0"/>
    <s v="P009"/>
    <s v="Laptop 9"/>
    <x v="1"/>
    <s v="Laptop"/>
    <n v="3"/>
    <n v="68270"/>
    <n v="20"/>
    <n v="163848"/>
    <n v="121791.6"/>
    <n v="42056.4"/>
    <s v="UPI"/>
    <s v="Offline"/>
    <s v="Pending"/>
    <n v="5"/>
    <s v="No"/>
  </r>
  <r>
    <s v="ORD0102"/>
    <x v="74"/>
    <s v="C1269"/>
    <s v="Sneha"/>
    <s v="Mumbai"/>
    <s v="Maharashtra"/>
    <x v="0"/>
    <s v="P037"/>
    <s v="Mixer 37"/>
    <x v="3"/>
    <s v="Mixer"/>
    <n v="5"/>
    <n v="76507"/>
    <n v="10"/>
    <n v="344281.5"/>
    <n v="314247.31"/>
    <n v="30034.19"/>
    <s v="Cash"/>
    <s v="Online"/>
    <s v="Cancelled"/>
    <n v="4"/>
    <s v="No"/>
  </r>
  <r>
    <s v="ORD0103"/>
    <x v="65"/>
    <s v="C1055"/>
    <s v="Vikas"/>
    <s v="Kolkata"/>
    <s v="West Bengal"/>
    <x v="3"/>
    <s v="P088"/>
    <s v="Mobile 88"/>
    <x v="1"/>
    <s v="Mobile"/>
    <n v="5"/>
    <n v="38126"/>
    <n v="5"/>
    <n v="181098.5"/>
    <n v="126811.03"/>
    <n v="54287.47"/>
    <s v="UPI"/>
    <s v="Offline"/>
    <s v="Cancelled"/>
    <n v="5"/>
    <s v="No"/>
  </r>
  <r>
    <s v="ORD0104"/>
    <x v="60"/>
    <s v="C1139"/>
    <s v="Vikas"/>
    <s v="Pune"/>
    <s v="Maharashtra"/>
    <x v="0"/>
    <s v="P081"/>
    <s v="Laptop 81"/>
    <x v="1"/>
    <s v="Laptop"/>
    <n v="3"/>
    <n v="11376"/>
    <n v="0"/>
    <n v="34128"/>
    <n v="21865.63"/>
    <n v="12262.37"/>
    <s v="UPI"/>
    <s v="Offline"/>
    <s v="Delivered"/>
    <n v="2"/>
    <s v="No"/>
  </r>
  <r>
    <s v="ORD0105"/>
    <x v="54"/>
    <s v="C1185"/>
    <s v="Lakshay"/>
    <s v="Jaipur"/>
    <s v="Rajasthan"/>
    <x v="2"/>
    <s v="P082"/>
    <s v="Mobile 82"/>
    <x v="1"/>
    <s v="Mobile"/>
    <n v="5"/>
    <n v="50149"/>
    <n v="20"/>
    <n v="200596"/>
    <n v="202375.97"/>
    <n v="-1779.97"/>
    <s v="UPI"/>
    <s v="Online"/>
    <s v="Pending"/>
    <n v="4"/>
    <s v="No"/>
  </r>
  <r>
    <s v="ORD0106"/>
    <x v="41"/>
    <s v="C1072"/>
    <s v="Sneha"/>
    <s v="Pune"/>
    <s v="Maharashtra"/>
    <x v="0"/>
    <s v="P072"/>
    <s v="Laptop 72"/>
    <x v="1"/>
    <s v="Laptop"/>
    <n v="3"/>
    <n v="3511"/>
    <n v="10"/>
    <n v="9479.7000000000007"/>
    <n v="8695.8700000000008"/>
    <n v="783.83"/>
    <s v="Cash"/>
    <s v="Online"/>
    <s v="Pending"/>
    <n v="3"/>
    <s v="Yes"/>
  </r>
  <r>
    <s v="ORD0107"/>
    <x v="53"/>
    <s v="C1225"/>
    <s v="Priya"/>
    <s v="Kolkata"/>
    <s v="West Bengal"/>
    <x v="3"/>
    <s v="P031"/>
    <s v="Table 31"/>
    <x v="2"/>
    <s v="Table"/>
    <n v="3"/>
    <n v="56628"/>
    <n v="20"/>
    <n v="135907.20000000001"/>
    <n v="101513.1"/>
    <n v="34394.1"/>
    <s v="Cash"/>
    <s v="Online"/>
    <s v="Delivered"/>
    <n v="1"/>
    <s v="No"/>
  </r>
  <r>
    <s v="ORD0108"/>
    <x v="72"/>
    <s v="C1139"/>
    <s v="Priya"/>
    <s v="Mumbai"/>
    <s v="Maharashtra"/>
    <x v="0"/>
    <s v="P090"/>
    <s v="Mixer 90"/>
    <x v="3"/>
    <s v="Mixer"/>
    <n v="3"/>
    <n v="34357"/>
    <n v="5"/>
    <n v="97917.45"/>
    <n v="87401.2"/>
    <n v="10516.25"/>
    <s v="UPI"/>
    <s v="Offline"/>
    <s v="Cancelled"/>
    <n v="1"/>
    <s v="Yes"/>
  </r>
  <r>
    <s v="ORD0109"/>
    <x v="51"/>
    <s v="C1064"/>
    <s v="Vikas"/>
    <s v="Pune"/>
    <s v="Maharashtra"/>
    <x v="0"/>
    <s v="P080"/>
    <s v="Shoes 80"/>
    <x v="0"/>
    <s v="Shoes"/>
    <n v="5"/>
    <n v="32331"/>
    <n v="20"/>
    <n v="129324"/>
    <n v="91343.01"/>
    <n v="37980.99"/>
    <s v="UPI"/>
    <s v="Offline"/>
    <s v="Cancelled"/>
    <n v="3"/>
    <s v="No"/>
  </r>
  <r>
    <s v="ORD0110"/>
    <x v="13"/>
    <s v="C1272"/>
    <s v="Priya"/>
    <s v="Delhi"/>
    <s v="Delhi"/>
    <x v="2"/>
    <s v="P028"/>
    <s v="Shoes 28"/>
    <x v="0"/>
    <s v="Shoes"/>
    <n v="2"/>
    <n v="50290"/>
    <n v="5"/>
    <n v="95551"/>
    <n v="73705.97"/>
    <n v="21845.03"/>
    <s v="Cash"/>
    <s v="Offline"/>
    <s v="Pending"/>
    <n v="3"/>
    <s v="Yes"/>
  </r>
  <r>
    <s v="ORD0111"/>
    <x v="63"/>
    <s v="C1017"/>
    <s v="Aman"/>
    <s v="Pune"/>
    <s v="Maharashtra"/>
    <x v="0"/>
    <s v="P051"/>
    <s v="Shoes 51"/>
    <x v="0"/>
    <s v="Shoes"/>
    <n v="5"/>
    <n v="8378"/>
    <n v="15"/>
    <n v="35606.5"/>
    <n v="29364.240000000002"/>
    <n v="6242.26"/>
    <s v="Cash"/>
    <s v="Online"/>
    <s v="Delivered"/>
    <n v="4"/>
    <s v="No"/>
  </r>
  <r>
    <s v="ORD0112"/>
    <x v="75"/>
    <s v="C1002"/>
    <s v="Karan"/>
    <s v="Bengaluru"/>
    <s v="Karnataka"/>
    <x v="1"/>
    <s v="P079"/>
    <s v="Mobile 79"/>
    <x v="1"/>
    <s v="Mobile"/>
    <n v="5"/>
    <n v="53406"/>
    <n v="20"/>
    <n v="213624"/>
    <n v="219884.41"/>
    <n v="-6260.41"/>
    <s v="Cash"/>
    <s v="Offline"/>
    <s v="Delivered"/>
    <n v="4"/>
    <s v="No"/>
  </r>
  <r>
    <s v="ORD0113"/>
    <x v="60"/>
    <s v="C1220"/>
    <s v="Vikas"/>
    <s v="Delhi"/>
    <s v="Delhi"/>
    <x v="2"/>
    <s v="P093"/>
    <s v="Shoes 93"/>
    <x v="0"/>
    <s v="Shoes"/>
    <n v="2"/>
    <n v="66045"/>
    <n v="20"/>
    <n v="105672"/>
    <n v="106601.73"/>
    <n v="-929.73"/>
    <s v="Cash"/>
    <s v="Offline"/>
    <s v="Pending"/>
    <n v="4"/>
    <s v="No"/>
  </r>
  <r>
    <s v="ORD0114"/>
    <x v="76"/>
    <s v="C1280"/>
    <s v="Anjali"/>
    <s v="Pune"/>
    <s v="Maharashtra"/>
    <x v="0"/>
    <s v="P018"/>
    <s v="Laptop 18"/>
    <x v="1"/>
    <s v="Laptop"/>
    <n v="3"/>
    <n v="29735"/>
    <n v="20"/>
    <n v="71364"/>
    <n v="53075.39"/>
    <n v="18288.61"/>
    <s v="UPI"/>
    <s v="Offline"/>
    <s v="Cancelled"/>
    <n v="4"/>
    <s v="No"/>
  </r>
  <r>
    <s v="ORD0115"/>
    <x v="77"/>
    <s v="C1052"/>
    <s v="Neha"/>
    <s v="Pune"/>
    <s v="Maharashtra"/>
    <x v="0"/>
    <s v="P017"/>
    <s v="Shoes 17"/>
    <x v="0"/>
    <s v="Shoes"/>
    <n v="2"/>
    <n v="5045"/>
    <n v="20"/>
    <n v="8072"/>
    <n v="7035.79"/>
    <n v="1036.21"/>
    <s v="UPI"/>
    <s v="Online"/>
    <s v="Cancelled"/>
    <n v="3"/>
    <s v="Yes"/>
  </r>
  <r>
    <s v="ORD0116"/>
    <x v="25"/>
    <s v="C1002"/>
    <s v="Priya"/>
    <s v="Mumbai"/>
    <s v="Maharashtra"/>
    <x v="0"/>
    <s v="P079"/>
    <s v="Mobile 79"/>
    <x v="1"/>
    <s v="Mobile"/>
    <n v="2"/>
    <n v="66278"/>
    <n v="15"/>
    <n v="112672.6"/>
    <n v="76891.78"/>
    <n v="35780.82"/>
    <s v="Card"/>
    <s v="Online"/>
    <s v="Pending"/>
    <n v="1"/>
    <s v="Yes"/>
  </r>
  <r>
    <s v="ORD0117"/>
    <x v="10"/>
    <s v="C1058"/>
    <s v="Rahul"/>
    <s v="Jaipur"/>
    <s v="Rajasthan"/>
    <x v="2"/>
    <s v="P038"/>
    <s v="Mobile 38"/>
    <x v="1"/>
    <s v="Mobile"/>
    <n v="3"/>
    <n v="64292"/>
    <n v="20"/>
    <n v="154300.79999999999"/>
    <n v="124948.48"/>
    <n v="29352.32"/>
    <s v="Cash"/>
    <s v="Online"/>
    <s v="Pending"/>
    <n v="5"/>
    <s v="Yes"/>
  </r>
  <r>
    <s v="ORD0118"/>
    <x v="78"/>
    <s v="C1021"/>
    <s v="Rahul"/>
    <s v="Chennai"/>
    <s v="Tamil Nadu"/>
    <x v="1"/>
    <s v="P028"/>
    <s v="Shoes 28"/>
    <x v="0"/>
    <s v="Shoes"/>
    <n v="3"/>
    <n v="41297"/>
    <n v="20"/>
    <n v="99112.8"/>
    <n v="94844.07"/>
    <n v="4268.7299999999996"/>
    <s v="Cash"/>
    <s v="Online"/>
    <s v="Pending"/>
    <n v="4"/>
    <s v="No"/>
  </r>
  <r>
    <s v="ORD0119"/>
    <x v="79"/>
    <s v="C1167"/>
    <s v="Anjali"/>
    <s v="Jaipur"/>
    <s v="Rajasthan"/>
    <x v="2"/>
    <s v="P050"/>
    <s v="Chair 50"/>
    <x v="2"/>
    <s v="Chair"/>
    <n v="4"/>
    <n v="61574"/>
    <n v="10"/>
    <n v="221666.4"/>
    <n v="204390.09"/>
    <n v="17276.310000000001"/>
    <s v="Card"/>
    <s v="Offline"/>
    <s v="Pending"/>
    <n v="1"/>
    <s v="No"/>
  </r>
  <r>
    <s v="ORD0120"/>
    <x v="80"/>
    <s v="C1089"/>
    <s v="Karan"/>
    <s v="Delhi"/>
    <s v="Delhi"/>
    <x v="2"/>
    <s v="P002"/>
    <s v="Laptop 2"/>
    <x v="1"/>
    <s v="Laptop"/>
    <n v="1"/>
    <n v="28928"/>
    <n v="20"/>
    <n v="23142.400000000001"/>
    <n v="23616.19"/>
    <n v="-473.79"/>
    <s v="Cash"/>
    <s v="Offline"/>
    <s v="Cancelled"/>
    <n v="1"/>
    <s v="Yes"/>
  </r>
  <r>
    <s v="ORD0121"/>
    <x v="81"/>
    <s v="C1204"/>
    <s v="Rohit"/>
    <s v="Jaipur"/>
    <s v="Rajasthan"/>
    <x v="2"/>
    <s v="P057"/>
    <s v="Shoes 57"/>
    <x v="0"/>
    <s v="Shoes"/>
    <n v="2"/>
    <n v="68501"/>
    <n v="15"/>
    <n v="116451.7"/>
    <n v="79429.72"/>
    <n v="37021.980000000003"/>
    <s v="UPI"/>
    <s v="Offline"/>
    <s v="Pending"/>
    <n v="4"/>
    <s v="No"/>
  </r>
  <r>
    <s v="ORD0122"/>
    <x v="82"/>
    <s v="C1170"/>
    <s v="Neha"/>
    <s v="Bengaluru"/>
    <s v="Karnataka"/>
    <x v="1"/>
    <s v="P002"/>
    <s v="Laptop 2"/>
    <x v="1"/>
    <s v="Laptop"/>
    <n v="4"/>
    <n v="38002"/>
    <n v="5"/>
    <n v="144407.6"/>
    <n v="110698.97"/>
    <n v="33708.629999999997"/>
    <s v="Card"/>
    <s v="Offline"/>
    <s v="Delivered"/>
    <n v="3"/>
    <s v="No"/>
  </r>
  <r>
    <s v="ORD0123"/>
    <x v="83"/>
    <s v="C1048"/>
    <s v="Rahul"/>
    <s v="Chennai"/>
    <s v="Tamil Nadu"/>
    <x v="1"/>
    <s v="P045"/>
    <s v="Chair 45"/>
    <x v="2"/>
    <s v="Chair"/>
    <n v="5"/>
    <n v="77966"/>
    <n v="20"/>
    <n v="311864"/>
    <n v="284743"/>
    <n v="27121"/>
    <s v="Cash"/>
    <s v="Online"/>
    <s v="Pending"/>
    <n v="1"/>
    <s v="No"/>
  </r>
  <r>
    <s v="ORD0124"/>
    <x v="47"/>
    <s v="C1202"/>
    <s v="Lakshay"/>
    <s v="Mumbai"/>
    <s v="Maharashtra"/>
    <x v="0"/>
    <s v="P080"/>
    <s v="Shoes 80"/>
    <x v="0"/>
    <s v="Shoes"/>
    <n v="1"/>
    <n v="61561"/>
    <n v="0"/>
    <n v="61561"/>
    <n v="44997.75"/>
    <n v="16563.25"/>
    <s v="UPI"/>
    <s v="Online"/>
    <s v="Cancelled"/>
    <n v="5"/>
    <s v="Yes"/>
  </r>
  <r>
    <s v="ORD0125"/>
    <x v="84"/>
    <s v="C1052"/>
    <s v="Priya"/>
    <s v="Kolkata"/>
    <s v="West Bengal"/>
    <x v="3"/>
    <s v="P010"/>
    <s v="Shoes 10"/>
    <x v="0"/>
    <s v="Shoes"/>
    <n v="5"/>
    <n v="64711"/>
    <n v="0"/>
    <n v="323555"/>
    <n v="264478.38"/>
    <n v="59076.62"/>
    <s v="Cash"/>
    <s v="Offline"/>
    <s v="Pending"/>
    <n v="2"/>
    <s v="Yes"/>
  </r>
  <r>
    <s v="ORD0126"/>
    <x v="20"/>
    <s v="C1021"/>
    <s v="Vikas"/>
    <s v="Jaipur"/>
    <s v="Rajasthan"/>
    <x v="2"/>
    <s v="P081"/>
    <s v="Laptop 81"/>
    <x v="1"/>
    <s v="Laptop"/>
    <n v="4"/>
    <n v="69210"/>
    <n v="20"/>
    <n v="221472"/>
    <n v="165472.89000000001"/>
    <n v="55999.11"/>
    <s v="Card"/>
    <s v="Online"/>
    <s v="Delivered"/>
    <n v="3"/>
    <s v="Yes"/>
  </r>
  <r>
    <s v="ORD0127"/>
    <x v="3"/>
    <s v="C1075"/>
    <s v="Vikas"/>
    <s v="Delhi"/>
    <s v="Delhi"/>
    <x v="2"/>
    <s v="P017"/>
    <s v="Shoes 17"/>
    <x v="0"/>
    <s v="Shoes"/>
    <n v="5"/>
    <n v="29473"/>
    <n v="15"/>
    <n v="125260.25"/>
    <n v="83095.509999999995"/>
    <n v="42164.74"/>
    <s v="Card"/>
    <s v="Offline"/>
    <s v="Pending"/>
    <n v="4"/>
    <s v="No"/>
  </r>
  <r>
    <s v="ORD0128"/>
    <x v="58"/>
    <s v="C1283"/>
    <s v="Rahul"/>
    <s v="Chennai"/>
    <s v="Tamil Nadu"/>
    <x v="1"/>
    <s v="P047"/>
    <s v="Table 47"/>
    <x v="2"/>
    <s v="Table"/>
    <n v="2"/>
    <n v="6530"/>
    <n v="15"/>
    <n v="11101"/>
    <n v="10780.72"/>
    <n v="320.27999999999997"/>
    <s v="Cash"/>
    <s v="Online"/>
    <s v="Pending"/>
    <n v="4"/>
    <s v="No"/>
  </r>
  <r>
    <s v="ORD0129"/>
    <x v="41"/>
    <s v="C1144"/>
    <s v="Karan"/>
    <s v="Mumbai"/>
    <s v="Maharashtra"/>
    <x v="0"/>
    <s v="P049"/>
    <s v="Shoes 49"/>
    <x v="0"/>
    <s v="Shoes"/>
    <n v="2"/>
    <n v="75417"/>
    <n v="5"/>
    <n v="143292.29999999999"/>
    <n v="89610.64"/>
    <n v="53681.66"/>
    <s v="Card"/>
    <s v="Online"/>
    <s v="Pending"/>
    <n v="4"/>
    <s v="Yes"/>
  </r>
  <r>
    <s v="ORD0130"/>
    <x v="26"/>
    <s v="C1195"/>
    <s v="Vikas"/>
    <s v="Pune"/>
    <s v="Maharashtra"/>
    <x v="0"/>
    <s v="P055"/>
    <s v="Chair 55"/>
    <x v="2"/>
    <s v="Chair"/>
    <n v="3"/>
    <n v="16817"/>
    <n v="0"/>
    <n v="50451"/>
    <n v="39986.46"/>
    <n v="10464.540000000001"/>
    <s v="UPI"/>
    <s v="Online"/>
    <s v="Cancelled"/>
    <n v="1"/>
    <s v="No"/>
  </r>
  <r>
    <s v="ORD0131"/>
    <x v="85"/>
    <s v="C1030"/>
    <s v="Anjali"/>
    <s v="Pune"/>
    <s v="Maharashtra"/>
    <x v="0"/>
    <s v="P016"/>
    <s v="Chair 16"/>
    <x v="2"/>
    <s v="Chair"/>
    <n v="3"/>
    <n v="71133"/>
    <n v="20"/>
    <n v="170719.2"/>
    <n v="140794.82999999999"/>
    <n v="29924.37"/>
    <s v="Card"/>
    <s v="Offline"/>
    <s v="Delivered"/>
    <n v="4"/>
    <s v="Yes"/>
  </r>
  <r>
    <s v="ORD0132"/>
    <x v="16"/>
    <s v="C1178"/>
    <s v="Priya"/>
    <s v="Chennai"/>
    <s v="Tamil Nadu"/>
    <x v="1"/>
    <s v="P028"/>
    <s v="Shoes 28"/>
    <x v="0"/>
    <s v="Shoes"/>
    <n v="5"/>
    <n v="33232"/>
    <n v="0"/>
    <n v="166160"/>
    <n v="113549.18"/>
    <n v="52610.82"/>
    <s v="Card"/>
    <s v="Online"/>
    <s v="Delivered"/>
    <n v="1"/>
    <s v="Yes"/>
  </r>
  <r>
    <s v="ORD0133"/>
    <x v="20"/>
    <s v="C1221"/>
    <s v="Rahul"/>
    <s v="Bengaluru"/>
    <s v="Karnataka"/>
    <x v="1"/>
    <s v="P087"/>
    <s v="Table 87"/>
    <x v="2"/>
    <s v="Table"/>
    <n v="2"/>
    <n v="61380"/>
    <n v="10"/>
    <n v="110484"/>
    <n v="69892.179999999993"/>
    <n v="40591.82"/>
    <s v="UPI"/>
    <s v="Offline"/>
    <s v="Pending"/>
    <n v="4"/>
    <s v="No"/>
  </r>
  <r>
    <s v="ORD0134"/>
    <x v="78"/>
    <s v="C1068"/>
    <s v="Lakshay"/>
    <s v="Mumbai"/>
    <s v="Maharashtra"/>
    <x v="0"/>
    <s v="P051"/>
    <s v="Shoes 51"/>
    <x v="0"/>
    <s v="Shoes"/>
    <n v="2"/>
    <n v="868"/>
    <n v="0"/>
    <n v="1736"/>
    <n v="1040.06"/>
    <n v="695.94"/>
    <s v="UPI"/>
    <s v="Offline"/>
    <s v="Delivered"/>
    <n v="2"/>
    <s v="Yes"/>
  </r>
  <r>
    <s v="ORD0135"/>
    <x v="86"/>
    <s v="C1195"/>
    <s v="Aman"/>
    <s v="Delhi"/>
    <s v="Delhi"/>
    <x v="2"/>
    <s v="P002"/>
    <s v="Laptop 2"/>
    <x v="1"/>
    <s v="Laptop"/>
    <n v="2"/>
    <n v="72837"/>
    <n v="10"/>
    <n v="131106.6"/>
    <n v="94609.12"/>
    <n v="36497.480000000003"/>
    <s v="Cash"/>
    <s v="Online"/>
    <s v="Delivered"/>
    <n v="5"/>
    <s v="No"/>
  </r>
  <r>
    <s v="ORD0136"/>
    <x v="87"/>
    <s v="C1092"/>
    <s v="Priya"/>
    <s v="Jaipur"/>
    <s v="Rajasthan"/>
    <x v="2"/>
    <s v="P058"/>
    <s v="Mobile 58"/>
    <x v="1"/>
    <s v="Mobile"/>
    <n v="3"/>
    <n v="28245"/>
    <n v="0"/>
    <n v="84735"/>
    <n v="52702.28"/>
    <n v="32032.720000000001"/>
    <s v="Cash"/>
    <s v="Online"/>
    <s v="Pending"/>
    <n v="1"/>
    <s v="No"/>
  </r>
  <r>
    <s v="ORD0137"/>
    <x v="70"/>
    <s v="C1244"/>
    <s v="Rahul"/>
    <s v="Kolkata"/>
    <s v="West Bengal"/>
    <x v="3"/>
    <s v="P010"/>
    <s v="Shoes 10"/>
    <x v="0"/>
    <s v="Shoes"/>
    <n v="1"/>
    <n v="29714"/>
    <n v="20"/>
    <n v="23771.200000000001"/>
    <n v="21532.400000000001"/>
    <n v="2238.8000000000002"/>
    <s v="Cash"/>
    <s v="Offline"/>
    <s v="Delivered"/>
    <n v="4"/>
    <s v="No"/>
  </r>
  <r>
    <s v="ORD0138"/>
    <x v="0"/>
    <s v="C1262"/>
    <s v="Karan"/>
    <s v="Kolkata"/>
    <s v="West Bengal"/>
    <x v="3"/>
    <s v="P062"/>
    <s v="Mixer 62"/>
    <x v="3"/>
    <s v="Mixer"/>
    <n v="2"/>
    <n v="60882"/>
    <n v="10"/>
    <n v="109587.6"/>
    <n v="92519.18"/>
    <n v="17068.419999999998"/>
    <s v="Card"/>
    <s v="Offline"/>
    <s v="Delivered"/>
    <n v="1"/>
    <s v="Yes"/>
  </r>
  <r>
    <s v="ORD0139"/>
    <x v="84"/>
    <s v="C1171"/>
    <s v="Vikas"/>
    <s v="Mumbai"/>
    <s v="Maharashtra"/>
    <x v="0"/>
    <s v="P041"/>
    <s v="Table 41"/>
    <x v="2"/>
    <s v="Table"/>
    <n v="5"/>
    <n v="2455"/>
    <n v="20"/>
    <n v="9820"/>
    <n v="7963.55"/>
    <n v="1856.45"/>
    <s v="Cash"/>
    <s v="Offline"/>
    <s v="Delivered"/>
    <n v="4"/>
    <s v="No"/>
  </r>
  <r>
    <s v="ORD0140"/>
    <x v="88"/>
    <s v="C1073"/>
    <s v="Rohit"/>
    <s v="Chennai"/>
    <s v="Tamil Nadu"/>
    <x v="1"/>
    <s v="P018"/>
    <s v="Laptop 18"/>
    <x v="1"/>
    <s v="Laptop"/>
    <n v="1"/>
    <n v="44587"/>
    <n v="15"/>
    <n v="37898.949999999997"/>
    <n v="33992.32"/>
    <n v="3906.63"/>
    <s v="UPI"/>
    <s v="Online"/>
    <s v="Cancelled"/>
    <n v="3"/>
    <s v="Yes"/>
  </r>
  <r>
    <s v="ORD0141"/>
    <x v="42"/>
    <s v="C1085"/>
    <s v="Rohit"/>
    <s v="Mumbai"/>
    <s v="Maharashtra"/>
    <x v="0"/>
    <s v="P032"/>
    <s v="Chair 32"/>
    <x v="2"/>
    <s v="Chair"/>
    <n v="5"/>
    <n v="21799"/>
    <n v="10"/>
    <n v="98095.5"/>
    <n v="66330.429999999993"/>
    <n v="31765.07"/>
    <s v="Cash"/>
    <s v="Online"/>
    <s v="Pending"/>
    <n v="5"/>
    <s v="Yes"/>
  </r>
  <r>
    <s v="ORD0142"/>
    <x v="23"/>
    <s v="C1103"/>
    <s v="Karan"/>
    <s v="Bengaluru"/>
    <s v="Karnataka"/>
    <x v="1"/>
    <s v="P079"/>
    <s v="Mobile 79"/>
    <x v="1"/>
    <s v="Mobile"/>
    <n v="5"/>
    <n v="42096"/>
    <n v="0"/>
    <n v="210480"/>
    <n v="170450.98"/>
    <n v="40029.019999999997"/>
    <s v="UPI"/>
    <s v="Offline"/>
    <s v="Pending"/>
    <n v="2"/>
    <s v="Yes"/>
  </r>
  <r>
    <s v="ORD0143"/>
    <x v="89"/>
    <s v="C1058"/>
    <s v="Anjali"/>
    <s v="Chennai"/>
    <s v="Tamil Nadu"/>
    <x v="1"/>
    <s v="P077"/>
    <s v="Table 77"/>
    <x v="2"/>
    <s v="Table"/>
    <n v="3"/>
    <n v="28295"/>
    <n v="0"/>
    <n v="84885"/>
    <n v="70301.97"/>
    <n v="14583.03"/>
    <s v="Card"/>
    <s v="Online"/>
    <s v="Delivered"/>
    <n v="4"/>
    <s v="No"/>
  </r>
  <r>
    <s v="ORD0144"/>
    <x v="90"/>
    <s v="C1224"/>
    <s v="Vikas"/>
    <s v="Jaipur"/>
    <s v="Rajasthan"/>
    <x v="2"/>
    <s v="P053"/>
    <s v="Laptop 53"/>
    <x v="1"/>
    <s v="Laptop"/>
    <n v="4"/>
    <n v="28029"/>
    <n v="5"/>
    <n v="106510.2"/>
    <n v="76487.009999999995"/>
    <n v="30023.19"/>
    <s v="Cash"/>
    <s v="Offline"/>
    <s v="Delivered"/>
    <n v="1"/>
    <s v="No"/>
  </r>
  <r>
    <s v="ORD0145"/>
    <x v="18"/>
    <s v="C1128"/>
    <s v="Rohit"/>
    <s v="Jaipur"/>
    <s v="Rajasthan"/>
    <x v="2"/>
    <s v="P093"/>
    <s v="Shoes 93"/>
    <x v="0"/>
    <s v="Shoes"/>
    <n v="5"/>
    <n v="17716"/>
    <n v="0"/>
    <n v="88580"/>
    <n v="56068.31"/>
    <n v="32511.69"/>
    <s v="Cash"/>
    <s v="Online"/>
    <s v="Cancelled"/>
    <n v="2"/>
    <s v="Yes"/>
  </r>
  <r>
    <s v="ORD0146"/>
    <x v="54"/>
    <s v="C1108"/>
    <s v="Aman"/>
    <s v="Kolkata"/>
    <s v="West Bengal"/>
    <x v="3"/>
    <s v="P005"/>
    <s v="Chair 5"/>
    <x v="2"/>
    <s v="Chair"/>
    <n v="5"/>
    <n v="74155"/>
    <n v="10"/>
    <n v="333697.5"/>
    <n v="271457.84999999998"/>
    <n v="62239.65"/>
    <s v="UPI"/>
    <s v="Offline"/>
    <s v="Cancelled"/>
    <n v="2"/>
    <s v="Yes"/>
  </r>
  <r>
    <s v="ORD0147"/>
    <x v="91"/>
    <s v="C1280"/>
    <s v="Karan"/>
    <s v="Bengaluru"/>
    <s v="Karnataka"/>
    <x v="1"/>
    <s v="P003"/>
    <s v="Mixer 3"/>
    <x v="3"/>
    <s v="Mixer"/>
    <n v="1"/>
    <n v="57437"/>
    <n v="20"/>
    <n v="45949.599999999999"/>
    <n v="39438.400000000001"/>
    <n v="6511.2"/>
    <s v="Cash"/>
    <s v="Offline"/>
    <s v="Pending"/>
    <n v="5"/>
    <s v="No"/>
  </r>
  <r>
    <s v="ORD0148"/>
    <x v="92"/>
    <s v="C1266"/>
    <s v="Priya"/>
    <s v="Mumbai"/>
    <s v="Maharashtra"/>
    <x v="0"/>
    <s v="P060"/>
    <s v="Mixer 60"/>
    <x v="3"/>
    <s v="Mixer"/>
    <n v="3"/>
    <n v="19797"/>
    <n v="10"/>
    <n v="53451.9"/>
    <n v="44233.98"/>
    <n v="9217.92"/>
    <s v="UPI"/>
    <s v="Online"/>
    <s v="Cancelled"/>
    <n v="3"/>
    <s v="Yes"/>
  </r>
  <r>
    <s v="ORD0149"/>
    <x v="10"/>
    <s v="C1110"/>
    <s v="Lakshay"/>
    <s v="Mumbai"/>
    <s v="Maharashtra"/>
    <x v="0"/>
    <s v="P064"/>
    <s v="Table 64"/>
    <x v="2"/>
    <s v="Table"/>
    <n v="4"/>
    <n v="15532"/>
    <n v="0"/>
    <n v="62128"/>
    <n v="52649.43"/>
    <n v="9478.57"/>
    <s v="Card"/>
    <s v="Online"/>
    <s v="Cancelled"/>
    <n v="2"/>
    <s v="No"/>
  </r>
  <r>
    <s v="ORD0150"/>
    <x v="92"/>
    <s v="C1065"/>
    <s v="Sneha"/>
    <s v="Pune"/>
    <s v="Maharashtra"/>
    <x v="0"/>
    <s v="P093"/>
    <s v="Shoes 93"/>
    <x v="0"/>
    <s v="Shoes"/>
    <n v="5"/>
    <n v="34366"/>
    <n v="0"/>
    <n v="171830"/>
    <n v="127347.82"/>
    <n v="44482.18"/>
    <s v="Cash"/>
    <s v="Offline"/>
    <s v="Pending"/>
    <n v="1"/>
    <s v="No"/>
  </r>
  <r>
    <s v="ORD0151"/>
    <x v="93"/>
    <s v="C1048"/>
    <s v="Vikas"/>
    <s v="Kolkata"/>
    <s v="West Bengal"/>
    <x v="3"/>
    <s v="P020"/>
    <s v="Shoes 20"/>
    <x v="0"/>
    <s v="Shoes"/>
    <n v="5"/>
    <n v="21946"/>
    <n v="10"/>
    <n v="98757"/>
    <n v="78879.14"/>
    <n v="19877.86"/>
    <s v="UPI"/>
    <s v="Offline"/>
    <s v="Pending"/>
    <n v="3"/>
    <s v="Yes"/>
  </r>
  <r>
    <s v="ORD0152"/>
    <x v="94"/>
    <s v="C1161"/>
    <s v="Neha"/>
    <s v="Pune"/>
    <s v="Maharashtra"/>
    <x v="0"/>
    <s v="P031"/>
    <s v="Table 31"/>
    <x v="2"/>
    <s v="Table"/>
    <n v="3"/>
    <n v="62014"/>
    <n v="0"/>
    <n v="186042"/>
    <n v="148823.04000000001"/>
    <n v="37218.959999999999"/>
    <s v="Cash"/>
    <s v="Online"/>
    <s v="Delivered"/>
    <n v="1"/>
    <s v="No"/>
  </r>
  <r>
    <s v="ORD0153"/>
    <x v="95"/>
    <s v="C1241"/>
    <s v="Neha"/>
    <s v="Pune"/>
    <s v="Maharashtra"/>
    <x v="0"/>
    <s v="P076"/>
    <s v="Mixer 76"/>
    <x v="3"/>
    <s v="Mixer"/>
    <n v="3"/>
    <n v="22335"/>
    <n v="0"/>
    <n v="67005"/>
    <n v="51079.92"/>
    <n v="15925.08"/>
    <s v="Cash"/>
    <s v="Offline"/>
    <s v="Cancelled"/>
    <n v="4"/>
    <s v="Yes"/>
  </r>
  <r>
    <s v="ORD0154"/>
    <x v="96"/>
    <s v="C1268"/>
    <s v="Priya"/>
    <s v="Mumbai"/>
    <s v="Maharashtra"/>
    <x v="0"/>
    <s v="P048"/>
    <s v="Shoes 48"/>
    <x v="0"/>
    <s v="Shoes"/>
    <n v="4"/>
    <n v="1334"/>
    <n v="20"/>
    <n v="4268.8"/>
    <n v="3172.61"/>
    <n v="1096.19"/>
    <s v="UPI"/>
    <s v="Online"/>
    <s v="Cancelled"/>
    <n v="3"/>
    <s v="Yes"/>
  </r>
  <r>
    <s v="ORD0155"/>
    <x v="22"/>
    <s v="C1281"/>
    <s v="Rahul"/>
    <s v="Delhi"/>
    <s v="Delhi"/>
    <x v="2"/>
    <s v="P011"/>
    <s v="Laptop 11"/>
    <x v="1"/>
    <s v="Laptop"/>
    <n v="5"/>
    <n v="48605"/>
    <n v="15"/>
    <n v="206571.25"/>
    <n v="195188.02"/>
    <n v="11383.23"/>
    <s v="UPI"/>
    <s v="Offline"/>
    <s v="Delivered"/>
    <n v="3"/>
    <s v="Yes"/>
  </r>
  <r>
    <s v="ORD0156"/>
    <x v="97"/>
    <s v="C1116"/>
    <s v="Neha"/>
    <s v="Mumbai"/>
    <s v="Maharashtra"/>
    <x v="0"/>
    <s v="P001"/>
    <s v="Shoes 1"/>
    <x v="0"/>
    <s v="Shoes"/>
    <n v="3"/>
    <n v="35820"/>
    <n v="5"/>
    <n v="102087"/>
    <n v="74127.03"/>
    <n v="27959.97"/>
    <s v="UPI"/>
    <s v="Offline"/>
    <s v="Delivered"/>
    <n v="1"/>
    <s v="Yes"/>
  </r>
  <r>
    <s v="ORD0157"/>
    <x v="12"/>
    <s v="C1024"/>
    <s v="Neha"/>
    <s v="Kolkata"/>
    <s v="West Bengal"/>
    <x v="3"/>
    <s v="P008"/>
    <s v="Shoes 8"/>
    <x v="0"/>
    <s v="Shoes"/>
    <n v="5"/>
    <n v="53617"/>
    <n v="0"/>
    <n v="268085"/>
    <n v="157447.13"/>
    <n v="110637.87"/>
    <s v="Cash"/>
    <s v="Online"/>
    <s v="Delivered"/>
    <n v="3"/>
    <s v="No"/>
  </r>
  <r>
    <s v="ORD0158"/>
    <x v="17"/>
    <s v="C1040"/>
    <s v="Priya"/>
    <s v="Pune"/>
    <s v="Maharashtra"/>
    <x v="0"/>
    <s v="P056"/>
    <s v="Shoes 56"/>
    <x v="0"/>
    <s v="Shoes"/>
    <n v="1"/>
    <n v="13459"/>
    <n v="5"/>
    <n v="12786.05"/>
    <n v="7698.61"/>
    <n v="5087.4399999999996"/>
    <s v="UPI"/>
    <s v="Offline"/>
    <s v="Pending"/>
    <n v="1"/>
    <s v="No"/>
  </r>
  <r>
    <s v="ORD0159"/>
    <x v="98"/>
    <s v="C1171"/>
    <s v="Aman"/>
    <s v="Chennai"/>
    <s v="Tamil Nadu"/>
    <x v="1"/>
    <s v="P034"/>
    <s v="Chair 34"/>
    <x v="2"/>
    <s v="Chair"/>
    <n v="1"/>
    <n v="53792"/>
    <n v="0"/>
    <n v="53792"/>
    <n v="31421.62"/>
    <n v="22370.38"/>
    <s v="Card"/>
    <s v="Offline"/>
    <s v="Cancelled"/>
    <n v="1"/>
    <s v="Yes"/>
  </r>
  <r>
    <s v="ORD0160"/>
    <x v="47"/>
    <s v="C1068"/>
    <s v="Rahul"/>
    <s v="Bengaluru"/>
    <s v="Karnataka"/>
    <x v="1"/>
    <s v="P018"/>
    <s v="Laptop 18"/>
    <x v="1"/>
    <s v="Laptop"/>
    <n v="1"/>
    <n v="29518"/>
    <n v="10"/>
    <n v="26566.2"/>
    <n v="23732.76"/>
    <n v="2833.44"/>
    <s v="Cash"/>
    <s v="Offline"/>
    <s v="Pending"/>
    <n v="3"/>
    <s v="Yes"/>
  </r>
  <r>
    <s v="ORD0161"/>
    <x v="99"/>
    <s v="C1264"/>
    <s v="Neha"/>
    <s v="Jaipur"/>
    <s v="Rajasthan"/>
    <x v="2"/>
    <s v="P026"/>
    <s v="Table 26"/>
    <x v="2"/>
    <s v="Table"/>
    <n v="5"/>
    <n v="61453"/>
    <n v="5"/>
    <n v="291901.75"/>
    <n v="241062.44"/>
    <n v="50839.31"/>
    <s v="UPI"/>
    <s v="Offline"/>
    <s v="Cancelled"/>
    <n v="1"/>
    <s v="No"/>
  </r>
  <r>
    <s v="ORD0162"/>
    <x v="25"/>
    <s v="C1279"/>
    <s v="Priya"/>
    <s v="Delhi"/>
    <s v="Delhi"/>
    <x v="2"/>
    <s v="P071"/>
    <s v="Mobile 71"/>
    <x v="1"/>
    <s v="Mobile"/>
    <n v="5"/>
    <n v="16193"/>
    <n v="15"/>
    <n v="68820.25"/>
    <n v="56276.86"/>
    <n v="12543.39"/>
    <s v="UPI"/>
    <s v="Offline"/>
    <s v="Cancelled"/>
    <n v="4"/>
    <s v="No"/>
  </r>
  <r>
    <s v="ORD0163"/>
    <x v="43"/>
    <s v="C1277"/>
    <s v="Lakshay"/>
    <s v="Chennai"/>
    <s v="Tamil Nadu"/>
    <x v="1"/>
    <s v="P016"/>
    <s v="Chair 16"/>
    <x v="2"/>
    <s v="Chair"/>
    <n v="5"/>
    <n v="22058"/>
    <n v="5"/>
    <n v="104775.5"/>
    <n v="80873.990000000005"/>
    <n v="23901.51"/>
    <s v="Card"/>
    <s v="Offline"/>
    <s v="Cancelled"/>
    <n v="1"/>
    <s v="No"/>
  </r>
  <r>
    <s v="ORD0164"/>
    <x v="26"/>
    <s v="C1250"/>
    <s v="Sneha"/>
    <s v="Delhi"/>
    <s v="Delhi"/>
    <x v="2"/>
    <s v="P008"/>
    <s v="Shoes 8"/>
    <x v="0"/>
    <s v="Shoes"/>
    <n v="5"/>
    <n v="21812"/>
    <n v="10"/>
    <n v="98154"/>
    <n v="91871.039999999994"/>
    <n v="6282.96"/>
    <s v="Cash"/>
    <s v="Offline"/>
    <s v="Delivered"/>
    <n v="3"/>
    <s v="Yes"/>
  </r>
  <r>
    <s v="ORD0165"/>
    <x v="69"/>
    <s v="C1002"/>
    <s v="Neha"/>
    <s v="Jaipur"/>
    <s v="Rajasthan"/>
    <x v="2"/>
    <s v="P051"/>
    <s v="Shoes 51"/>
    <x v="0"/>
    <s v="Shoes"/>
    <n v="2"/>
    <n v="24166"/>
    <n v="5"/>
    <n v="45915.4"/>
    <n v="32771.1"/>
    <n v="13144.3"/>
    <s v="Card"/>
    <s v="Offline"/>
    <s v="Cancelled"/>
    <n v="4"/>
    <s v="No"/>
  </r>
  <r>
    <s v="ORD0166"/>
    <x v="100"/>
    <s v="C1194"/>
    <s v="Karan"/>
    <s v="Jaipur"/>
    <s v="Rajasthan"/>
    <x v="2"/>
    <s v="P052"/>
    <s v="Laptop 52"/>
    <x v="1"/>
    <s v="Laptop"/>
    <n v="4"/>
    <n v="58707"/>
    <n v="5"/>
    <n v="223086.6"/>
    <n v="180527.35999999999"/>
    <n v="42559.24"/>
    <s v="Cash"/>
    <s v="Online"/>
    <s v="Pending"/>
    <n v="4"/>
    <s v="Yes"/>
  </r>
  <r>
    <s v="ORD0167"/>
    <x v="101"/>
    <s v="C1043"/>
    <s v="Lakshay"/>
    <s v="Kolkata"/>
    <s v="West Bengal"/>
    <x v="3"/>
    <s v="P008"/>
    <s v="Shoes 8"/>
    <x v="0"/>
    <s v="Shoes"/>
    <n v="1"/>
    <n v="30683"/>
    <n v="20"/>
    <n v="24546.400000000001"/>
    <n v="24094.240000000002"/>
    <n v="452.16"/>
    <s v="UPI"/>
    <s v="Offline"/>
    <s v="Cancelled"/>
    <n v="2"/>
    <s v="No"/>
  </r>
  <r>
    <s v="ORD0168"/>
    <x v="88"/>
    <s v="C1249"/>
    <s v="Anjali"/>
    <s v="Mumbai"/>
    <s v="Maharashtra"/>
    <x v="0"/>
    <s v="P027"/>
    <s v="Chair 27"/>
    <x v="2"/>
    <s v="Chair"/>
    <n v="5"/>
    <n v="67514"/>
    <n v="5"/>
    <n v="320691.5"/>
    <n v="273111.76"/>
    <n v="47579.74"/>
    <s v="Card"/>
    <s v="Offline"/>
    <s v="Pending"/>
    <n v="3"/>
    <s v="No"/>
  </r>
  <r>
    <s v="ORD0169"/>
    <x v="71"/>
    <s v="C1033"/>
    <s v="Lakshay"/>
    <s v="Mumbai"/>
    <s v="Maharashtra"/>
    <x v="0"/>
    <s v="P012"/>
    <s v="Table 12"/>
    <x v="2"/>
    <s v="Table"/>
    <n v="3"/>
    <n v="61552"/>
    <n v="10"/>
    <n v="166190.39999999999"/>
    <n v="111753.76"/>
    <n v="54436.639999999999"/>
    <s v="UPI"/>
    <s v="Offline"/>
    <s v="Cancelled"/>
    <n v="5"/>
    <s v="No"/>
  </r>
  <r>
    <s v="ORD0170"/>
    <x v="9"/>
    <s v="C1124"/>
    <s v="Rohit"/>
    <s v="Jaipur"/>
    <s v="Rajasthan"/>
    <x v="2"/>
    <s v="P058"/>
    <s v="Mobile 58"/>
    <x v="1"/>
    <s v="Mobile"/>
    <n v="3"/>
    <n v="33233"/>
    <n v="10"/>
    <n v="89729.1"/>
    <n v="58964.82"/>
    <n v="30764.28"/>
    <s v="UPI"/>
    <s v="Online"/>
    <s v="Pending"/>
    <n v="4"/>
    <s v="No"/>
  </r>
  <r>
    <s v="ORD0171"/>
    <x v="43"/>
    <s v="C1214"/>
    <s v="Vikas"/>
    <s v="Bengaluru"/>
    <s v="Karnataka"/>
    <x v="1"/>
    <s v="P085"/>
    <s v="Chair 85"/>
    <x v="2"/>
    <s v="Chair"/>
    <n v="2"/>
    <n v="53897"/>
    <n v="0"/>
    <n v="107794"/>
    <n v="75763.72"/>
    <n v="32030.28"/>
    <s v="Cash"/>
    <s v="Offline"/>
    <s v="Pending"/>
    <n v="3"/>
    <s v="Yes"/>
  </r>
  <r>
    <s v="ORD0172"/>
    <x v="102"/>
    <s v="C1194"/>
    <s v="Aman"/>
    <s v="Pune"/>
    <s v="Maharashtra"/>
    <x v="0"/>
    <s v="P009"/>
    <s v="Laptop 9"/>
    <x v="1"/>
    <s v="Laptop"/>
    <n v="5"/>
    <n v="32195"/>
    <n v="10"/>
    <n v="144877.5"/>
    <n v="92667.76"/>
    <n v="52209.74"/>
    <s v="UPI"/>
    <s v="Online"/>
    <s v="Pending"/>
    <n v="2"/>
    <s v="Yes"/>
  </r>
  <r>
    <s v="ORD0173"/>
    <x v="103"/>
    <s v="C1129"/>
    <s v="Rahul"/>
    <s v="Mumbai"/>
    <s v="Maharashtra"/>
    <x v="0"/>
    <s v="P062"/>
    <s v="Mixer 62"/>
    <x v="3"/>
    <s v="Mixer"/>
    <n v="3"/>
    <n v="29928"/>
    <n v="10"/>
    <n v="80805.600000000006"/>
    <n v="63030.95"/>
    <n v="17774.650000000001"/>
    <s v="UPI"/>
    <s v="Online"/>
    <s v="Pending"/>
    <n v="3"/>
    <s v="Yes"/>
  </r>
  <r>
    <s v="ORD0174"/>
    <x v="86"/>
    <s v="C1256"/>
    <s v="Rohit"/>
    <s v="Kolkata"/>
    <s v="West Bengal"/>
    <x v="3"/>
    <s v="P033"/>
    <s v="Mixer 33"/>
    <x v="3"/>
    <s v="Mixer"/>
    <n v="2"/>
    <n v="1265"/>
    <n v="15"/>
    <n v="2150.5"/>
    <n v="1950.38"/>
    <n v="200.12"/>
    <s v="Cash"/>
    <s v="Online"/>
    <s v="Delivered"/>
    <n v="1"/>
    <s v="Yes"/>
  </r>
  <r>
    <s v="ORD0175"/>
    <x v="104"/>
    <s v="C1067"/>
    <s v="Aman"/>
    <s v="Bengaluru"/>
    <s v="Karnataka"/>
    <x v="1"/>
    <s v="P059"/>
    <s v="Laptop 59"/>
    <x v="1"/>
    <s v="Laptop"/>
    <n v="2"/>
    <n v="79863"/>
    <n v="15"/>
    <n v="135767.1"/>
    <n v="117407.69"/>
    <n v="18359.41"/>
    <s v="Cash"/>
    <s v="Offline"/>
    <s v="Pending"/>
    <n v="5"/>
    <s v="Yes"/>
  </r>
  <r>
    <s v="ORD0176"/>
    <x v="105"/>
    <s v="C1174"/>
    <s v="Lakshay"/>
    <s v="Mumbai"/>
    <s v="Maharashtra"/>
    <x v="0"/>
    <s v="P035"/>
    <s v="Table 35"/>
    <x v="2"/>
    <s v="Table"/>
    <n v="3"/>
    <n v="26038"/>
    <n v="0"/>
    <n v="78114"/>
    <n v="48094.42"/>
    <n v="30019.58"/>
    <s v="Card"/>
    <s v="Online"/>
    <s v="Cancelled"/>
    <n v="2"/>
    <s v="Yes"/>
  </r>
  <r>
    <s v="ORD0177"/>
    <x v="106"/>
    <s v="C1074"/>
    <s v="Sneha"/>
    <s v="Chennai"/>
    <s v="Tamil Nadu"/>
    <x v="1"/>
    <s v="P013"/>
    <s v="Chair 13"/>
    <x v="2"/>
    <s v="Chair"/>
    <n v="4"/>
    <n v="63204"/>
    <n v="15"/>
    <n v="214893.6"/>
    <n v="196959.04"/>
    <n v="17934.560000000001"/>
    <s v="Card"/>
    <s v="Online"/>
    <s v="Cancelled"/>
    <n v="4"/>
    <s v="Yes"/>
  </r>
  <r>
    <s v="ORD0178"/>
    <x v="36"/>
    <s v="C1069"/>
    <s v="Neha"/>
    <s v="Pune"/>
    <s v="Maharashtra"/>
    <x v="0"/>
    <s v="P028"/>
    <s v="Shoes 28"/>
    <x v="0"/>
    <s v="Shoes"/>
    <n v="2"/>
    <n v="1561"/>
    <n v="15"/>
    <n v="2653.7"/>
    <n v="2381.96"/>
    <n v="271.74"/>
    <s v="UPI"/>
    <s v="Online"/>
    <s v="Pending"/>
    <n v="2"/>
    <s v="No"/>
  </r>
  <r>
    <s v="ORD0179"/>
    <x v="107"/>
    <s v="C1043"/>
    <s v="Karan"/>
    <s v="Mumbai"/>
    <s v="Maharashtra"/>
    <x v="0"/>
    <s v="P010"/>
    <s v="Shoes 10"/>
    <x v="0"/>
    <s v="Shoes"/>
    <n v="1"/>
    <n v="44909"/>
    <n v="0"/>
    <n v="44909"/>
    <n v="24773.69"/>
    <n v="20135.310000000001"/>
    <s v="Card"/>
    <s v="Offline"/>
    <s v="Cancelled"/>
    <n v="3"/>
    <s v="No"/>
  </r>
  <r>
    <s v="ORD0180"/>
    <x v="7"/>
    <s v="C1053"/>
    <s v="Rohit"/>
    <s v="Bengaluru"/>
    <s v="Karnataka"/>
    <x v="1"/>
    <s v="P070"/>
    <s v="Laptop 70"/>
    <x v="1"/>
    <s v="Laptop"/>
    <n v="2"/>
    <n v="46373"/>
    <n v="0"/>
    <n v="92746"/>
    <n v="67020.639999999999"/>
    <n v="25725.360000000001"/>
    <s v="Cash"/>
    <s v="Online"/>
    <s v="Cancelled"/>
    <n v="5"/>
    <s v="Yes"/>
  </r>
  <r>
    <s v="ORD0181"/>
    <x v="17"/>
    <s v="C1154"/>
    <s v="Anjali"/>
    <s v="Mumbai"/>
    <s v="Maharashtra"/>
    <x v="0"/>
    <s v="P021"/>
    <s v="Mobile 21"/>
    <x v="1"/>
    <s v="Mobile"/>
    <n v="3"/>
    <n v="17275"/>
    <n v="15"/>
    <n v="44051.25"/>
    <n v="28949.8"/>
    <n v="15101.45"/>
    <s v="Card"/>
    <s v="Online"/>
    <s v="Delivered"/>
    <n v="4"/>
    <s v="No"/>
  </r>
  <r>
    <s v="ORD0182"/>
    <x v="7"/>
    <s v="C1035"/>
    <s v="Priya"/>
    <s v="Mumbai"/>
    <s v="Maharashtra"/>
    <x v="0"/>
    <s v="P082"/>
    <s v="Mobile 82"/>
    <x v="1"/>
    <s v="Mobile"/>
    <n v="5"/>
    <n v="64240"/>
    <n v="20"/>
    <n v="256960"/>
    <n v="259805.44"/>
    <n v="-2845.44"/>
    <s v="Card"/>
    <s v="Online"/>
    <s v="Delivered"/>
    <n v="5"/>
    <s v="Yes"/>
  </r>
  <r>
    <s v="ORD0183"/>
    <x v="47"/>
    <s v="C1125"/>
    <s v="Rahul"/>
    <s v="Jaipur"/>
    <s v="Rajasthan"/>
    <x v="2"/>
    <s v="P037"/>
    <s v="Mixer 37"/>
    <x v="3"/>
    <s v="Mixer"/>
    <n v="4"/>
    <n v="64286"/>
    <n v="20"/>
    <n v="205715.20000000001"/>
    <n v="200025.82"/>
    <n v="5689.38"/>
    <s v="UPI"/>
    <s v="Offline"/>
    <s v="Pending"/>
    <n v="5"/>
    <s v="No"/>
  </r>
  <r>
    <s v="ORD0184"/>
    <x v="43"/>
    <s v="C1185"/>
    <s v="Aman"/>
    <s v="Pune"/>
    <s v="Maharashtra"/>
    <x v="0"/>
    <s v="P063"/>
    <s v="Shoes 63"/>
    <x v="0"/>
    <s v="Shoes"/>
    <n v="5"/>
    <n v="39718"/>
    <n v="0"/>
    <n v="198590"/>
    <n v="161373.74"/>
    <n v="37216.26"/>
    <s v="Card"/>
    <s v="Offline"/>
    <s v="Cancelled"/>
    <n v="1"/>
    <s v="Yes"/>
  </r>
  <r>
    <s v="ORD0185"/>
    <x v="108"/>
    <s v="C1084"/>
    <s v="Karan"/>
    <s v="Jaipur"/>
    <s v="Rajasthan"/>
    <x v="2"/>
    <s v="P046"/>
    <s v="Laptop 46"/>
    <x v="1"/>
    <s v="Laptop"/>
    <n v="3"/>
    <n v="24043"/>
    <n v="15"/>
    <n v="61309.65"/>
    <n v="61199.23"/>
    <n v="110.42"/>
    <s v="Card"/>
    <s v="Online"/>
    <s v="Pending"/>
    <n v="5"/>
    <s v="No"/>
  </r>
  <r>
    <s v="ORD0186"/>
    <x v="109"/>
    <s v="C1076"/>
    <s v="Aman"/>
    <s v="Kolkata"/>
    <s v="West Bengal"/>
    <x v="3"/>
    <s v="P079"/>
    <s v="Mobile 79"/>
    <x v="1"/>
    <s v="Mobile"/>
    <n v="1"/>
    <n v="70940"/>
    <n v="20"/>
    <n v="56752"/>
    <n v="56239.18"/>
    <n v="512.82000000000005"/>
    <s v="Card"/>
    <s v="Offline"/>
    <s v="Delivered"/>
    <n v="5"/>
    <s v="No"/>
  </r>
  <r>
    <s v="ORD0187"/>
    <x v="110"/>
    <s v="C1144"/>
    <s v="Priya"/>
    <s v="Pune"/>
    <s v="Maharashtra"/>
    <x v="0"/>
    <s v="P068"/>
    <s v="Mobile 68"/>
    <x v="1"/>
    <s v="Mobile"/>
    <n v="3"/>
    <n v="4107"/>
    <n v="15"/>
    <n v="10472.85"/>
    <n v="7881.24"/>
    <n v="2591.61"/>
    <s v="UPI"/>
    <s v="Online"/>
    <s v="Cancelled"/>
    <n v="4"/>
    <s v="Yes"/>
  </r>
  <r>
    <s v="ORD0188"/>
    <x v="18"/>
    <s v="C1056"/>
    <s v="Karan"/>
    <s v="Kolkata"/>
    <s v="West Bengal"/>
    <x v="3"/>
    <s v="P016"/>
    <s v="Chair 16"/>
    <x v="2"/>
    <s v="Chair"/>
    <n v="3"/>
    <n v="33151"/>
    <n v="5"/>
    <n v="94480.35"/>
    <n v="82501.94"/>
    <n v="11978.41"/>
    <s v="Card"/>
    <s v="Online"/>
    <s v="Cancelled"/>
    <n v="2"/>
    <s v="Yes"/>
  </r>
  <r>
    <s v="ORD0189"/>
    <x v="70"/>
    <s v="C1028"/>
    <s v="Rohit"/>
    <s v="Bengaluru"/>
    <s v="Karnataka"/>
    <x v="1"/>
    <s v="P039"/>
    <s v="Shoes 39"/>
    <x v="0"/>
    <s v="Shoes"/>
    <n v="5"/>
    <n v="64481"/>
    <n v="20"/>
    <n v="257924"/>
    <n v="227581.51"/>
    <n v="30342.49"/>
    <s v="Cash"/>
    <s v="Online"/>
    <s v="Delivered"/>
    <n v="3"/>
    <s v="Yes"/>
  </r>
  <r>
    <s v="ORD0190"/>
    <x v="80"/>
    <s v="C1009"/>
    <s v="Anjali"/>
    <s v="Jaipur"/>
    <s v="Rajasthan"/>
    <x v="2"/>
    <s v="P047"/>
    <s v="Table 47"/>
    <x v="2"/>
    <s v="Table"/>
    <n v="3"/>
    <n v="40252"/>
    <n v="0"/>
    <n v="120756"/>
    <n v="67954.7"/>
    <n v="52801.3"/>
    <s v="Cash"/>
    <s v="Online"/>
    <s v="Cancelled"/>
    <n v="1"/>
    <s v="Yes"/>
  </r>
  <r>
    <s v="ORD0191"/>
    <x v="84"/>
    <s v="C1034"/>
    <s v="Karan"/>
    <s v="Bengaluru"/>
    <s v="Karnataka"/>
    <x v="1"/>
    <s v="P004"/>
    <s v="Mixer 4"/>
    <x v="3"/>
    <s v="Mixer"/>
    <n v="4"/>
    <n v="20257"/>
    <n v="15"/>
    <n v="68873.8"/>
    <n v="58118.12"/>
    <n v="10755.68"/>
    <s v="Card"/>
    <s v="Offline"/>
    <s v="Pending"/>
    <n v="5"/>
    <s v="Yes"/>
  </r>
  <r>
    <s v="ORD0192"/>
    <x v="17"/>
    <s v="C1027"/>
    <s v="Aman"/>
    <s v="Delhi"/>
    <s v="Delhi"/>
    <x v="2"/>
    <s v="P083"/>
    <s v="Table 83"/>
    <x v="2"/>
    <s v="Table"/>
    <n v="2"/>
    <n v="48294"/>
    <n v="10"/>
    <n v="86929.2"/>
    <n v="71535.67"/>
    <n v="15393.53"/>
    <s v="Cash"/>
    <s v="Offline"/>
    <s v="Cancelled"/>
    <n v="2"/>
    <s v="Yes"/>
  </r>
  <r>
    <s v="ORD0193"/>
    <x v="81"/>
    <s v="C1263"/>
    <s v="Rahul"/>
    <s v="Jaipur"/>
    <s v="Rajasthan"/>
    <x v="2"/>
    <s v="P028"/>
    <s v="Shoes 28"/>
    <x v="0"/>
    <s v="Shoes"/>
    <n v="4"/>
    <n v="11299"/>
    <n v="5"/>
    <n v="42936.2"/>
    <n v="37832.44"/>
    <n v="5103.76"/>
    <s v="UPI"/>
    <s v="Offline"/>
    <s v="Pending"/>
    <n v="5"/>
    <s v="Yes"/>
  </r>
  <r>
    <s v="ORD0194"/>
    <x v="6"/>
    <s v="C1100"/>
    <s v="Anjali"/>
    <s v="Pune"/>
    <s v="Maharashtra"/>
    <x v="0"/>
    <s v="P018"/>
    <s v="Laptop 18"/>
    <x v="1"/>
    <s v="Laptop"/>
    <n v="3"/>
    <n v="32307"/>
    <n v="20"/>
    <n v="77536.800000000003"/>
    <n v="79107.95"/>
    <n v="-1571.15"/>
    <s v="Cash"/>
    <s v="Offline"/>
    <s v="Delivered"/>
    <n v="5"/>
    <s v="No"/>
  </r>
  <r>
    <s v="ORD0195"/>
    <x v="53"/>
    <s v="C1291"/>
    <s v="Neha"/>
    <s v="Mumbai"/>
    <s v="Maharashtra"/>
    <x v="0"/>
    <s v="P044"/>
    <s v="Chair 44"/>
    <x v="2"/>
    <s v="Chair"/>
    <n v="1"/>
    <n v="71738"/>
    <n v="20"/>
    <n v="57390.400000000001"/>
    <n v="60563.53"/>
    <n v="-3173.13"/>
    <s v="Card"/>
    <s v="Offline"/>
    <s v="Delivered"/>
    <n v="3"/>
    <s v="Yes"/>
  </r>
  <r>
    <s v="ORD0196"/>
    <x v="57"/>
    <s v="C1224"/>
    <s v="Rahul"/>
    <s v="Delhi"/>
    <s v="Delhi"/>
    <x v="2"/>
    <s v="P024"/>
    <s v="Laptop 24"/>
    <x v="1"/>
    <s v="Laptop"/>
    <n v="1"/>
    <n v="23945"/>
    <n v="0"/>
    <n v="23945"/>
    <n v="13679.76"/>
    <n v="10265.24"/>
    <s v="UPI"/>
    <s v="Offline"/>
    <s v="Pending"/>
    <n v="4"/>
    <s v="No"/>
  </r>
  <r>
    <s v="ORD0197"/>
    <x v="109"/>
    <s v="C1003"/>
    <s v="Priya"/>
    <s v="Chennai"/>
    <s v="Tamil Nadu"/>
    <x v="1"/>
    <s v="P049"/>
    <s v="Shoes 49"/>
    <x v="0"/>
    <s v="Shoes"/>
    <n v="1"/>
    <n v="9501"/>
    <n v="10"/>
    <n v="8550.9"/>
    <n v="7934.58"/>
    <n v="616.32000000000005"/>
    <s v="Card"/>
    <s v="Offline"/>
    <s v="Delivered"/>
    <n v="5"/>
    <s v="No"/>
  </r>
  <r>
    <s v="ORD0198"/>
    <x v="92"/>
    <s v="C1147"/>
    <s v="Rohit"/>
    <s v="Chennai"/>
    <s v="Tamil Nadu"/>
    <x v="1"/>
    <s v="P030"/>
    <s v="Mixer 30"/>
    <x v="3"/>
    <s v="Mixer"/>
    <n v="1"/>
    <n v="58823"/>
    <n v="15"/>
    <n v="49999.55"/>
    <n v="44442.92"/>
    <n v="5556.63"/>
    <s v="Card"/>
    <s v="Offline"/>
    <s v="Cancelled"/>
    <n v="2"/>
    <s v="Yes"/>
  </r>
  <r>
    <s v="ORD0199"/>
    <x v="61"/>
    <s v="C1232"/>
    <s v="Vikas"/>
    <s v="Pune"/>
    <s v="Maharashtra"/>
    <x v="0"/>
    <s v="P038"/>
    <s v="Mobile 38"/>
    <x v="1"/>
    <s v="Mobile"/>
    <n v="4"/>
    <n v="13020"/>
    <n v="10"/>
    <n v="46872"/>
    <n v="43552.28"/>
    <n v="3319.72"/>
    <s v="UPI"/>
    <s v="Online"/>
    <s v="Pending"/>
    <n v="2"/>
    <s v="Yes"/>
  </r>
  <r>
    <s v="ORD0200"/>
    <x v="44"/>
    <s v="C1131"/>
    <s v="Rohit"/>
    <s v="Chennai"/>
    <s v="Tamil Nadu"/>
    <x v="1"/>
    <s v="P030"/>
    <s v="Mixer 30"/>
    <x v="3"/>
    <s v="Mixer"/>
    <n v="5"/>
    <n v="8027"/>
    <n v="5"/>
    <n v="38128.25"/>
    <n v="32836.769999999997"/>
    <n v="5291.48"/>
    <s v="Card"/>
    <s v="Offline"/>
    <s v="Pending"/>
    <n v="2"/>
    <s v="No"/>
  </r>
  <r>
    <s v="ORD0201"/>
    <x v="2"/>
    <s v="C1204"/>
    <s v="Rahul"/>
    <s v="Kolkata"/>
    <s v="West Bengal"/>
    <x v="3"/>
    <s v="P055"/>
    <s v="Chair 55"/>
    <x v="2"/>
    <s v="Chair"/>
    <n v="4"/>
    <n v="24541"/>
    <n v="20"/>
    <n v="78531.199999999997"/>
    <n v="57163.26"/>
    <n v="21367.94"/>
    <s v="Cash"/>
    <s v="Offline"/>
    <s v="Pending"/>
    <n v="4"/>
    <s v="Yes"/>
  </r>
  <r>
    <s v="ORD0202"/>
    <x v="78"/>
    <s v="C1202"/>
    <s v="Rohit"/>
    <s v="Kolkata"/>
    <s v="West Bengal"/>
    <x v="3"/>
    <s v="P095"/>
    <s v="Mobile 95"/>
    <x v="1"/>
    <s v="Mobile"/>
    <n v="2"/>
    <n v="25193"/>
    <n v="0"/>
    <n v="50386"/>
    <n v="36779.99"/>
    <n v="13606.01"/>
    <s v="Card"/>
    <s v="Offline"/>
    <s v="Cancelled"/>
    <n v="4"/>
    <s v="No"/>
  </r>
  <r>
    <s v="ORD0203"/>
    <x v="111"/>
    <s v="C1240"/>
    <s v="Vikas"/>
    <s v="Kolkata"/>
    <s v="West Bengal"/>
    <x v="3"/>
    <s v="P074"/>
    <s v="Mixer 74"/>
    <x v="3"/>
    <s v="Mixer"/>
    <n v="3"/>
    <n v="15346"/>
    <n v="10"/>
    <n v="41434.199999999997"/>
    <n v="27158.76"/>
    <n v="14275.44"/>
    <s v="UPI"/>
    <s v="Offline"/>
    <s v="Pending"/>
    <n v="3"/>
    <s v="Yes"/>
  </r>
  <r>
    <s v="ORD0204"/>
    <x v="13"/>
    <s v="C1154"/>
    <s v="Sneha"/>
    <s v="Delhi"/>
    <s v="Delhi"/>
    <x v="2"/>
    <s v="P010"/>
    <s v="Shoes 10"/>
    <x v="0"/>
    <s v="Shoes"/>
    <n v="5"/>
    <n v="13651"/>
    <n v="5"/>
    <n v="64842.25"/>
    <n v="37989.75"/>
    <n v="26852.5"/>
    <s v="Cash"/>
    <s v="Online"/>
    <s v="Pending"/>
    <n v="3"/>
    <s v="Yes"/>
  </r>
  <r>
    <s v="ORD0205"/>
    <x v="76"/>
    <s v="C1016"/>
    <s v="Neha"/>
    <s v="Mumbai"/>
    <s v="Maharashtra"/>
    <x v="0"/>
    <s v="P030"/>
    <s v="Mixer 30"/>
    <x v="3"/>
    <s v="Mixer"/>
    <n v="4"/>
    <n v="16258"/>
    <n v="5"/>
    <n v="61780.4"/>
    <n v="55167.24"/>
    <n v="6613.16"/>
    <s v="Card"/>
    <s v="Online"/>
    <s v="Pending"/>
    <n v="5"/>
    <s v="Yes"/>
  </r>
  <r>
    <s v="ORD0206"/>
    <x v="74"/>
    <s v="C1167"/>
    <s v="Aman"/>
    <s v="Mumbai"/>
    <s v="Maharashtra"/>
    <x v="0"/>
    <s v="P037"/>
    <s v="Mixer 37"/>
    <x v="3"/>
    <s v="Mixer"/>
    <n v="1"/>
    <n v="46907"/>
    <n v="5"/>
    <n v="44561.65"/>
    <n v="38589.47"/>
    <n v="5972.18"/>
    <s v="Cash"/>
    <s v="Offline"/>
    <s v="Delivered"/>
    <n v="1"/>
    <s v="No"/>
  </r>
  <r>
    <s v="ORD0207"/>
    <x v="52"/>
    <s v="C1166"/>
    <s v="Lakshay"/>
    <s v="Kolkata"/>
    <s v="West Bengal"/>
    <x v="3"/>
    <s v="P088"/>
    <s v="Mobile 88"/>
    <x v="1"/>
    <s v="Mobile"/>
    <n v="5"/>
    <n v="60250"/>
    <n v="15"/>
    <n v="256062.5"/>
    <n v="165760.32999999999"/>
    <n v="90302.17"/>
    <s v="Cash"/>
    <s v="Offline"/>
    <s v="Pending"/>
    <n v="4"/>
    <s v="No"/>
  </r>
  <r>
    <s v="ORD0208"/>
    <x v="51"/>
    <s v="C1217"/>
    <s v="Anjali"/>
    <s v="Bengaluru"/>
    <s v="Karnataka"/>
    <x v="1"/>
    <s v="P036"/>
    <s v="Shoes 36"/>
    <x v="0"/>
    <s v="Shoes"/>
    <n v="4"/>
    <n v="16263"/>
    <n v="10"/>
    <n v="58546.8"/>
    <n v="40189.230000000003"/>
    <n v="18357.57"/>
    <s v="Cash"/>
    <s v="Offline"/>
    <s v="Pending"/>
    <n v="2"/>
    <s v="Yes"/>
  </r>
  <r>
    <s v="ORD0209"/>
    <x v="112"/>
    <s v="C1252"/>
    <s v="Rahul"/>
    <s v="Pune"/>
    <s v="Maharashtra"/>
    <x v="0"/>
    <s v="P073"/>
    <s v="Mixer 73"/>
    <x v="3"/>
    <s v="Mixer"/>
    <n v="3"/>
    <n v="48702"/>
    <n v="5"/>
    <n v="138800.70000000001"/>
    <n v="101748.56"/>
    <n v="37052.14"/>
    <s v="UPI"/>
    <s v="Online"/>
    <s v="Delivered"/>
    <n v="4"/>
    <s v="Yes"/>
  </r>
  <r>
    <s v="ORD0210"/>
    <x v="93"/>
    <s v="C1201"/>
    <s v="Rahul"/>
    <s v="Pune"/>
    <s v="Maharashtra"/>
    <x v="0"/>
    <s v="P051"/>
    <s v="Shoes 51"/>
    <x v="0"/>
    <s v="Shoes"/>
    <n v="2"/>
    <n v="15206"/>
    <n v="20"/>
    <n v="24329.599999999999"/>
    <n v="25370.74"/>
    <n v="-1041.1400000000001"/>
    <s v="Cash"/>
    <s v="Offline"/>
    <s v="Delivered"/>
    <n v="3"/>
    <s v="No"/>
  </r>
  <r>
    <s v="ORD0211"/>
    <x v="74"/>
    <s v="C1115"/>
    <s v="Lakshay"/>
    <s v="Delhi"/>
    <s v="Delhi"/>
    <x v="2"/>
    <s v="P077"/>
    <s v="Table 77"/>
    <x v="2"/>
    <s v="Table"/>
    <n v="2"/>
    <n v="58086"/>
    <n v="15"/>
    <n v="98746.2"/>
    <n v="95829"/>
    <n v="2917.2"/>
    <s v="Cash"/>
    <s v="Online"/>
    <s v="Cancelled"/>
    <n v="5"/>
    <s v="No"/>
  </r>
  <r>
    <s v="ORD0212"/>
    <x v="52"/>
    <s v="C1122"/>
    <s v="Rahul"/>
    <s v="Mumbai"/>
    <s v="Maharashtra"/>
    <x v="0"/>
    <s v="P071"/>
    <s v="Mobile 71"/>
    <x v="1"/>
    <s v="Mobile"/>
    <n v="3"/>
    <n v="27797"/>
    <n v="20"/>
    <n v="66712.800000000003"/>
    <n v="50743.24"/>
    <n v="15969.56"/>
    <s v="UPI"/>
    <s v="Offline"/>
    <s v="Pending"/>
    <n v="3"/>
    <s v="Yes"/>
  </r>
  <r>
    <s v="ORD0213"/>
    <x v="12"/>
    <s v="C1298"/>
    <s v="Rahul"/>
    <s v="Pune"/>
    <s v="Maharashtra"/>
    <x v="0"/>
    <s v="P056"/>
    <s v="Shoes 56"/>
    <x v="0"/>
    <s v="Shoes"/>
    <n v="1"/>
    <n v="25686"/>
    <n v="20"/>
    <n v="20548.8"/>
    <n v="20699.36"/>
    <n v="-150.56"/>
    <s v="Card"/>
    <s v="Offline"/>
    <s v="Delivered"/>
    <n v="2"/>
    <s v="No"/>
  </r>
  <r>
    <s v="ORD0214"/>
    <x v="113"/>
    <s v="C1013"/>
    <s v="Rahul"/>
    <s v="Bengaluru"/>
    <s v="Karnataka"/>
    <x v="1"/>
    <s v="P019"/>
    <s v="Laptop 19"/>
    <x v="1"/>
    <s v="Laptop"/>
    <n v="5"/>
    <n v="38622"/>
    <n v="10"/>
    <n v="173799"/>
    <n v="148062.21"/>
    <n v="25736.79"/>
    <s v="Cash"/>
    <s v="Online"/>
    <s v="Cancelled"/>
    <n v="2"/>
    <s v="No"/>
  </r>
  <r>
    <s v="ORD0215"/>
    <x v="28"/>
    <s v="C1201"/>
    <s v="Aman"/>
    <s v="Kolkata"/>
    <s v="West Bengal"/>
    <x v="3"/>
    <s v="P032"/>
    <s v="Chair 32"/>
    <x v="2"/>
    <s v="Chair"/>
    <n v="2"/>
    <n v="10285"/>
    <n v="5"/>
    <n v="19541.5"/>
    <n v="14442.66"/>
    <n v="5098.84"/>
    <s v="UPI"/>
    <s v="Online"/>
    <s v="Pending"/>
    <n v="1"/>
    <s v="No"/>
  </r>
  <r>
    <s v="ORD0216"/>
    <x v="39"/>
    <s v="C1213"/>
    <s v="Sneha"/>
    <s v="Mumbai"/>
    <s v="Maharashtra"/>
    <x v="0"/>
    <s v="P054"/>
    <s v="Mixer 54"/>
    <x v="3"/>
    <s v="Mixer"/>
    <n v="2"/>
    <n v="78747"/>
    <n v="20"/>
    <n v="125995.2"/>
    <n v="120473.84"/>
    <n v="5521.36"/>
    <s v="Cash"/>
    <s v="Offline"/>
    <s v="Delivered"/>
    <n v="1"/>
    <s v="Yes"/>
  </r>
  <r>
    <s v="ORD0217"/>
    <x v="92"/>
    <s v="C1058"/>
    <s v="Vikas"/>
    <s v="Jaipur"/>
    <s v="Rajasthan"/>
    <x v="2"/>
    <s v="P060"/>
    <s v="Mixer 60"/>
    <x v="3"/>
    <s v="Mixer"/>
    <n v="5"/>
    <n v="27590"/>
    <n v="0"/>
    <n v="137950"/>
    <n v="82559.78"/>
    <n v="55390.22"/>
    <s v="UPI"/>
    <s v="Online"/>
    <s v="Delivered"/>
    <n v="4"/>
    <s v="Yes"/>
  </r>
  <r>
    <s v="ORD0218"/>
    <x v="3"/>
    <s v="C1016"/>
    <s v="Neha"/>
    <s v="Mumbai"/>
    <s v="Maharashtra"/>
    <x v="0"/>
    <s v="P016"/>
    <s v="Chair 16"/>
    <x v="2"/>
    <s v="Chair"/>
    <n v="4"/>
    <n v="36177"/>
    <n v="15"/>
    <n v="123001.8"/>
    <n v="101779.39"/>
    <n v="21222.41"/>
    <s v="UPI"/>
    <s v="Online"/>
    <s v="Pending"/>
    <n v="5"/>
    <s v="Yes"/>
  </r>
  <r>
    <s v="ORD0219"/>
    <x v="73"/>
    <s v="C1200"/>
    <s v="Karan"/>
    <s v="Pune"/>
    <s v="Maharashtra"/>
    <x v="0"/>
    <s v="P009"/>
    <s v="Laptop 9"/>
    <x v="1"/>
    <s v="Laptop"/>
    <n v="4"/>
    <n v="59151"/>
    <n v="5"/>
    <n v="224773.8"/>
    <n v="146053.34"/>
    <n v="78720.460000000006"/>
    <s v="Card"/>
    <s v="Online"/>
    <s v="Cancelled"/>
    <n v="2"/>
    <s v="Yes"/>
  </r>
  <r>
    <s v="ORD0220"/>
    <x v="91"/>
    <s v="C1026"/>
    <s v="Aman"/>
    <s v="Delhi"/>
    <s v="Delhi"/>
    <x v="2"/>
    <s v="P065"/>
    <s v="Mobile 65"/>
    <x v="1"/>
    <s v="Mobile"/>
    <n v="1"/>
    <n v="57199"/>
    <n v="20"/>
    <n v="45759.199999999997"/>
    <n v="35936.49"/>
    <n v="9822.7099999999991"/>
    <s v="UPI"/>
    <s v="Offline"/>
    <s v="Pending"/>
    <n v="2"/>
    <s v="Yes"/>
  </r>
  <r>
    <s v="ORD0221"/>
    <x v="114"/>
    <s v="C1025"/>
    <s v="Rohit"/>
    <s v="Kolkata"/>
    <s v="West Bengal"/>
    <x v="3"/>
    <s v="P007"/>
    <s v="Laptop 7"/>
    <x v="1"/>
    <s v="Laptop"/>
    <n v="4"/>
    <n v="42631"/>
    <n v="5"/>
    <n v="161997.79999999999"/>
    <n v="140177.60999999999"/>
    <n v="21820.19"/>
    <s v="Card"/>
    <s v="Offline"/>
    <s v="Delivered"/>
    <n v="2"/>
    <s v="Yes"/>
  </r>
  <r>
    <s v="ORD0222"/>
    <x v="115"/>
    <s v="C1237"/>
    <s v="Rohit"/>
    <s v="Bengaluru"/>
    <s v="Karnataka"/>
    <x v="1"/>
    <s v="P081"/>
    <s v="Laptop 81"/>
    <x v="1"/>
    <s v="Laptop"/>
    <n v="1"/>
    <n v="18557"/>
    <n v="10"/>
    <n v="16701.3"/>
    <n v="11967.77"/>
    <n v="4733.53"/>
    <s v="Card"/>
    <s v="Offline"/>
    <s v="Delivered"/>
    <n v="3"/>
    <s v="No"/>
  </r>
  <r>
    <s v="ORD0223"/>
    <x v="107"/>
    <s v="C1231"/>
    <s v="Sneha"/>
    <s v="Pune"/>
    <s v="Maharashtra"/>
    <x v="0"/>
    <s v="P025"/>
    <s v="Shoes 25"/>
    <x v="0"/>
    <s v="Shoes"/>
    <n v="2"/>
    <n v="38539"/>
    <n v="0"/>
    <n v="77078"/>
    <n v="43628.12"/>
    <n v="33449.879999999997"/>
    <s v="Card"/>
    <s v="Online"/>
    <s v="Delivered"/>
    <n v="2"/>
    <s v="Yes"/>
  </r>
  <r>
    <s v="ORD0224"/>
    <x v="93"/>
    <s v="C1232"/>
    <s v="Vikas"/>
    <s v="Jaipur"/>
    <s v="Rajasthan"/>
    <x v="2"/>
    <s v="P004"/>
    <s v="Mixer 4"/>
    <x v="3"/>
    <s v="Mixer"/>
    <n v="5"/>
    <n v="32189"/>
    <n v="0"/>
    <n v="160945"/>
    <n v="132400.78"/>
    <n v="28544.22"/>
    <s v="UPI"/>
    <s v="Online"/>
    <s v="Cancelled"/>
    <n v="3"/>
    <s v="No"/>
  </r>
  <r>
    <s v="ORD0225"/>
    <x v="116"/>
    <s v="C1254"/>
    <s v="Sneha"/>
    <s v="Chennai"/>
    <s v="Tamil Nadu"/>
    <x v="1"/>
    <s v="P072"/>
    <s v="Laptop 72"/>
    <x v="1"/>
    <s v="Laptop"/>
    <n v="1"/>
    <n v="44235"/>
    <n v="10"/>
    <n v="39811.5"/>
    <n v="27463.65"/>
    <n v="12347.85"/>
    <s v="Cash"/>
    <s v="Offline"/>
    <s v="Cancelled"/>
    <n v="5"/>
    <s v="Yes"/>
  </r>
  <r>
    <s v="ORD0226"/>
    <x v="15"/>
    <s v="C1041"/>
    <s v="Karan"/>
    <s v="Jaipur"/>
    <s v="Rajasthan"/>
    <x v="2"/>
    <s v="P044"/>
    <s v="Chair 44"/>
    <x v="2"/>
    <s v="Chair"/>
    <n v="4"/>
    <n v="42376"/>
    <n v="20"/>
    <n v="135603.20000000001"/>
    <n v="113695.34"/>
    <n v="21907.86"/>
    <s v="Cash"/>
    <s v="Offline"/>
    <s v="Delivered"/>
    <n v="1"/>
    <s v="Yes"/>
  </r>
  <r>
    <s v="ORD0227"/>
    <x v="75"/>
    <s v="C1207"/>
    <s v="Anjali"/>
    <s v="Pune"/>
    <s v="Maharashtra"/>
    <x v="0"/>
    <s v="P016"/>
    <s v="Chair 16"/>
    <x v="2"/>
    <s v="Chair"/>
    <n v="1"/>
    <n v="10157"/>
    <n v="5"/>
    <n v="9649.15"/>
    <n v="6946.24"/>
    <n v="2702.91"/>
    <s v="Cash"/>
    <s v="Online"/>
    <s v="Delivered"/>
    <n v="1"/>
    <s v="No"/>
  </r>
  <r>
    <s v="ORD0228"/>
    <x v="11"/>
    <s v="C1171"/>
    <s v="Lakshay"/>
    <s v="Kolkata"/>
    <s v="West Bengal"/>
    <x v="3"/>
    <s v="P001"/>
    <s v="Shoes 1"/>
    <x v="0"/>
    <s v="Shoes"/>
    <n v="1"/>
    <n v="19683"/>
    <n v="0"/>
    <n v="19683"/>
    <n v="11281.87"/>
    <n v="8401.1299999999992"/>
    <s v="UPI"/>
    <s v="Offline"/>
    <s v="Pending"/>
    <n v="2"/>
    <s v="Yes"/>
  </r>
  <r>
    <s v="ORD0229"/>
    <x v="52"/>
    <s v="C1277"/>
    <s v="Rahul"/>
    <s v="Bengaluru"/>
    <s v="Karnataka"/>
    <x v="1"/>
    <s v="P095"/>
    <s v="Mobile 95"/>
    <x v="1"/>
    <s v="Mobile"/>
    <n v="2"/>
    <n v="69228"/>
    <n v="10"/>
    <n v="124610.4"/>
    <n v="90806.21"/>
    <n v="33804.19"/>
    <s v="Cash"/>
    <s v="Online"/>
    <s v="Delivered"/>
    <n v="3"/>
    <s v="No"/>
  </r>
  <r>
    <s v="ORD0230"/>
    <x v="67"/>
    <s v="C1022"/>
    <s v="Aman"/>
    <s v="Mumbai"/>
    <s v="Maharashtra"/>
    <x v="0"/>
    <s v="P087"/>
    <s v="Table 87"/>
    <x v="2"/>
    <s v="Table"/>
    <n v="5"/>
    <n v="70098"/>
    <n v="20"/>
    <n v="280392"/>
    <n v="276894.42"/>
    <n v="3497.58"/>
    <s v="Card"/>
    <s v="Online"/>
    <s v="Delivered"/>
    <n v="3"/>
    <s v="No"/>
  </r>
  <r>
    <s v="ORD0231"/>
    <x v="117"/>
    <s v="C1193"/>
    <s v="Priya"/>
    <s v="Mumbai"/>
    <s v="Maharashtra"/>
    <x v="0"/>
    <s v="P097"/>
    <s v="Mobile 97"/>
    <x v="1"/>
    <s v="Mobile"/>
    <n v="4"/>
    <n v="13705"/>
    <n v="10"/>
    <n v="49338"/>
    <n v="34379.56"/>
    <n v="14958.44"/>
    <s v="Card"/>
    <s v="Offline"/>
    <s v="Cancelled"/>
    <n v="5"/>
    <s v="Yes"/>
  </r>
  <r>
    <s v="ORD0232"/>
    <x v="118"/>
    <s v="C1012"/>
    <s v="Anjali"/>
    <s v="Pune"/>
    <s v="Maharashtra"/>
    <x v="0"/>
    <s v="P074"/>
    <s v="Mixer 74"/>
    <x v="3"/>
    <s v="Mixer"/>
    <n v="4"/>
    <n v="41913"/>
    <n v="5"/>
    <n v="159269.4"/>
    <n v="121838.19"/>
    <n v="37431.21"/>
    <s v="Cash"/>
    <s v="Offline"/>
    <s v="Cancelled"/>
    <n v="3"/>
    <s v="No"/>
  </r>
  <r>
    <s v="ORD0233"/>
    <x v="106"/>
    <s v="C1070"/>
    <s v="Karan"/>
    <s v="Delhi"/>
    <s v="Delhi"/>
    <x v="2"/>
    <s v="P077"/>
    <s v="Table 77"/>
    <x v="2"/>
    <s v="Table"/>
    <n v="4"/>
    <n v="65387"/>
    <n v="20"/>
    <n v="209238.39999999999"/>
    <n v="200180.4"/>
    <n v="9058"/>
    <s v="Cash"/>
    <s v="Offline"/>
    <s v="Pending"/>
    <n v="3"/>
    <s v="No"/>
  </r>
  <r>
    <s v="ORD0234"/>
    <x v="119"/>
    <s v="C1286"/>
    <s v="Rohit"/>
    <s v="Mumbai"/>
    <s v="Maharashtra"/>
    <x v="0"/>
    <s v="P074"/>
    <s v="Mixer 74"/>
    <x v="3"/>
    <s v="Mixer"/>
    <n v="2"/>
    <n v="12074"/>
    <n v="5"/>
    <n v="22940.6"/>
    <n v="14612.4"/>
    <n v="8328.2000000000007"/>
    <s v="UPI"/>
    <s v="Offline"/>
    <s v="Pending"/>
    <n v="3"/>
    <s v="Yes"/>
  </r>
  <r>
    <s v="ORD0235"/>
    <x v="1"/>
    <s v="C1070"/>
    <s v="Rahul"/>
    <s v="Mumbai"/>
    <s v="Maharashtra"/>
    <x v="0"/>
    <s v="P049"/>
    <s v="Shoes 49"/>
    <x v="0"/>
    <s v="Shoes"/>
    <n v="4"/>
    <n v="3136"/>
    <n v="10"/>
    <n v="11289.6"/>
    <n v="7861.63"/>
    <n v="3427.97"/>
    <s v="UPI"/>
    <s v="Online"/>
    <s v="Delivered"/>
    <n v="3"/>
    <s v="No"/>
  </r>
  <r>
    <s v="ORD0236"/>
    <x v="111"/>
    <s v="C1260"/>
    <s v="Aman"/>
    <s v="Delhi"/>
    <s v="Delhi"/>
    <x v="2"/>
    <s v="P002"/>
    <s v="Laptop 2"/>
    <x v="1"/>
    <s v="Laptop"/>
    <n v="4"/>
    <n v="43222"/>
    <n v="5"/>
    <n v="164243.6"/>
    <n v="111631.81"/>
    <n v="52611.79"/>
    <s v="Cash"/>
    <s v="Online"/>
    <s v="Pending"/>
    <n v="3"/>
    <s v="No"/>
  </r>
  <r>
    <s v="ORD0237"/>
    <x v="120"/>
    <s v="C1063"/>
    <s v="Neha"/>
    <s v="Bengaluru"/>
    <s v="Karnataka"/>
    <x v="1"/>
    <s v="P043"/>
    <s v="Mobile 43"/>
    <x v="1"/>
    <s v="Mobile"/>
    <n v="1"/>
    <n v="59380"/>
    <n v="0"/>
    <n v="59380"/>
    <n v="32982.85"/>
    <n v="26397.15"/>
    <s v="Card"/>
    <s v="Offline"/>
    <s v="Cancelled"/>
    <n v="1"/>
    <s v="No"/>
  </r>
  <r>
    <s v="ORD0238"/>
    <x v="2"/>
    <s v="C1111"/>
    <s v="Rahul"/>
    <s v="Bengaluru"/>
    <s v="Karnataka"/>
    <x v="1"/>
    <s v="P025"/>
    <s v="Shoes 25"/>
    <x v="0"/>
    <s v="Shoes"/>
    <n v="4"/>
    <n v="50377"/>
    <n v="5"/>
    <n v="191432.6"/>
    <n v="165901"/>
    <n v="25531.599999999999"/>
    <s v="Cash"/>
    <s v="Offline"/>
    <s v="Cancelled"/>
    <n v="5"/>
    <s v="Yes"/>
  </r>
  <r>
    <s v="ORD0239"/>
    <x v="93"/>
    <s v="C1032"/>
    <s v="Lakshay"/>
    <s v="Bengaluru"/>
    <s v="Karnataka"/>
    <x v="1"/>
    <s v="P068"/>
    <s v="Mobile 68"/>
    <x v="1"/>
    <s v="Mobile"/>
    <n v="3"/>
    <n v="45404"/>
    <n v="5"/>
    <n v="129401.4"/>
    <n v="101777.87"/>
    <n v="27623.53"/>
    <s v="Cash"/>
    <s v="Offline"/>
    <s v="Delivered"/>
    <n v="2"/>
    <s v="No"/>
  </r>
  <r>
    <s v="ORD0240"/>
    <x v="25"/>
    <s v="C1053"/>
    <s v="Neha"/>
    <s v="Chennai"/>
    <s v="Tamil Nadu"/>
    <x v="1"/>
    <s v="P005"/>
    <s v="Chair 5"/>
    <x v="2"/>
    <s v="Chair"/>
    <n v="2"/>
    <n v="14950"/>
    <n v="10"/>
    <n v="26910"/>
    <n v="17224.349999999999"/>
    <n v="9685.65"/>
    <s v="UPI"/>
    <s v="Offline"/>
    <s v="Cancelled"/>
    <n v="2"/>
    <s v="Yes"/>
  </r>
  <r>
    <s v="ORD0241"/>
    <x v="23"/>
    <s v="C1238"/>
    <s v="Vikas"/>
    <s v="Delhi"/>
    <s v="Delhi"/>
    <x v="2"/>
    <s v="P020"/>
    <s v="Shoes 20"/>
    <x v="0"/>
    <s v="Shoes"/>
    <n v="1"/>
    <n v="39494"/>
    <n v="10"/>
    <n v="35544.6"/>
    <n v="21754.36"/>
    <n v="13790.24"/>
    <s v="UPI"/>
    <s v="Online"/>
    <s v="Pending"/>
    <n v="5"/>
    <s v="Yes"/>
  </r>
  <r>
    <s v="ORD0242"/>
    <x v="6"/>
    <s v="C1223"/>
    <s v="Vikas"/>
    <s v="Kolkata"/>
    <s v="West Bengal"/>
    <x v="3"/>
    <s v="P039"/>
    <s v="Shoes 39"/>
    <x v="0"/>
    <s v="Shoes"/>
    <n v="4"/>
    <n v="71459"/>
    <n v="20"/>
    <n v="228668.79999999999"/>
    <n v="173331.5"/>
    <n v="55337.3"/>
    <s v="Cash"/>
    <s v="Offline"/>
    <s v="Delivered"/>
    <n v="4"/>
    <s v="Yes"/>
  </r>
  <r>
    <s v="ORD0243"/>
    <x v="99"/>
    <s v="C1009"/>
    <s v="Aman"/>
    <s v="Jaipur"/>
    <s v="Rajasthan"/>
    <x v="2"/>
    <s v="P055"/>
    <s v="Chair 55"/>
    <x v="2"/>
    <s v="Chair"/>
    <n v="3"/>
    <n v="8276"/>
    <n v="15"/>
    <n v="21103.8"/>
    <n v="16534.939999999999"/>
    <n v="4568.8599999999997"/>
    <s v="UPI"/>
    <s v="Offline"/>
    <s v="Delivered"/>
    <n v="5"/>
    <s v="No"/>
  </r>
  <r>
    <s v="ORD0244"/>
    <x v="121"/>
    <s v="C1153"/>
    <s v="Neha"/>
    <s v="Pune"/>
    <s v="Maharashtra"/>
    <x v="0"/>
    <s v="P070"/>
    <s v="Laptop 70"/>
    <x v="1"/>
    <s v="Laptop"/>
    <n v="3"/>
    <n v="20683"/>
    <n v="20"/>
    <n v="49639.199999999997"/>
    <n v="51130.400000000001"/>
    <n v="-1491.2"/>
    <s v="Cash"/>
    <s v="Online"/>
    <s v="Delivered"/>
    <n v="4"/>
    <s v="Yes"/>
  </r>
  <r>
    <s v="ORD0245"/>
    <x v="23"/>
    <s v="C1188"/>
    <s v="Karan"/>
    <s v="Kolkata"/>
    <s v="West Bengal"/>
    <x v="3"/>
    <s v="P032"/>
    <s v="Chair 32"/>
    <x v="2"/>
    <s v="Chair"/>
    <n v="2"/>
    <n v="8783"/>
    <n v="0"/>
    <n v="17566"/>
    <n v="13657.26"/>
    <n v="3908.74"/>
    <s v="Card"/>
    <s v="Offline"/>
    <s v="Pending"/>
    <n v="5"/>
    <s v="Yes"/>
  </r>
  <r>
    <s v="ORD0246"/>
    <x v="37"/>
    <s v="C1163"/>
    <s v="Priya"/>
    <s v="Pune"/>
    <s v="Maharashtra"/>
    <x v="0"/>
    <s v="P068"/>
    <s v="Mobile 68"/>
    <x v="1"/>
    <s v="Mobile"/>
    <n v="2"/>
    <n v="23077"/>
    <n v="5"/>
    <n v="43846.3"/>
    <n v="33703.31"/>
    <n v="10142.99"/>
    <s v="Cash"/>
    <s v="Online"/>
    <s v="Delivered"/>
    <n v="5"/>
    <s v="Yes"/>
  </r>
  <r>
    <s v="ORD0247"/>
    <x v="88"/>
    <s v="C1074"/>
    <s v="Lakshay"/>
    <s v="Mumbai"/>
    <s v="Maharashtra"/>
    <x v="0"/>
    <s v="P096"/>
    <s v="Chair 96"/>
    <x v="2"/>
    <s v="Chair"/>
    <n v="2"/>
    <n v="55185"/>
    <n v="10"/>
    <n v="99333"/>
    <n v="79607.67"/>
    <n v="19725.330000000002"/>
    <s v="Cash"/>
    <s v="Online"/>
    <s v="Cancelled"/>
    <n v="3"/>
    <s v="Yes"/>
  </r>
  <r>
    <s v="ORD0248"/>
    <x v="10"/>
    <s v="C1090"/>
    <s v="Vikas"/>
    <s v="Bengaluru"/>
    <s v="Karnataka"/>
    <x v="1"/>
    <s v="P001"/>
    <s v="Shoes 1"/>
    <x v="0"/>
    <s v="Shoes"/>
    <n v="3"/>
    <n v="13794"/>
    <n v="15"/>
    <n v="35174.699999999997"/>
    <n v="29022.98"/>
    <n v="6151.72"/>
    <s v="Card"/>
    <s v="Offline"/>
    <s v="Pending"/>
    <n v="4"/>
    <s v="No"/>
  </r>
  <r>
    <s v="ORD0249"/>
    <x v="59"/>
    <s v="C1251"/>
    <s v="Karan"/>
    <s v="Chennai"/>
    <s v="Tamil Nadu"/>
    <x v="1"/>
    <s v="P010"/>
    <s v="Shoes 10"/>
    <x v="0"/>
    <s v="Shoes"/>
    <n v="2"/>
    <n v="13308"/>
    <n v="20"/>
    <n v="21292.799999999999"/>
    <n v="21110.639999999999"/>
    <n v="182.16"/>
    <s v="Card"/>
    <s v="Offline"/>
    <s v="Delivered"/>
    <n v="5"/>
    <s v="No"/>
  </r>
  <r>
    <s v="ORD0250"/>
    <x v="108"/>
    <s v="C1036"/>
    <s v="Anjali"/>
    <s v="Jaipur"/>
    <s v="Rajasthan"/>
    <x v="2"/>
    <s v="P085"/>
    <s v="Chair 85"/>
    <x v="2"/>
    <s v="Chair"/>
    <n v="2"/>
    <n v="31184"/>
    <n v="10"/>
    <n v="56131.199999999997"/>
    <n v="45966.75"/>
    <n v="10164.450000000001"/>
    <s v="Card"/>
    <s v="Offline"/>
    <s v="Cancelled"/>
    <n v="1"/>
    <s v="No"/>
  </r>
  <r>
    <s v="ORD0251"/>
    <x v="4"/>
    <s v="C1159"/>
    <s v="Karan"/>
    <s v="Pune"/>
    <s v="Maharashtra"/>
    <x v="0"/>
    <s v="P099"/>
    <s v="Chair 99"/>
    <x v="2"/>
    <s v="Chair"/>
    <n v="1"/>
    <n v="7346"/>
    <n v="5"/>
    <n v="6978.7"/>
    <n v="5946.22"/>
    <n v="1032.48"/>
    <s v="Cash"/>
    <s v="Online"/>
    <s v="Cancelled"/>
    <n v="1"/>
    <s v="No"/>
  </r>
  <r>
    <s v="ORD0252"/>
    <x v="47"/>
    <s v="C1041"/>
    <s v="Vikas"/>
    <s v="Jaipur"/>
    <s v="Rajasthan"/>
    <x v="2"/>
    <s v="P046"/>
    <s v="Laptop 46"/>
    <x v="1"/>
    <s v="Laptop"/>
    <n v="2"/>
    <n v="970"/>
    <n v="5"/>
    <n v="1843"/>
    <n v="1352.31"/>
    <n v="490.69"/>
    <s v="Cash"/>
    <s v="Offline"/>
    <s v="Pending"/>
    <n v="3"/>
    <s v="No"/>
  </r>
  <r>
    <s v="ORD0253"/>
    <x v="59"/>
    <s v="C1135"/>
    <s v="Vikas"/>
    <s v="Jaipur"/>
    <s v="Rajasthan"/>
    <x v="2"/>
    <s v="P091"/>
    <s v="Laptop 91"/>
    <x v="1"/>
    <s v="Laptop"/>
    <n v="5"/>
    <n v="31698"/>
    <n v="0"/>
    <n v="158490"/>
    <n v="122535.31"/>
    <n v="35954.69"/>
    <s v="UPI"/>
    <s v="Offline"/>
    <s v="Cancelled"/>
    <n v="4"/>
    <s v="Yes"/>
  </r>
  <r>
    <s v="ORD0254"/>
    <x v="122"/>
    <s v="C1222"/>
    <s v="Priya"/>
    <s v="Pune"/>
    <s v="Maharashtra"/>
    <x v="0"/>
    <s v="P083"/>
    <s v="Table 83"/>
    <x v="2"/>
    <s v="Table"/>
    <n v="5"/>
    <n v="41275"/>
    <n v="0"/>
    <n v="206375"/>
    <n v="173618.1"/>
    <n v="32756.9"/>
    <s v="UPI"/>
    <s v="Offline"/>
    <s v="Cancelled"/>
    <n v="4"/>
    <s v="Yes"/>
  </r>
  <r>
    <s v="ORD0255"/>
    <x v="18"/>
    <s v="C1292"/>
    <s v="Lakshay"/>
    <s v="Mumbai"/>
    <s v="Maharashtra"/>
    <x v="0"/>
    <s v="P028"/>
    <s v="Shoes 28"/>
    <x v="0"/>
    <s v="Shoes"/>
    <n v="2"/>
    <n v="27104"/>
    <n v="10"/>
    <n v="48787.199999999997"/>
    <n v="41642.699999999997"/>
    <n v="7144.5"/>
    <s v="Card"/>
    <s v="Offline"/>
    <s v="Cancelled"/>
    <n v="5"/>
    <s v="Yes"/>
  </r>
  <r>
    <s v="ORD0256"/>
    <x v="86"/>
    <s v="C1011"/>
    <s v="Lakshay"/>
    <s v="Mumbai"/>
    <s v="Maharashtra"/>
    <x v="0"/>
    <s v="P065"/>
    <s v="Mobile 65"/>
    <x v="1"/>
    <s v="Mobile"/>
    <n v="5"/>
    <n v="16871"/>
    <n v="20"/>
    <n v="67484"/>
    <n v="67605.490000000005"/>
    <n v="-121.49"/>
    <s v="Cash"/>
    <s v="Offline"/>
    <s v="Delivered"/>
    <n v="5"/>
    <s v="Yes"/>
  </r>
  <r>
    <s v="ORD0257"/>
    <x v="123"/>
    <s v="C1020"/>
    <s v="Anjali"/>
    <s v="Jaipur"/>
    <s v="Rajasthan"/>
    <x v="2"/>
    <s v="P065"/>
    <s v="Mobile 65"/>
    <x v="1"/>
    <s v="Mobile"/>
    <n v="5"/>
    <n v="23945"/>
    <n v="5"/>
    <n v="113738.75"/>
    <n v="80626.14"/>
    <n v="33112.61"/>
    <s v="Card"/>
    <s v="Online"/>
    <s v="Cancelled"/>
    <n v="2"/>
    <s v="Yes"/>
  </r>
  <r>
    <s v="ORD0258"/>
    <x v="124"/>
    <s v="C1170"/>
    <s v="Anjali"/>
    <s v="Pune"/>
    <s v="Maharashtra"/>
    <x v="0"/>
    <s v="P037"/>
    <s v="Mixer 37"/>
    <x v="3"/>
    <s v="Mixer"/>
    <n v="3"/>
    <n v="59045"/>
    <n v="0"/>
    <n v="177135"/>
    <n v="138162.81"/>
    <n v="38972.19"/>
    <s v="Card"/>
    <s v="Online"/>
    <s v="Cancelled"/>
    <n v="5"/>
    <s v="No"/>
  </r>
  <r>
    <s v="ORD0259"/>
    <x v="61"/>
    <s v="C1289"/>
    <s v="Lakshay"/>
    <s v="Jaipur"/>
    <s v="Rajasthan"/>
    <x v="2"/>
    <s v="P059"/>
    <s v="Laptop 59"/>
    <x v="1"/>
    <s v="Laptop"/>
    <n v="1"/>
    <n v="45976"/>
    <n v="5"/>
    <n v="43677.2"/>
    <n v="30825.71"/>
    <n v="12851.49"/>
    <s v="UPI"/>
    <s v="Offline"/>
    <s v="Cancelled"/>
    <n v="1"/>
    <s v="No"/>
  </r>
  <r>
    <s v="ORD0260"/>
    <x v="125"/>
    <s v="C1009"/>
    <s v="Rahul"/>
    <s v="Pune"/>
    <s v="Maharashtra"/>
    <x v="0"/>
    <s v="P026"/>
    <s v="Table 26"/>
    <x v="2"/>
    <s v="Table"/>
    <n v="1"/>
    <n v="67519"/>
    <n v="20"/>
    <n v="54015.199999999997"/>
    <n v="42188.42"/>
    <n v="11826.78"/>
    <s v="Card"/>
    <s v="Offline"/>
    <s v="Pending"/>
    <n v="2"/>
    <s v="No"/>
  </r>
  <r>
    <s v="ORD0261"/>
    <x v="32"/>
    <s v="C1297"/>
    <s v="Rahul"/>
    <s v="Pune"/>
    <s v="Maharashtra"/>
    <x v="0"/>
    <s v="P087"/>
    <s v="Table 87"/>
    <x v="2"/>
    <s v="Table"/>
    <n v="3"/>
    <n v="66572"/>
    <n v="5"/>
    <n v="189730.2"/>
    <n v="132324.17000000001"/>
    <n v="57406.03"/>
    <s v="Cash"/>
    <s v="Offline"/>
    <s v="Pending"/>
    <n v="5"/>
    <s v="No"/>
  </r>
  <r>
    <s v="ORD0262"/>
    <x v="126"/>
    <s v="C1121"/>
    <s v="Sneha"/>
    <s v="Chennai"/>
    <s v="Tamil Nadu"/>
    <x v="1"/>
    <s v="P048"/>
    <s v="Shoes 48"/>
    <x v="0"/>
    <s v="Shoes"/>
    <n v="1"/>
    <n v="38453"/>
    <n v="10"/>
    <n v="34607.699999999997"/>
    <n v="27712.68"/>
    <n v="6895.02"/>
    <s v="UPI"/>
    <s v="Offline"/>
    <s v="Delivered"/>
    <n v="3"/>
    <s v="Yes"/>
  </r>
  <r>
    <s v="ORD0263"/>
    <x v="127"/>
    <s v="C1222"/>
    <s v="Aman"/>
    <s v="Mumbai"/>
    <s v="Maharashtra"/>
    <x v="0"/>
    <s v="P020"/>
    <s v="Shoes 20"/>
    <x v="0"/>
    <s v="Shoes"/>
    <n v="5"/>
    <n v="6016"/>
    <n v="10"/>
    <n v="27072"/>
    <n v="21293.22"/>
    <n v="5778.78"/>
    <s v="UPI"/>
    <s v="Offline"/>
    <s v="Pending"/>
    <n v="2"/>
    <s v="No"/>
  </r>
  <r>
    <s v="ORD0264"/>
    <x v="29"/>
    <s v="C1072"/>
    <s v="Anjali"/>
    <s v="Jaipur"/>
    <s v="Rajasthan"/>
    <x v="2"/>
    <s v="P067"/>
    <s v="Mixer 67"/>
    <x v="3"/>
    <s v="Mixer"/>
    <n v="3"/>
    <n v="39696"/>
    <n v="10"/>
    <n v="107179.2"/>
    <n v="100831.86"/>
    <n v="6347.34"/>
    <s v="Card"/>
    <s v="Online"/>
    <s v="Pending"/>
    <n v="4"/>
    <s v="No"/>
  </r>
  <r>
    <s v="ORD0265"/>
    <x v="106"/>
    <s v="C1287"/>
    <s v="Sneha"/>
    <s v="Kolkata"/>
    <s v="West Bengal"/>
    <x v="3"/>
    <s v="P064"/>
    <s v="Table 64"/>
    <x v="2"/>
    <s v="Table"/>
    <n v="5"/>
    <n v="68281"/>
    <n v="20"/>
    <n v="273124"/>
    <n v="285801.93"/>
    <n v="-12677.93"/>
    <s v="Cash"/>
    <s v="Online"/>
    <s v="Delivered"/>
    <n v="4"/>
    <s v="No"/>
  </r>
  <r>
    <s v="ORD0266"/>
    <x v="128"/>
    <s v="C1221"/>
    <s v="Lakshay"/>
    <s v="Jaipur"/>
    <s v="Rajasthan"/>
    <x v="2"/>
    <s v="P050"/>
    <s v="Chair 50"/>
    <x v="2"/>
    <s v="Chair"/>
    <n v="3"/>
    <n v="33256"/>
    <n v="0"/>
    <n v="99768"/>
    <n v="78939.8"/>
    <n v="20828.2"/>
    <s v="UPI"/>
    <s v="Offline"/>
    <s v="Cancelled"/>
    <n v="1"/>
    <s v="Yes"/>
  </r>
  <r>
    <s v="ORD0267"/>
    <x v="42"/>
    <s v="C1164"/>
    <s v="Sneha"/>
    <s v="Chennai"/>
    <s v="Tamil Nadu"/>
    <x v="1"/>
    <s v="P007"/>
    <s v="Laptop 7"/>
    <x v="1"/>
    <s v="Laptop"/>
    <n v="2"/>
    <n v="23907"/>
    <n v="0"/>
    <n v="47814"/>
    <n v="26806.75"/>
    <n v="21007.25"/>
    <s v="Cash"/>
    <s v="Online"/>
    <s v="Pending"/>
    <n v="5"/>
    <s v="No"/>
  </r>
  <r>
    <s v="ORD0268"/>
    <x v="129"/>
    <s v="C1254"/>
    <s v="Rohit"/>
    <s v="Kolkata"/>
    <s v="West Bengal"/>
    <x v="3"/>
    <s v="P001"/>
    <s v="Shoes 1"/>
    <x v="0"/>
    <s v="Shoes"/>
    <n v="3"/>
    <n v="5986"/>
    <n v="15"/>
    <n v="15264.3"/>
    <n v="11664.09"/>
    <n v="3600.21"/>
    <s v="Card"/>
    <s v="Online"/>
    <s v="Pending"/>
    <n v="2"/>
    <s v="No"/>
  </r>
  <r>
    <s v="ORD0269"/>
    <x v="23"/>
    <s v="C1039"/>
    <s v="Rohit"/>
    <s v="Bengaluru"/>
    <s v="Karnataka"/>
    <x v="1"/>
    <s v="P088"/>
    <s v="Mobile 88"/>
    <x v="1"/>
    <s v="Mobile"/>
    <n v="1"/>
    <n v="64499"/>
    <n v="5"/>
    <n v="61274.05"/>
    <n v="54245.51"/>
    <n v="7028.54"/>
    <s v="Cash"/>
    <s v="Offline"/>
    <s v="Cancelled"/>
    <n v="1"/>
    <s v="Yes"/>
  </r>
  <r>
    <s v="ORD0270"/>
    <x v="130"/>
    <s v="C1045"/>
    <s v="Anjali"/>
    <s v="Mumbai"/>
    <s v="Maharashtra"/>
    <x v="0"/>
    <s v="P097"/>
    <s v="Mobile 97"/>
    <x v="1"/>
    <s v="Mobile"/>
    <n v="5"/>
    <n v="66593"/>
    <n v="5"/>
    <n v="316316.75"/>
    <n v="260920.95999999999"/>
    <n v="55395.79"/>
    <s v="Card"/>
    <s v="Offline"/>
    <s v="Delivered"/>
    <n v="3"/>
    <s v="No"/>
  </r>
  <r>
    <s v="ORD0271"/>
    <x v="127"/>
    <s v="C1089"/>
    <s v="Rahul"/>
    <s v="Kolkata"/>
    <s v="West Bengal"/>
    <x v="3"/>
    <s v="P035"/>
    <s v="Table 35"/>
    <x v="2"/>
    <s v="Table"/>
    <n v="4"/>
    <n v="51359"/>
    <n v="20"/>
    <n v="164348.79999999999"/>
    <n v="170727.71"/>
    <n v="-6378.91"/>
    <s v="Cash"/>
    <s v="Offline"/>
    <s v="Pending"/>
    <n v="2"/>
    <s v="No"/>
  </r>
  <r>
    <s v="ORD0272"/>
    <x v="131"/>
    <s v="C1032"/>
    <s v="Aman"/>
    <s v="Jaipur"/>
    <s v="Rajasthan"/>
    <x v="2"/>
    <s v="P033"/>
    <s v="Mixer 33"/>
    <x v="3"/>
    <s v="Mixer"/>
    <n v="5"/>
    <n v="49453"/>
    <n v="10"/>
    <n v="222538.5"/>
    <n v="168272.15"/>
    <n v="54266.35"/>
    <s v="Cash"/>
    <s v="Online"/>
    <s v="Delivered"/>
    <n v="5"/>
    <s v="Yes"/>
  </r>
  <r>
    <s v="ORD0273"/>
    <x v="83"/>
    <s v="C1261"/>
    <s v="Aman"/>
    <s v="Mumbai"/>
    <s v="Maharashtra"/>
    <x v="0"/>
    <s v="P081"/>
    <s v="Laptop 81"/>
    <x v="1"/>
    <s v="Laptop"/>
    <n v="3"/>
    <n v="61329"/>
    <n v="15"/>
    <n v="156388.95000000001"/>
    <n v="126662.66"/>
    <n v="29726.29"/>
    <s v="Cash"/>
    <s v="Offline"/>
    <s v="Delivered"/>
    <n v="2"/>
    <s v="Yes"/>
  </r>
  <r>
    <s v="ORD0274"/>
    <x v="132"/>
    <s v="C1140"/>
    <s v="Vikas"/>
    <s v="Bengaluru"/>
    <s v="Karnataka"/>
    <x v="1"/>
    <s v="P026"/>
    <s v="Table 26"/>
    <x v="2"/>
    <s v="Table"/>
    <n v="3"/>
    <n v="36982"/>
    <n v="20"/>
    <n v="88756.800000000003"/>
    <n v="66552.66"/>
    <n v="22204.14"/>
    <s v="UPI"/>
    <s v="Offline"/>
    <s v="Delivered"/>
    <n v="2"/>
    <s v="Yes"/>
  </r>
  <r>
    <s v="ORD0275"/>
    <x v="133"/>
    <s v="C1038"/>
    <s v="Neha"/>
    <s v="Pune"/>
    <s v="Maharashtra"/>
    <x v="0"/>
    <s v="P006"/>
    <s v="Mobile 6"/>
    <x v="1"/>
    <s v="Mobile"/>
    <n v="4"/>
    <n v="71045"/>
    <n v="20"/>
    <n v="227344"/>
    <n v="216156.02"/>
    <n v="11187.98"/>
    <s v="Card"/>
    <s v="Offline"/>
    <s v="Pending"/>
    <n v="1"/>
    <s v="Yes"/>
  </r>
  <r>
    <s v="ORD0276"/>
    <x v="117"/>
    <s v="C1189"/>
    <s v="Sneha"/>
    <s v="Chennai"/>
    <s v="Tamil Nadu"/>
    <x v="1"/>
    <s v="P010"/>
    <s v="Shoes 10"/>
    <x v="0"/>
    <s v="Shoes"/>
    <n v="2"/>
    <n v="35973"/>
    <n v="20"/>
    <n v="57556.800000000003"/>
    <n v="55108.05"/>
    <n v="2448.75"/>
    <s v="UPI"/>
    <s v="Offline"/>
    <s v="Pending"/>
    <n v="5"/>
    <s v="Yes"/>
  </r>
  <r>
    <s v="ORD0277"/>
    <x v="79"/>
    <s v="C1260"/>
    <s v="Priya"/>
    <s v="Mumbai"/>
    <s v="Maharashtra"/>
    <x v="0"/>
    <s v="P075"/>
    <s v="Mixer 75"/>
    <x v="3"/>
    <s v="Mixer"/>
    <n v="5"/>
    <n v="54911"/>
    <n v="15"/>
    <n v="233371.75"/>
    <n v="208271.91"/>
    <n v="25099.84"/>
    <s v="Cash"/>
    <s v="Online"/>
    <s v="Pending"/>
    <n v="1"/>
    <s v="Yes"/>
  </r>
  <r>
    <s v="ORD0278"/>
    <x v="71"/>
    <s v="C1155"/>
    <s v="Neha"/>
    <s v="Chennai"/>
    <s v="Tamil Nadu"/>
    <x v="1"/>
    <s v="P087"/>
    <s v="Table 87"/>
    <x v="2"/>
    <s v="Table"/>
    <n v="4"/>
    <n v="38169"/>
    <n v="20"/>
    <n v="122140.8"/>
    <n v="109249.14"/>
    <n v="12891.66"/>
    <s v="Cash"/>
    <s v="Online"/>
    <s v="Pending"/>
    <n v="4"/>
    <s v="No"/>
  </r>
  <r>
    <s v="ORD0279"/>
    <x v="134"/>
    <s v="C1235"/>
    <s v="Rahul"/>
    <s v="Jaipur"/>
    <s v="Rajasthan"/>
    <x v="2"/>
    <s v="P021"/>
    <s v="Mobile 21"/>
    <x v="1"/>
    <s v="Mobile"/>
    <n v="4"/>
    <n v="69500"/>
    <n v="15"/>
    <n v="236300"/>
    <n v="153059.71"/>
    <n v="83240.289999999994"/>
    <s v="Cash"/>
    <s v="Online"/>
    <s v="Delivered"/>
    <n v="3"/>
    <s v="Yes"/>
  </r>
  <r>
    <s v="ORD0280"/>
    <x v="52"/>
    <s v="C1236"/>
    <s v="Rohit"/>
    <s v="Mumbai"/>
    <s v="Maharashtra"/>
    <x v="0"/>
    <s v="P030"/>
    <s v="Mixer 30"/>
    <x v="3"/>
    <s v="Mixer"/>
    <n v="1"/>
    <n v="28084"/>
    <n v="15"/>
    <n v="23871.4"/>
    <n v="22663.040000000001"/>
    <n v="1208.3599999999999"/>
    <s v="UPI"/>
    <s v="Online"/>
    <s v="Pending"/>
    <n v="3"/>
    <s v="Yes"/>
  </r>
  <r>
    <s v="ORD0281"/>
    <x v="135"/>
    <s v="C1245"/>
    <s v="Priya"/>
    <s v="Delhi"/>
    <s v="Delhi"/>
    <x v="2"/>
    <s v="P052"/>
    <s v="Laptop 52"/>
    <x v="1"/>
    <s v="Laptop"/>
    <n v="3"/>
    <n v="68577"/>
    <n v="0"/>
    <n v="205731"/>
    <n v="161805.82999999999"/>
    <n v="43925.17"/>
    <s v="Card"/>
    <s v="Online"/>
    <s v="Delivered"/>
    <n v="1"/>
    <s v="Yes"/>
  </r>
  <r>
    <s v="ORD0282"/>
    <x v="133"/>
    <s v="C1078"/>
    <s v="Vikas"/>
    <s v="Kolkata"/>
    <s v="West Bengal"/>
    <x v="3"/>
    <s v="P075"/>
    <s v="Mixer 75"/>
    <x v="3"/>
    <s v="Mixer"/>
    <n v="2"/>
    <n v="44333"/>
    <n v="5"/>
    <n v="84232.7"/>
    <n v="74051.69"/>
    <n v="10181.01"/>
    <s v="Cash"/>
    <s v="Offline"/>
    <s v="Cancelled"/>
    <n v="1"/>
    <s v="No"/>
  </r>
  <r>
    <s v="ORD0283"/>
    <x v="45"/>
    <s v="C1007"/>
    <s v="Priya"/>
    <s v="Pune"/>
    <s v="Maharashtra"/>
    <x v="0"/>
    <s v="P057"/>
    <s v="Shoes 57"/>
    <x v="0"/>
    <s v="Shoes"/>
    <n v="4"/>
    <n v="72123"/>
    <n v="0"/>
    <n v="288492"/>
    <n v="193301.86"/>
    <n v="95190.14"/>
    <s v="Card"/>
    <s v="Offline"/>
    <s v="Delivered"/>
    <n v="2"/>
    <s v="No"/>
  </r>
  <r>
    <s v="ORD0284"/>
    <x v="67"/>
    <s v="C1196"/>
    <s v="Neha"/>
    <s v="Pune"/>
    <s v="Maharashtra"/>
    <x v="0"/>
    <s v="P065"/>
    <s v="Mobile 65"/>
    <x v="1"/>
    <s v="Mobile"/>
    <n v="1"/>
    <n v="52149"/>
    <n v="20"/>
    <n v="41719.199999999997"/>
    <n v="33011.56"/>
    <n v="8707.64"/>
    <s v="Card"/>
    <s v="Online"/>
    <s v="Delivered"/>
    <n v="3"/>
    <s v="No"/>
  </r>
  <r>
    <s v="ORD0285"/>
    <x v="22"/>
    <s v="C1132"/>
    <s v="Anjali"/>
    <s v="Bengaluru"/>
    <s v="Karnataka"/>
    <x v="1"/>
    <s v="P004"/>
    <s v="Mixer 4"/>
    <x v="3"/>
    <s v="Mixer"/>
    <n v="1"/>
    <n v="45999"/>
    <n v="10"/>
    <n v="41399.1"/>
    <n v="39039.79"/>
    <n v="2359.31"/>
    <s v="Cash"/>
    <s v="Offline"/>
    <s v="Pending"/>
    <n v="4"/>
    <s v="No"/>
  </r>
  <r>
    <s v="ORD0286"/>
    <x v="112"/>
    <s v="C1176"/>
    <s v="Vikas"/>
    <s v="Bengaluru"/>
    <s v="Karnataka"/>
    <x v="1"/>
    <s v="P087"/>
    <s v="Table 87"/>
    <x v="2"/>
    <s v="Table"/>
    <n v="5"/>
    <n v="60955"/>
    <n v="10"/>
    <n v="274297.5"/>
    <n v="249002.51"/>
    <n v="25294.99"/>
    <s v="Cash"/>
    <s v="Offline"/>
    <s v="Cancelled"/>
    <n v="3"/>
    <s v="No"/>
  </r>
  <r>
    <s v="ORD0287"/>
    <x v="4"/>
    <s v="C1021"/>
    <s v="Karan"/>
    <s v="Jaipur"/>
    <s v="Rajasthan"/>
    <x v="2"/>
    <s v="P038"/>
    <s v="Mobile 38"/>
    <x v="1"/>
    <s v="Mobile"/>
    <n v="1"/>
    <n v="18223"/>
    <n v="15"/>
    <n v="15489.55"/>
    <n v="14527.46"/>
    <n v="962.09"/>
    <s v="Cash"/>
    <s v="Offline"/>
    <s v="Cancelled"/>
    <n v="4"/>
    <s v="No"/>
  </r>
  <r>
    <s v="ORD0288"/>
    <x v="76"/>
    <s v="C1297"/>
    <s v="Karan"/>
    <s v="Delhi"/>
    <s v="Delhi"/>
    <x v="2"/>
    <s v="P061"/>
    <s v="Mobile 61"/>
    <x v="1"/>
    <s v="Mobile"/>
    <n v="2"/>
    <n v="4402"/>
    <n v="0"/>
    <n v="8804"/>
    <n v="5015.8599999999997"/>
    <n v="3788.14"/>
    <s v="Cash"/>
    <s v="Offline"/>
    <s v="Cancelled"/>
    <n v="3"/>
    <s v="Yes"/>
  </r>
  <r>
    <s v="ORD0289"/>
    <x v="120"/>
    <s v="C1165"/>
    <s v="Anjali"/>
    <s v="Chennai"/>
    <s v="Tamil Nadu"/>
    <x v="1"/>
    <s v="P035"/>
    <s v="Table 35"/>
    <x v="2"/>
    <s v="Table"/>
    <n v="3"/>
    <n v="40064"/>
    <n v="15"/>
    <n v="102163.2"/>
    <n v="75248.479999999996"/>
    <n v="26914.720000000001"/>
    <s v="Cash"/>
    <s v="Offline"/>
    <s v="Cancelled"/>
    <n v="2"/>
    <s v="Yes"/>
  </r>
  <r>
    <s v="ORD0290"/>
    <x v="19"/>
    <s v="C1079"/>
    <s v="Neha"/>
    <s v="Delhi"/>
    <s v="Delhi"/>
    <x v="2"/>
    <s v="P007"/>
    <s v="Laptop 7"/>
    <x v="1"/>
    <s v="Laptop"/>
    <n v="2"/>
    <n v="76834"/>
    <n v="0"/>
    <n v="153668"/>
    <n v="114446.22"/>
    <n v="39221.78"/>
    <s v="UPI"/>
    <s v="Offline"/>
    <s v="Pending"/>
    <n v="5"/>
    <s v="No"/>
  </r>
  <r>
    <s v="ORD0291"/>
    <x v="92"/>
    <s v="C1264"/>
    <s v="Lakshay"/>
    <s v="Jaipur"/>
    <s v="Rajasthan"/>
    <x v="2"/>
    <s v="P007"/>
    <s v="Laptop 7"/>
    <x v="1"/>
    <s v="Laptop"/>
    <n v="4"/>
    <n v="26592"/>
    <n v="20"/>
    <n v="85094.399999999994"/>
    <n v="86579.03"/>
    <n v="-1484.63"/>
    <s v="Card"/>
    <s v="Online"/>
    <s v="Pending"/>
    <n v="4"/>
    <s v="Yes"/>
  </r>
  <r>
    <s v="ORD0292"/>
    <x v="136"/>
    <s v="C1271"/>
    <s v="Karan"/>
    <s v="Chennai"/>
    <s v="Tamil Nadu"/>
    <x v="1"/>
    <s v="P031"/>
    <s v="Table 31"/>
    <x v="2"/>
    <s v="Table"/>
    <n v="5"/>
    <n v="28243"/>
    <n v="20"/>
    <n v="112972"/>
    <n v="98951.1"/>
    <n v="14020.9"/>
    <s v="Card"/>
    <s v="Offline"/>
    <s v="Cancelled"/>
    <n v="4"/>
    <s v="No"/>
  </r>
  <r>
    <s v="ORD0293"/>
    <x v="3"/>
    <s v="C1271"/>
    <s v="Sneha"/>
    <s v="Bengaluru"/>
    <s v="Karnataka"/>
    <x v="1"/>
    <s v="P014"/>
    <s v="Mixer 14"/>
    <x v="3"/>
    <s v="Mixer"/>
    <n v="2"/>
    <n v="59171"/>
    <n v="10"/>
    <n v="106507.8"/>
    <n v="80960.41"/>
    <n v="25547.39"/>
    <s v="UPI"/>
    <s v="Online"/>
    <s v="Delivered"/>
    <n v="3"/>
    <s v="No"/>
  </r>
  <r>
    <s v="ORD0294"/>
    <x v="137"/>
    <s v="C1068"/>
    <s v="Vikas"/>
    <s v="Mumbai"/>
    <s v="Maharashtra"/>
    <x v="0"/>
    <s v="P080"/>
    <s v="Shoes 80"/>
    <x v="0"/>
    <s v="Shoes"/>
    <n v="2"/>
    <n v="72278"/>
    <n v="0"/>
    <n v="144556"/>
    <n v="102031.58"/>
    <n v="42524.42"/>
    <s v="Card"/>
    <s v="Offline"/>
    <s v="Pending"/>
    <n v="4"/>
    <s v="Yes"/>
  </r>
  <r>
    <s v="ORD0295"/>
    <x v="137"/>
    <s v="C1028"/>
    <s v="Aman"/>
    <s v="Chennai"/>
    <s v="Tamil Nadu"/>
    <x v="1"/>
    <s v="P041"/>
    <s v="Table 41"/>
    <x v="2"/>
    <s v="Table"/>
    <n v="3"/>
    <n v="68247"/>
    <n v="20"/>
    <n v="163792.79999999999"/>
    <n v="165267.98000000001"/>
    <n v="-1475.18"/>
    <s v="Cash"/>
    <s v="Offline"/>
    <s v="Pending"/>
    <n v="2"/>
    <s v="Yes"/>
  </r>
  <r>
    <s v="ORD0296"/>
    <x v="138"/>
    <s v="C1027"/>
    <s v="Lakshay"/>
    <s v="Kolkata"/>
    <s v="West Bengal"/>
    <x v="3"/>
    <s v="P024"/>
    <s v="Laptop 24"/>
    <x v="1"/>
    <s v="Laptop"/>
    <n v="1"/>
    <n v="50143"/>
    <n v="20"/>
    <n v="40114.400000000001"/>
    <n v="37626.660000000003"/>
    <n v="2487.7399999999998"/>
    <s v="Cash"/>
    <s v="Offline"/>
    <s v="Delivered"/>
    <n v="3"/>
    <s v="No"/>
  </r>
  <r>
    <s v="ORD0297"/>
    <x v="35"/>
    <s v="C1239"/>
    <s v="Aman"/>
    <s v="Chennai"/>
    <s v="Tamil Nadu"/>
    <x v="1"/>
    <s v="P014"/>
    <s v="Mixer 14"/>
    <x v="3"/>
    <s v="Mixer"/>
    <n v="4"/>
    <n v="19131"/>
    <n v="5"/>
    <n v="72697.8"/>
    <n v="43704.36"/>
    <n v="28993.439999999999"/>
    <s v="Card"/>
    <s v="Offline"/>
    <s v="Delivered"/>
    <n v="3"/>
    <s v="No"/>
  </r>
  <r>
    <s v="ORD0298"/>
    <x v="0"/>
    <s v="C1255"/>
    <s v="Anjali"/>
    <s v="Chennai"/>
    <s v="Tamil Nadu"/>
    <x v="1"/>
    <s v="P026"/>
    <s v="Table 26"/>
    <x v="2"/>
    <s v="Table"/>
    <n v="1"/>
    <n v="18474"/>
    <n v="20"/>
    <n v="14779.2"/>
    <n v="13215.15"/>
    <n v="1564.05"/>
    <s v="Card"/>
    <s v="Online"/>
    <s v="Pending"/>
    <n v="5"/>
    <s v="No"/>
  </r>
  <r>
    <s v="ORD0299"/>
    <x v="137"/>
    <s v="C1180"/>
    <s v="Vikas"/>
    <s v="Pune"/>
    <s v="Maharashtra"/>
    <x v="0"/>
    <s v="P010"/>
    <s v="Shoes 10"/>
    <x v="0"/>
    <s v="Shoes"/>
    <n v="5"/>
    <n v="48413"/>
    <n v="15"/>
    <n v="205755.25"/>
    <n v="136765.53"/>
    <n v="68989.72"/>
    <s v="UPI"/>
    <s v="Offline"/>
    <s v="Pending"/>
    <n v="3"/>
    <s v="No"/>
  </r>
  <r>
    <s v="ORD0300"/>
    <x v="82"/>
    <s v="C1007"/>
    <s v="Lakshay"/>
    <s v="Mumbai"/>
    <s v="Maharashtra"/>
    <x v="0"/>
    <s v="P051"/>
    <s v="Shoes 51"/>
    <x v="0"/>
    <s v="Shoes"/>
    <n v="5"/>
    <n v="44041"/>
    <n v="15"/>
    <n v="187174.25"/>
    <n v="130620.62"/>
    <n v="56553.63"/>
    <s v="UPI"/>
    <s v="Offline"/>
    <s v="Pending"/>
    <n v="5"/>
    <s v="Yes"/>
  </r>
  <r>
    <s v="ORD0301"/>
    <x v="21"/>
    <s v="C1209"/>
    <s v="Rahul"/>
    <s v="Pune"/>
    <s v="Maharashtra"/>
    <x v="0"/>
    <s v="P068"/>
    <s v="Mobile 68"/>
    <x v="1"/>
    <s v="Mobile"/>
    <n v="3"/>
    <n v="7127"/>
    <n v="0"/>
    <n v="21381"/>
    <n v="16902.48"/>
    <n v="4478.5200000000004"/>
    <s v="UPI"/>
    <s v="Offline"/>
    <s v="Pending"/>
    <n v="4"/>
    <s v="No"/>
  </r>
  <r>
    <s v="ORD0302"/>
    <x v="139"/>
    <s v="C1002"/>
    <s v="Rohit"/>
    <s v="Pune"/>
    <s v="Maharashtra"/>
    <x v="0"/>
    <s v="P075"/>
    <s v="Mixer 75"/>
    <x v="3"/>
    <s v="Mixer"/>
    <n v="3"/>
    <n v="10465"/>
    <n v="5"/>
    <n v="29825.25"/>
    <n v="23991.49"/>
    <n v="5833.76"/>
    <s v="Card"/>
    <s v="Offline"/>
    <s v="Pending"/>
    <n v="5"/>
    <s v="No"/>
  </r>
  <r>
    <s v="ORD0303"/>
    <x v="140"/>
    <s v="C1127"/>
    <s v="Rohit"/>
    <s v="Jaipur"/>
    <s v="Rajasthan"/>
    <x v="2"/>
    <s v="P015"/>
    <s v="Table 15"/>
    <x v="2"/>
    <s v="Table"/>
    <n v="2"/>
    <n v="10548"/>
    <n v="5"/>
    <n v="20041.2"/>
    <n v="14617.46"/>
    <n v="5423.74"/>
    <s v="UPI"/>
    <s v="Offline"/>
    <s v="Delivered"/>
    <n v="1"/>
    <s v="Yes"/>
  </r>
  <r>
    <s v="ORD0304"/>
    <x v="48"/>
    <s v="C1055"/>
    <s v="Anjali"/>
    <s v="Mumbai"/>
    <s v="Maharashtra"/>
    <x v="0"/>
    <s v="P084"/>
    <s v="Laptop 84"/>
    <x v="1"/>
    <s v="Laptop"/>
    <n v="5"/>
    <n v="18951"/>
    <n v="5"/>
    <n v="90017.25"/>
    <n v="53558.99"/>
    <n v="36458.26"/>
    <s v="Cash"/>
    <s v="Offline"/>
    <s v="Delivered"/>
    <n v="2"/>
    <s v="Yes"/>
  </r>
  <r>
    <s v="ORD0305"/>
    <x v="141"/>
    <s v="C1053"/>
    <s v="Rohit"/>
    <s v="Kolkata"/>
    <s v="West Bengal"/>
    <x v="3"/>
    <s v="P099"/>
    <s v="Chair 99"/>
    <x v="2"/>
    <s v="Chair"/>
    <n v="2"/>
    <n v="25327"/>
    <n v="15"/>
    <n v="43055.9"/>
    <n v="36234.589999999997"/>
    <n v="6821.31"/>
    <s v="Card"/>
    <s v="Online"/>
    <s v="Pending"/>
    <n v="3"/>
    <s v="Yes"/>
  </r>
  <r>
    <s v="ORD0306"/>
    <x v="142"/>
    <s v="C1256"/>
    <s v="Rahul"/>
    <s v="Mumbai"/>
    <s v="Maharashtra"/>
    <x v="0"/>
    <s v="P020"/>
    <s v="Shoes 20"/>
    <x v="0"/>
    <s v="Shoes"/>
    <n v="1"/>
    <n v="41415"/>
    <n v="10"/>
    <n v="37273.5"/>
    <n v="33204.67"/>
    <n v="4068.83"/>
    <s v="UPI"/>
    <s v="Online"/>
    <s v="Pending"/>
    <n v="4"/>
    <s v="No"/>
  </r>
  <r>
    <s v="ORD0307"/>
    <x v="143"/>
    <s v="C1276"/>
    <s v="Priya"/>
    <s v="Mumbai"/>
    <s v="Maharashtra"/>
    <x v="0"/>
    <s v="P042"/>
    <s v="Table 42"/>
    <x v="2"/>
    <s v="Table"/>
    <n v="3"/>
    <n v="22787"/>
    <n v="15"/>
    <n v="58106.85"/>
    <n v="40054.589999999997"/>
    <n v="18052.259999999998"/>
    <s v="Cash"/>
    <s v="Offline"/>
    <s v="Cancelled"/>
    <n v="4"/>
    <s v="Yes"/>
  </r>
  <r>
    <s v="ORD0308"/>
    <x v="12"/>
    <s v="C1101"/>
    <s v="Lakshay"/>
    <s v="Chennai"/>
    <s v="Tamil Nadu"/>
    <x v="1"/>
    <s v="P075"/>
    <s v="Mixer 75"/>
    <x v="3"/>
    <s v="Mixer"/>
    <n v="3"/>
    <n v="58508"/>
    <n v="10"/>
    <n v="157971.6"/>
    <n v="129954.82"/>
    <n v="28016.78"/>
    <s v="Cash"/>
    <s v="Offline"/>
    <s v="Pending"/>
    <n v="4"/>
    <s v="Yes"/>
  </r>
  <r>
    <s v="ORD0309"/>
    <x v="139"/>
    <s v="C1042"/>
    <s v="Vikas"/>
    <s v="Mumbai"/>
    <s v="Maharashtra"/>
    <x v="0"/>
    <s v="P093"/>
    <s v="Shoes 93"/>
    <x v="0"/>
    <s v="Shoes"/>
    <n v="3"/>
    <n v="73264"/>
    <n v="15"/>
    <n v="186823.2"/>
    <n v="130705.04"/>
    <n v="56118.16"/>
    <s v="Card"/>
    <s v="Offline"/>
    <s v="Cancelled"/>
    <n v="1"/>
    <s v="No"/>
  </r>
  <r>
    <s v="ORD0310"/>
    <x v="75"/>
    <s v="C1016"/>
    <s v="Lakshay"/>
    <s v="Kolkata"/>
    <s v="West Bengal"/>
    <x v="3"/>
    <s v="P038"/>
    <s v="Mobile 38"/>
    <x v="1"/>
    <s v="Mobile"/>
    <n v="2"/>
    <n v="55034"/>
    <n v="20"/>
    <n v="88054.399999999994"/>
    <n v="90071.39"/>
    <n v="-2016.99"/>
    <s v="Cash"/>
    <s v="Online"/>
    <s v="Pending"/>
    <n v="1"/>
    <s v="Yes"/>
  </r>
  <r>
    <s v="ORD0311"/>
    <x v="93"/>
    <s v="C1002"/>
    <s v="Sneha"/>
    <s v="Kolkata"/>
    <s v="West Bengal"/>
    <x v="3"/>
    <s v="P081"/>
    <s v="Laptop 81"/>
    <x v="1"/>
    <s v="Laptop"/>
    <n v="3"/>
    <n v="20521"/>
    <n v="10"/>
    <n v="55406.7"/>
    <n v="42409.97"/>
    <n v="12996.73"/>
    <s v="Cash"/>
    <s v="Online"/>
    <s v="Delivered"/>
    <n v="4"/>
    <s v="No"/>
  </r>
  <r>
    <s v="ORD0312"/>
    <x v="136"/>
    <s v="C1181"/>
    <s v="Karan"/>
    <s v="Delhi"/>
    <s v="Delhi"/>
    <x v="2"/>
    <s v="P088"/>
    <s v="Mobile 88"/>
    <x v="1"/>
    <s v="Mobile"/>
    <n v="5"/>
    <n v="11737"/>
    <n v="0"/>
    <n v="58685"/>
    <n v="39584.11"/>
    <n v="19100.89"/>
    <s v="Card"/>
    <s v="Online"/>
    <s v="Delivered"/>
    <n v="1"/>
    <s v="Yes"/>
  </r>
  <r>
    <s v="ORD0313"/>
    <x v="108"/>
    <s v="C1266"/>
    <s v="Neha"/>
    <s v="Chennai"/>
    <s v="Tamil Nadu"/>
    <x v="1"/>
    <s v="P057"/>
    <s v="Shoes 57"/>
    <x v="0"/>
    <s v="Shoes"/>
    <n v="3"/>
    <n v="27769"/>
    <n v="15"/>
    <n v="70810.95"/>
    <n v="58033.93"/>
    <n v="12777.02"/>
    <s v="Card"/>
    <s v="Offline"/>
    <s v="Delivered"/>
    <n v="3"/>
    <s v="No"/>
  </r>
  <r>
    <s v="ORD0314"/>
    <x v="86"/>
    <s v="C1159"/>
    <s v="Karan"/>
    <s v="Mumbai"/>
    <s v="Maharashtra"/>
    <x v="0"/>
    <s v="P059"/>
    <s v="Laptop 59"/>
    <x v="1"/>
    <s v="Laptop"/>
    <n v="3"/>
    <n v="30597"/>
    <n v="5"/>
    <n v="87201.45"/>
    <n v="56065.93"/>
    <n v="31135.52"/>
    <s v="Cash"/>
    <s v="Offline"/>
    <s v="Cancelled"/>
    <n v="4"/>
    <s v="No"/>
  </r>
  <r>
    <s v="ORD0315"/>
    <x v="84"/>
    <s v="C1120"/>
    <s v="Aman"/>
    <s v="Mumbai"/>
    <s v="Maharashtra"/>
    <x v="0"/>
    <s v="P057"/>
    <s v="Shoes 57"/>
    <x v="0"/>
    <s v="Shoes"/>
    <n v="4"/>
    <n v="6190"/>
    <n v="20"/>
    <n v="19808"/>
    <n v="20921.47"/>
    <n v="-1113.47"/>
    <s v="Card"/>
    <s v="Offline"/>
    <s v="Delivered"/>
    <n v="3"/>
    <s v="Yes"/>
  </r>
  <r>
    <s v="ORD0316"/>
    <x v="144"/>
    <s v="C1282"/>
    <s v="Lakshay"/>
    <s v="Jaipur"/>
    <s v="Rajasthan"/>
    <x v="2"/>
    <s v="P049"/>
    <s v="Shoes 49"/>
    <x v="0"/>
    <s v="Shoes"/>
    <n v="2"/>
    <n v="7804"/>
    <n v="0"/>
    <n v="15608"/>
    <n v="8800.39"/>
    <n v="6807.61"/>
    <s v="UPI"/>
    <s v="Offline"/>
    <s v="Pending"/>
    <n v="1"/>
    <s v="No"/>
  </r>
  <r>
    <s v="ORD0317"/>
    <x v="47"/>
    <s v="C1289"/>
    <s v="Priya"/>
    <s v="Chennai"/>
    <s v="Tamil Nadu"/>
    <x v="1"/>
    <s v="P021"/>
    <s v="Mobile 21"/>
    <x v="1"/>
    <s v="Mobile"/>
    <n v="3"/>
    <n v="51497"/>
    <n v="0"/>
    <n v="154491"/>
    <n v="93546.7"/>
    <n v="60944.3"/>
    <s v="UPI"/>
    <s v="Online"/>
    <s v="Delivered"/>
    <n v="3"/>
    <s v="Yes"/>
  </r>
  <r>
    <s v="ORD0318"/>
    <x v="32"/>
    <s v="C1099"/>
    <s v="Rohit"/>
    <s v="Pune"/>
    <s v="Maharashtra"/>
    <x v="0"/>
    <s v="P052"/>
    <s v="Laptop 52"/>
    <x v="1"/>
    <s v="Laptop"/>
    <n v="4"/>
    <n v="61245"/>
    <n v="15"/>
    <n v="208233"/>
    <n v="176088.18"/>
    <n v="32144.82"/>
    <s v="UPI"/>
    <s v="Online"/>
    <s v="Cancelled"/>
    <n v="2"/>
    <s v="Yes"/>
  </r>
  <r>
    <s v="ORD0319"/>
    <x v="121"/>
    <s v="C1104"/>
    <s v="Rohit"/>
    <s v="Kolkata"/>
    <s v="West Bengal"/>
    <x v="3"/>
    <s v="P017"/>
    <s v="Shoes 17"/>
    <x v="0"/>
    <s v="Shoes"/>
    <n v="4"/>
    <n v="42393"/>
    <n v="0"/>
    <n v="169572"/>
    <n v="93941.63"/>
    <n v="75630.37"/>
    <s v="Cash"/>
    <s v="Offline"/>
    <s v="Cancelled"/>
    <n v="2"/>
    <s v="No"/>
  </r>
  <r>
    <s v="ORD0320"/>
    <x v="143"/>
    <s v="C1045"/>
    <s v="Sneha"/>
    <s v="Jaipur"/>
    <s v="Rajasthan"/>
    <x v="2"/>
    <s v="P068"/>
    <s v="Mobile 68"/>
    <x v="1"/>
    <s v="Mobile"/>
    <n v="2"/>
    <n v="24794"/>
    <n v="20"/>
    <n v="39670.400000000001"/>
    <n v="32023.33"/>
    <n v="7647.07"/>
    <s v="Cash"/>
    <s v="Online"/>
    <s v="Delivered"/>
    <n v="2"/>
    <s v="No"/>
  </r>
  <r>
    <s v="ORD0321"/>
    <x v="38"/>
    <s v="C1072"/>
    <s v="Lakshay"/>
    <s v="Jaipur"/>
    <s v="Rajasthan"/>
    <x v="2"/>
    <s v="P019"/>
    <s v="Laptop 19"/>
    <x v="1"/>
    <s v="Laptop"/>
    <n v="2"/>
    <n v="43232"/>
    <n v="15"/>
    <n v="73494.399999999994"/>
    <n v="64679.76"/>
    <n v="8814.64"/>
    <s v="Cash"/>
    <s v="Offline"/>
    <s v="Pending"/>
    <n v="1"/>
    <s v="Yes"/>
  </r>
  <r>
    <s v="ORD0322"/>
    <x v="26"/>
    <s v="C1240"/>
    <s v="Aman"/>
    <s v="Mumbai"/>
    <s v="Maharashtra"/>
    <x v="0"/>
    <s v="P041"/>
    <s v="Table 41"/>
    <x v="2"/>
    <s v="Table"/>
    <n v="1"/>
    <n v="8242"/>
    <n v="15"/>
    <n v="7005.7"/>
    <n v="5238.6899999999996"/>
    <n v="1767.01"/>
    <s v="UPI"/>
    <s v="Offline"/>
    <s v="Cancelled"/>
    <n v="1"/>
    <s v="Yes"/>
  </r>
  <r>
    <s v="ORD0323"/>
    <x v="56"/>
    <s v="C1140"/>
    <s v="Vikas"/>
    <s v="Chennai"/>
    <s v="Tamil Nadu"/>
    <x v="1"/>
    <s v="P009"/>
    <s v="Laptop 9"/>
    <x v="1"/>
    <s v="Laptop"/>
    <n v="3"/>
    <n v="64535"/>
    <n v="20"/>
    <n v="154884"/>
    <n v="132792.71"/>
    <n v="22091.29"/>
    <s v="Cash"/>
    <s v="Online"/>
    <s v="Pending"/>
    <n v="1"/>
    <s v="Yes"/>
  </r>
  <r>
    <s v="ORD0324"/>
    <x v="132"/>
    <s v="C1107"/>
    <s v="Anjali"/>
    <s v="Jaipur"/>
    <s v="Rajasthan"/>
    <x v="2"/>
    <s v="P040"/>
    <s v="Chair 40"/>
    <x v="2"/>
    <s v="Chair"/>
    <n v="4"/>
    <n v="24056"/>
    <n v="0"/>
    <n v="96224"/>
    <n v="71746.78"/>
    <n v="24477.22"/>
    <s v="Card"/>
    <s v="Offline"/>
    <s v="Cancelled"/>
    <n v="5"/>
    <s v="Yes"/>
  </r>
  <r>
    <s v="ORD0325"/>
    <x v="145"/>
    <s v="C1241"/>
    <s v="Rohit"/>
    <s v="Delhi"/>
    <s v="Delhi"/>
    <x v="2"/>
    <s v="P037"/>
    <s v="Mixer 37"/>
    <x v="3"/>
    <s v="Mixer"/>
    <n v="1"/>
    <n v="24215"/>
    <n v="0"/>
    <n v="24215"/>
    <n v="16662.82"/>
    <n v="7552.18"/>
    <s v="Card"/>
    <s v="Online"/>
    <s v="Cancelled"/>
    <n v="2"/>
    <s v="Yes"/>
  </r>
  <r>
    <s v="ORD0326"/>
    <x v="136"/>
    <s v="C1075"/>
    <s v="Priya"/>
    <s v="Mumbai"/>
    <s v="Maharashtra"/>
    <x v="0"/>
    <s v="P018"/>
    <s v="Laptop 18"/>
    <x v="1"/>
    <s v="Laptop"/>
    <n v="2"/>
    <n v="76233"/>
    <n v="0"/>
    <n v="152466"/>
    <n v="126861.28"/>
    <n v="25604.720000000001"/>
    <s v="Cash"/>
    <s v="Online"/>
    <s v="Pending"/>
    <n v="2"/>
    <s v="Yes"/>
  </r>
  <r>
    <s v="ORD0327"/>
    <x v="146"/>
    <s v="C1250"/>
    <s v="Lakshay"/>
    <s v="Jaipur"/>
    <s v="Rajasthan"/>
    <x v="2"/>
    <s v="P030"/>
    <s v="Mixer 30"/>
    <x v="3"/>
    <s v="Mixer"/>
    <n v="4"/>
    <n v="58980"/>
    <n v="5"/>
    <n v="224124"/>
    <n v="198179.95"/>
    <n v="25944.05"/>
    <s v="Cash"/>
    <s v="Online"/>
    <s v="Cancelled"/>
    <n v="4"/>
    <s v="Yes"/>
  </r>
  <r>
    <s v="ORD0328"/>
    <x v="65"/>
    <s v="C1103"/>
    <s v="Neha"/>
    <s v="Pune"/>
    <s v="Maharashtra"/>
    <x v="0"/>
    <s v="P029"/>
    <s v="Mixer 29"/>
    <x v="3"/>
    <s v="Mixer"/>
    <n v="5"/>
    <n v="27237"/>
    <n v="0"/>
    <n v="136185"/>
    <n v="102218.69"/>
    <n v="33966.31"/>
    <s v="Cash"/>
    <s v="Online"/>
    <s v="Cancelled"/>
    <n v="1"/>
    <s v="No"/>
  </r>
  <r>
    <s v="ORD0329"/>
    <x v="8"/>
    <s v="C1239"/>
    <s v="Aman"/>
    <s v="Kolkata"/>
    <s v="West Bengal"/>
    <x v="3"/>
    <s v="P075"/>
    <s v="Mixer 75"/>
    <x v="3"/>
    <s v="Mixer"/>
    <n v="3"/>
    <n v="37578"/>
    <n v="10"/>
    <n v="101460.6"/>
    <n v="88646.28"/>
    <n v="12814.32"/>
    <s v="UPI"/>
    <s v="Online"/>
    <s v="Cancelled"/>
    <n v="5"/>
    <s v="No"/>
  </r>
  <r>
    <s v="ORD0330"/>
    <x v="51"/>
    <s v="C1050"/>
    <s v="Priya"/>
    <s v="Kolkata"/>
    <s v="West Bengal"/>
    <x v="3"/>
    <s v="P056"/>
    <s v="Shoes 56"/>
    <x v="0"/>
    <s v="Shoes"/>
    <n v="4"/>
    <n v="58183"/>
    <n v="10"/>
    <n v="209458.8"/>
    <n v="174872.05"/>
    <n v="34586.75"/>
    <s v="Card"/>
    <s v="Offline"/>
    <s v="Delivered"/>
    <n v="5"/>
    <s v="No"/>
  </r>
  <r>
    <s v="ORD0331"/>
    <x v="77"/>
    <s v="C1281"/>
    <s v="Vikas"/>
    <s v="Jaipur"/>
    <s v="Rajasthan"/>
    <x v="2"/>
    <s v="P090"/>
    <s v="Mixer 90"/>
    <x v="3"/>
    <s v="Mixer"/>
    <n v="4"/>
    <n v="1003"/>
    <n v="15"/>
    <n v="3410.2"/>
    <n v="3195.45"/>
    <n v="214.75"/>
    <s v="UPI"/>
    <s v="Offline"/>
    <s v="Cancelled"/>
    <n v="4"/>
    <s v="Yes"/>
  </r>
  <r>
    <s v="ORD0332"/>
    <x v="110"/>
    <s v="C1073"/>
    <s v="Anjali"/>
    <s v="Kolkata"/>
    <s v="West Bengal"/>
    <x v="3"/>
    <s v="P093"/>
    <s v="Shoes 93"/>
    <x v="0"/>
    <s v="Shoes"/>
    <n v="5"/>
    <n v="76951"/>
    <n v="0"/>
    <n v="384755"/>
    <n v="304602.23"/>
    <n v="80152.77"/>
    <s v="Cash"/>
    <s v="Offline"/>
    <s v="Cancelled"/>
    <n v="2"/>
    <s v="No"/>
  </r>
  <r>
    <s v="ORD0333"/>
    <x v="120"/>
    <s v="C1094"/>
    <s v="Priya"/>
    <s v="Mumbai"/>
    <s v="Maharashtra"/>
    <x v="0"/>
    <s v="P068"/>
    <s v="Mobile 68"/>
    <x v="1"/>
    <s v="Mobile"/>
    <n v="5"/>
    <n v="13779"/>
    <n v="0"/>
    <n v="68895"/>
    <n v="46880.25"/>
    <n v="22014.75"/>
    <s v="Cash"/>
    <s v="Online"/>
    <s v="Delivered"/>
    <n v="2"/>
    <s v="Yes"/>
  </r>
  <r>
    <s v="ORD0334"/>
    <x v="17"/>
    <s v="C1298"/>
    <s v="Sneha"/>
    <s v="Pune"/>
    <s v="Maharashtra"/>
    <x v="0"/>
    <s v="P089"/>
    <s v="Laptop 89"/>
    <x v="1"/>
    <s v="Laptop"/>
    <n v="5"/>
    <n v="61741"/>
    <n v="15"/>
    <n v="262399.25"/>
    <n v="189301.57"/>
    <n v="73097.679999999993"/>
    <s v="Cash"/>
    <s v="Online"/>
    <s v="Pending"/>
    <n v="3"/>
    <s v="No"/>
  </r>
  <r>
    <s v="ORD0335"/>
    <x v="147"/>
    <s v="C1263"/>
    <s v="Aman"/>
    <s v="Bengaluru"/>
    <s v="Karnataka"/>
    <x v="1"/>
    <s v="P070"/>
    <s v="Laptop 70"/>
    <x v="1"/>
    <s v="Laptop"/>
    <n v="2"/>
    <n v="30928"/>
    <n v="20"/>
    <n v="49484.800000000003"/>
    <n v="50663.97"/>
    <n v="-1179.17"/>
    <s v="UPI"/>
    <s v="Online"/>
    <s v="Cancelled"/>
    <n v="3"/>
    <s v="No"/>
  </r>
  <r>
    <s v="ORD0336"/>
    <x v="51"/>
    <s v="C1153"/>
    <s v="Vikas"/>
    <s v="Mumbai"/>
    <s v="Maharashtra"/>
    <x v="0"/>
    <s v="P019"/>
    <s v="Laptop 19"/>
    <x v="1"/>
    <s v="Laptop"/>
    <n v="4"/>
    <n v="38079"/>
    <n v="10"/>
    <n v="137084.4"/>
    <n v="120554.35"/>
    <n v="16530.05"/>
    <s v="Card"/>
    <s v="Online"/>
    <s v="Pending"/>
    <n v="2"/>
    <s v="No"/>
  </r>
  <r>
    <s v="ORD0337"/>
    <x v="27"/>
    <s v="C1202"/>
    <s v="Lakshay"/>
    <s v="Bengaluru"/>
    <s v="Karnataka"/>
    <x v="1"/>
    <s v="P015"/>
    <s v="Table 15"/>
    <x v="2"/>
    <s v="Table"/>
    <n v="2"/>
    <n v="19212"/>
    <n v="20"/>
    <n v="30739.200000000001"/>
    <n v="26325.75"/>
    <n v="4413.45"/>
    <s v="Cash"/>
    <s v="Offline"/>
    <s v="Cancelled"/>
    <n v="3"/>
    <s v="Yes"/>
  </r>
  <r>
    <s v="ORD0338"/>
    <x v="50"/>
    <s v="C1135"/>
    <s v="Priya"/>
    <s v="Mumbai"/>
    <s v="Maharashtra"/>
    <x v="0"/>
    <s v="P031"/>
    <s v="Table 31"/>
    <x v="2"/>
    <s v="Table"/>
    <n v="2"/>
    <n v="44203"/>
    <n v="0"/>
    <n v="88406"/>
    <n v="67512.09"/>
    <n v="20893.91"/>
    <s v="Cash"/>
    <s v="Offline"/>
    <s v="Pending"/>
    <n v="1"/>
    <s v="No"/>
  </r>
  <r>
    <s v="ORD0339"/>
    <x v="148"/>
    <s v="C1062"/>
    <s v="Anjali"/>
    <s v="Chennai"/>
    <s v="Tamil Nadu"/>
    <x v="1"/>
    <s v="P069"/>
    <s v="Chair 69"/>
    <x v="2"/>
    <s v="Chair"/>
    <n v="2"/>
    <n v="35145"/>
    <n v="15"/>
    <n v="59746.5"/>
    <n v="52637.760000000002"/>
    <n v="7108.74"/>
    <s v="UPI"/>
    <s v="Offline"/>
    <s v="Pending"/>
    <n v="1"/>
    <s v="No"/>
  </r>
  <r>
    <s v="ORD0340"/>
    <x v="149"/>
    <s v="C1208"/>
    <s v="Vikas"/>
    <s v="Mumbai"/>
    <s v="Maharashtra"/>
    <x v="0"/>
    <s v="P006"/>
    <s v="Mobile 6"/>
    <x v="1"/>
    <s v="Mobile"/>
    <n v="5"/>
    <n v="30707"/>
    <n v="5"/>
    <n v="145858.25"/>
    <n v="98013.85"/>
    <n v="47844.4"/>
    <s v="Cash"/>
    <s v="Offline"/>
    <s v="Pending"/>
    <n v="2"/>
    <s v="Yes"/>
  </r>
  <r>
    <s v="ORD0341"/>
    <x v="31"/>
    <s v="C1126"/>
    <s v="Neha"/>
    <s v="Chennai"/>
    <s v="Tamil Nadu"/>
    <x v="1"/>
    <s v="P010"/>
    <s v="Shoes 10"/>
    <x v="0"/>
    <s v="Shoes"/>
    <n v="3"/>
    <n v="49766"/>
    <n v="20"/>
    <n v="119438.39999999999"/>
    <n v="100512.41"/>
    <n v="18925.990000000002"/>
    <s v="Card"/>
    <s v="Online"/>
    <s v="Delivered"/>
    <n v="3"/>
    <s v="No"/>
  </r>
  <r>
    <s v="ORD0342"/>
    <x v="37"/>
    <s v="C1228"/>
    <s v="Karan"/>
    <s v="Bengaluru"/>
    <s v="Karnataka"/>
    <x v="1"/>
    <s v="P041"/>
    <s v="Table 41"/>
    <x v="2"/>
    <s v="Table"/>
    <n v="4"/>
    <n v="38830"/>
    <n v="20"/>
    <n v="124256"/>
    <n v="123481.66"/>
    <n v="774.34"/>
    <s v="Card"/>
    <s v="Offline"/>
    <s v="Cancelled"/>
    <n v="3"/>
    <s v="No"/>
  </r>
  <r>
    <s v="ORD0343"/>
    <x v="150"/>
    <s v="C1114"/>
    <s v="Karan"/>
    <s v="Delhi"/>
    <s v="Delhi"/>
    <x v="2"/>
    <s v="P067"/>
    <s v="Mixer 67"/>
    <x v="3"/>
    <s v="Mixer"/>
    <n v="1"/>
    <n v="56303"/>
    <n v="15"/>
    <n v="47857.55"/>
    <n v="41846.879999999997"/>
    <n v="6010.67"/>
    <s v="Card"/>
    <s v="Offline"/>
    <s v="Cancelled"/>
    <n v="3"/>
    <s v="Yes"/>
  </r>
  <r>
    <s v="ORD0344"/>
    <x v="151"/>
    <s v="C1091"/>
    <s v="Aman"/>
    <s v="Jaipur"/>
    <s v="Rajasthan"/>
    <x v="2"/>
    <s v="P066"/>
    <s v="Mobile 66"/>
    <x v="1"/>
    <s v="Mobile"/>
    <n v="5"/>
    <n v="47221"/>
    <n v="5"/>
    <n v="224299.75"/>
    <n v="133688.69"/>
    <n v="90611.06"/>
    <s v="Cash"/>
    <s v="Online"/>
    <s v="Delivered"/>
    <n v="3"/>
    <s v="No"/>
  </r>
  <r>
    <s v="ORD0345"/>
    <x v="92"/>
    <s v="C1020"/>
    <s v="Anjali"/>
    <s v="Bengaluru"/>
    <s v="Karnataka"/>
    <x v="1"/>
    <s v="P014"/>
    <s v="Mixer 14"/>
    <x v="3"/>
    <s v="Mixer"/>
    <n v="4"/>
    <n v="13519"/>
    <n v="10"/>
    <n v="48668.4"/>
    <n v="42258.13"/>
    <n v="6410.27"/>
    <s v="UPI"/>
    <s v="Online"/>
    <s v="Pending"/>
    <n v="2"/>
    <s v="Yes"/>
  </r>
  <r>
    <s v="ORD0346"/>
    <x v="152"/>
    <s v="C1020"/>
    <s v="Vikas"/>
    <s v="Chennai"/>
    <s v="Tamil Nadu"/>
    <x v="1"/>
    <s v="P088"/>
    <s v="Mobile 88"/>
    <x v="1"/>
    <s v="Mobile"/>
    <n v="5"/>
    <n v="33112"/>
    <n v="15"/>
    <n v="140726"/>
    <n v="132078.24"/>
    <n v="8647.76"/>
    <s v="UPI"/>
    <s v="Online"/>
    <s v="Pending"/>
    <n v="2"/>
    <s v="No"/>
  </r>
  <r>
    <s v="ORD0347"/>
    <x v="77"/>
    <s v="C1139"/>
    <s v="Sneha"/>
    <s v="Pune"/>
    <s v="Maharashtra"/>
    <x v="0"/>
    <s v="P088"/>
    <s v="Mobile 88"/>
    <x v="1"/>
    <s v="Mobile"/>
    <n v="2"/>
    <n v="36092"/>
    <n v="20"/>
    <n v="57747.199999999997"/>
    <n v="48760.42"/>
    <n v="8986.7800000000007"/>
    <s v="Card"/>
    <s v="Online"/>
    <s v="Pending"/>
    <n v="1"/>
    <s v="Yes"/>
  </r>
  <r>
    <s v="ORD0348"/>
    <x v="153"/>
    <s v="C1013"/>
    <s v="Sneha"/>
    <s v="Bengaluru"/>
    <s v="Karnataka"/>
    <x v="1"/>
    <s v="P092"/>
    <s v="Laptop 92"/>
    <x v="1"/>
    <s v="Laptop"/>
    <n v="5"/>
    <n v="36255"/>
    <n v="10"/>
    <n v="163147.5"/>
    <n v="152325.43"/>
    <n v="10822.07"/>
    <s v="UPI"/>
    <s v="Online"/>
    <s v="Delivered"/>
    <n v="4"/>
    <s v="No"/>
  </r>
  <r>
    <s v="ORD0349"/>
    <x v="20"/>
    <s v="C1145"/>
    <s v="Karan"/>
    <s v="Pune"/>
    <s v="Maharashtra"/>
    <x v="0"/>
    <s v="P078"/>
    <s v="Chair 78"/>
    <x v="2"/>
    <s v="Chair"/>
    <n v="2"/>
    <n v="1871"/>
    <n v="15"/>
    <n v="3180.7"/>
    <n v="2976.04"/>
    <n v="204.66"/>
    <s v="Card"/>
    <s v="Online"/>
    <s v="Cancelled"/>
    <n v="5"/>
    <s v="No"/>
  </r>
  <r>
    <s v="ORD0350"/>
    <x v="1"/>
    <s v="C1211"/>
    <s v="Lakshay"/>
    <s v="Delhi"/>
    <s v="Delhi"/>
    <x v="2"/>
    <s v="P040"/>
    <s v="Chair 40"/>
    <x v="2"/>
    <s v="Chair"/>
    <n v="2"/>
    <n v="33761"/>
    <n v="5"/>
    <n v="64145.9"/>
    <n v="50393.3"/>
    <n v="13752.6"/>
    <s v="Cash"/>
    <s v="Offline"/>
    <s v="Cancelled"/>
    <n v="3"/>
    <s v="No"/>
  </r>
  <r>
    <s v="ORD0351"/>
    <x v="154"/>
    <s v="C1041"/>
    <s v="Anjali"/>
    <s v="Pune"/>
    <s v="Maharashtra"/>
    <x v="0"/>
    <s v="P023"/>
    <s v="Mobile 23"/>
    <x v="1"/>
    <s v="Mobile"/>
    <n v="2"/>
    <n v="66729"/>
    <n v="10"/>
    <n v="120112.2"/>
    <n v="91957.17"/>
    <n v="28155.03"/>
    <s v="Cash"/>
    <s v="Offline"/>
    <s v="Pending"/>
    <n v="5"/>
    <s v="No"/>
  </r>
  <r>
    <s v="ORD0352"/>
    <x v="132"/>
    <s v="C1212"/>
    <s v="Priya"/>
    <s v="Chennai"/>
    <s v="Tamil Nadu"/>
    <x v="1"/>
    <s v="P099"/>
    <s v="Chair 99"/>
    <x v="2"/>
    <s v="Chair"/>
    <n v="4"/>
    <n v="27828"/>
    <n v="20"/>
    <n v="89049.600000000006"/>
    <n v="62012.03"/>
    <n v="27037.57"/>
    <s v="UPI"/>
    <s v="Offline"/>
    <s v="Delivered"/>
    <n v="3"/>
    <s v="Yes"/>
  </r>
  <r>
    <s v="ORD0353"/>
    <x v="55"/>
    <s v="C1032"/>
    <s v="Sneha"/>
    <s v="Chennai"/>
    <s v="Tamil Nadu"/>
    <x v="1"/>
    <s v="P007"/>
    <s v="Laptop 7"/>
    <x v="1"/>
    <s v="Laptop"/>
    <n v="2"/>
    <n v="76363"/>
    <n v="15"/>
    <n v="129817.1"/>
    <n v="120048.99"/>
    <n v="9768.11"/>
    <s v="UPI"/>
    <s v="Online"/>
    <s v="Pending"/>
    <n v="1"/>
    <s v="No"/>
  </r>
  <r>
    <s v="ORD0354"/>
    <x v="139"/>
    <s v="C1170"/>
    <s v="Lakshay"/>
    <s v="Bengaluru"/>
    <s v="Karnataka"/>
    <x v="1"/>
    <s v="P010"/>
    <s v="Shoes 10"/>
    <x v="0"/>
    <s v="Shoes"/>
    <n v="4"/>
    <n v="14590"/>
    <n v="15"/>
    <n v="49606"/>
    <n v="47896.14"/>
    <n v="1709.86"/>
    <s v="Card"/>
    <s v="Online"/>
    <s v="Pending"/>
    <n v="5"/>
    <s v="Yes"/>
  </r>
  <r>
    <s v="ORD0355"/>
    <x v="58"/>
    <s v="C1249"/>
    <s v="Anjali"/>
    <s v="Pune"/>
    <s v="Maharashtra"/>
    <x v="0"/>
    <s v="P097"/>
    <s v="Mobile 97"/>
    <x v="1"/>
    <s v="Mobile"/>
    <n v="4"/>
    <n v="28951"/>
    <n v="15"/>
    <n v="98433.4"/>
    <n v="73398.259999999995"/>
    <n v="25035.14"/>
    <s v="UPI"/>
    <s v="Offline"/>
    <s v="Pending"/>
    <n v="3"/>
    <s v="No"/>
  </r>
  <r>
    <s v="ORD0356"/>
    <x v="133"/>
    <s v="C1053"/>
    <s v="Priya"/>
    <s v="Kolkata"/>
    <s v="West Bengal"/>
    <x v="3"/>
    <s v="P005"/>
    <s v="Chair 5"/>
    <x v="2"/>
    <s v="Chair"/>
    <n v="1"/>
    <n v="78267"/>
    <n v="15"/>
    <n v="66526.95"/>
    <n v="62936.22"/>
    <n v="3590.73"/>
    <s v="Cash"/>
    <s v="Offline"/>
    <s v="Delivered"/>
    <n v="1"/>
    <s v="No"/>
  </r>
  <r>
    <s v="ORD0357"/>
    <x v="16"/>
    <s v="C1109"/>
    <s v="Aman"/>
    <s v="Chennai"/>
    <s v="Tamil Nadu"/>
    <x v="1"/>
    <s v="P086"/>
    <s v="Mobile 86"/>
    <x v="1"/>
    <s v="Mobile"/>
    <n v="3"/>
    <n v="19793"/>
    <n v="10"/>
    <n v="53441.1"/>
    <n v="45045.5"/>
    <n v="8395.6"/>
    <s v="UPI"/>
    <s v="Offline"/>
    <s v="Delivered"/>
    <n v="5"/>
    <s v="Yes"/>
  </r>
  <r>
    <s v="ORD0358"/>
    <x v="128"/>
    <s v="C1149"/>
    <s v="Aman"/>
    <s v="Pune"/>
    <s v="Maharashtra"/>
    <x v="0"/>
    <s v="P094"/>
    <s v="Table 94"/>
    <x v="2"/>
    <s v="Table"/>
    <n v="2"/>
    <n v="13444"/>
    <n v="15"/>
    <n v="22854.799999999999"/>
    <n v="22447.439999999999"/>
    <n v="407.36"/>
    <s v="UPI"/>
    <s v="Online"/>
    <s v="Cancelled"/>
    <n v="1"/>
    <s v="No"/>
  </r>
  <r>
    <s v="ORD0359"/>
    <x v="74"/>
    <s v="C1044"/>
    <s v="Sneha"/>
    <s v="Chennai"/>
    <s v="Tamil Nadu"/>
    <x v="1"/>
    <s v="P082"/>
    <s v="Mobile 82"/>
    <x v="1"/>
    <s v="Mobile"/>
    <n v="4"/>
    <n v="31281"/>
    <n v="10"/>
    <n v="112611.6"/>
    <n v="95108.55"/>
    <n v="17503.05"/>
    <s v="Card"/>
    <s v="Offline"/>
    <s v="Delivered"/>
    <n v="1"/>
    <s v="No"/>
  </r>
  <r>
    <s v="ORD0360"/>
    <x v="130"/>
    <s v="C1026"/>
    <s v="Rahul"/>
    <s v="Chennai"/>
    <s v="Tamil Nadu"/>
    <x v="1"/>
    <s v="P075"/>
    <s v="Mixer 75"/>
    <x v="3"/>
    <s v="Mixer"/>
    <n v="3"/>
    <n v="19362"/>
    <n v="20"/>
    <n v="46468.800000000003"/>
    <n v="46684.73"/>
    <n v="-215.93"/>
    <s v="Cash"/>
    <s v="Online"/>
    <s v="Delivered"/>
    <n v="4"/>
    <s v="Yes"/>
  </r>
  <r>
    <s v="ORD0361"/>
    <x v="52"/>
    <s v="C1046"/>
    <s v="Rahul"/>
    <s v="Pune"/>
    <s v="Maharashtra"/>
    <x v="0"/>
    <s v="P099"/>
    <s v="Chair 99"/>
    <x v="2"/>
    <s v="Chair"/>
    <n v="1"/>
    <n v="44125"/>
    <n v="5"/>
    <n v="41918.75"/>
    <n v="25504.51"/>
    <n v="16414.240000000002"/>
    <s v="UPI"/>
    <s v="Offline"/>
    <s v="Cancelled"/>
    <n v="1"/>
    <s v="No"/>
  </r>
  <r>
    <s v="ORD0362"/>
    <x v="101"/>
    <s v="C1277"/>
    <s v="Neha"/>
    <s v="Jaipur"/>
    <s v="Rajasthan"/>
    <x v="2"/>
    <s v="P073"/>
    <s v="Mixer 73"/>
    <x v="3"/>
    <s v="Mixer"/>
    <n v="5"/>
    <n v="14549"/>
    <n v="15"/>
    <n v="61833.25"/>
    <n v="55040.639999999999"/>
    <n v="6792.61"/>
    <s v="Card"/>
    <s v="Offline"/>
    <s v="Pending"/>
    <n v="4"/>
    <s v="Yes"/>
  </r>
  <r>
    <s v="ORD0363"/>
    <x v="43"/>
    <s v="C1129"/>
    <s v="Aman"/>
    <s v="Mumbai"/>
    <s v="Maharashtra"/>
    <x v="0"/>
    <s v="P078"/>
    <s v="Chair 78"/>
    <x v="2"/>
    <s v="Chair"/>
    <n v="1"/>
    <n v="10261"/>
    <n v="0"/>
    <n v="10261"/>
    <n v="7177.6"/>
    <n v="3083.4"/>
    <s v="UPI"/>
    <s v="Online"/>
    <s v="Pending"/>
    <n v="3"/>
    <s v="Yes"/>
  </r>
  <r>
    <s v="ORD0364"/>
    <x v="17"/>
    <s v="C1125"/>
    <s v="Karan"/>
    <s v="Jaipur"/>
    <s v="Rajasthan"/>
    <x v="2"/>
    <s v="P095"/>
    <s v="Mobile 95"/>
    <x v="1"/>
    <s v="Mobile"/>
    <n v="4"/>
    <n v="31714"/>
    <n v="10"/>
    <n v="114170.4"/>
    <n v="101881.14"/>
    <n v="12289.26"/>
    <s v="Card"/>
    <s v="Offline"/>
    <s v="Cancelled"/>
    <n v="1"/>
    <s v="Yes"/>
  </r>
  <r>
    <s v="ORD0365"/>
    <x v="124"/>
    <s v="C1219"/>
    <s v="Lakshay"/>
    <s v="Chennai"/>
    <s v="Tamil Nadu"/>
    <x v="1"/>
    <s v="P034"/>
    <s v="Chair 34"/>
    <x v="2"/>
    <s v="Chair"/>
    <n v="4"/>
    <n v="6823"/>
    <n v="0"/>
    <n v="27292"/>
    <n v="22718.65"/>
    <n v="4573.3500000000004"/>
    <s v="UPI"/>
    <s v="Offline"/>
    <s v="Delivered"/>
    <n v="4"/>
    <s v="No"/>
  </r>
  <r>
    <s v="ORD0366"/>
    <x v="63"/>
    <s v="C1177"/>
    <s v="Neha"/>
    <s v="Chennai"/>
    <s v="Tamil Nadu"/>
    <x v="1"/>
    <s v="P059"/>
    <s v="Laptop 59"/>
    <x v="1"/>
    <s v="Laptop"/>
    <n v="3"/>
    <n v="59303"/>
    <n v="20"/>
    <n v="142327.20000000001"/>
    <n v="104464.02"/>
    <n v="37863.18"/>
    <s v="UPI"/>
    <s v="Offline"/>
    <s v="Cancelled"/>
    <n v="5"/>
    <s v="Yes"/>
  </r>
  <r>
    <s v="ORD0367"/>
    <x v="133"/>
    <s v="C1169"/>
    <s v="Priya"/>
    <s v="Mumbai"/>
    <s v="Maharashtra"/>
    <x v="0"/>
    <s v="P030"/>
    <s v="Mixer 30"/>
    <x v="3"/>
    <s v="Mixer"/>
    <n v="3"/>
    <n v="9032"/>
    <n v="0"/>
    <n v="27096"/>
    <n v="17885.39"/>
    <n v="9210.61"/>
    <s v="Cash"/>
    <s v="Online"/>
    <s v="Pending"/>
    <n v="4"/>
    <s v="Yes"/>
  </r>
  <r>
    <s v="ORD0368"/>
    <x v="155"/>
    <s v="C1071"/>
    <s v="Vikas"/>
    <s v="Pune"/>
    <s v="Maharashtra"/>
    <x v="0"/>
    <s v="P051"/>
    <s v="Shoes 51"/>
    <x v="0"/>
    <s v="Shoes"/>
    <n v="3"/>
    <n v="3317"/>
    <n v="10"/>
    <n v="8955.9"/>
    <n v="5808.39"/>
    <n v="3147.51"/>
    <s v="Cash"/>
    <s v="Online"/>
    <s v="Cancelled"/>
    <n v="1"/>
    <s v="Yes"/>
  </r>
  <r>
    <s v="ORD0369"/>
    <x v="147"/>
    <s v="C1065"/>
    <s v="Lakshay"/>
    <s v="Bengaluru"/>
    <s v="Karnataka"/>
    <x v="1"/>
    <s v="P052"/>
    <s v="Laptop 52"/>
    <x v="1"/>
    <s v="Laptop"/>
    <n v="1"/>
    <n v="67915"/>
    <n v="5"/>
    <n v="64519.25"/>
    <n v="44174.59"/>
    <n v="20344.66"/>
    <s v="Cash"/>
    <s v="Online"/>
    <s v="Cancelled"/>
    <n v="2"/>
    <s v="Yes"/>
  </r>
  <r>
    <s v="ORD0370"/>
    <x v="79"/>
    <s v="C1007"/>
    <s v="Rahul"/>
    <s v="Delhi"/>
    <s v="Delhi"/>
    <x v="2"/>
    <s v="P059"/>
    <s v="Laptop 59"/>
    <x v="1"/>
    <s v="Laptop"/>
    <n v="1"/>
    <n v="41479"/>
    <n v="0"/>
    <n v="41479"/>
    <n v="31225.5"/>
    <n v="10253.5"/>
    <s v="Card"/>
    <s v="Online"/>
    <s v="Delivered"/>
    <n v="1"/>
    <s v="No"/>
  </r>
  <r>
    <s v="ORD0371"/>
    <x v="131"/>
    <s v="C1211"/>
    <s v="Lakshay"/>
    <s v="Jaipur"/>
    <s v="Rajasthan"/>
    <x v="2"/>
    <s v="P034"/>
    <s v="Chair 34"/>
    <x v="2"/>
    <s v="Chair"/>
    <n v="4"/>
    <n v="27505"/>
    <n v="20"/>
    <n v="88016"/>
    <n v="62083.93"/>
    <n v="25932.07"/>
    <s v="UPI"/>
    <s v="Online"/>
    <s v="Pending"/>
    <n v="2"/>
    <s v="Yes"/>
  </r>
  <r>
    <s v="ORD0372"/>
    <x v="156"/>
    <s v="C1121"/>
    <s v="Neha"/>
    <s v="Pune"/>
    <s v="Maharashtra"/>
    <x v="0"/>
    <s v="P084"/>
    <s v="Laptop 84"/>
    <x v="1"/>
    <s v="Laptop"/>
    <n v="3"/>
    <n v="10646"/>
    <n v="10"/>
    <n v="28744.2"/>
    <n v="20195.490000000002"/>
    <n v="8548.7099999999991"/>
    <s v="Cash"/>
    <s v="Online"/>
    <s v="Pending"/>
    <n v="3"/>
    <s v="Yes"/>
  </r>
  <r>
    <s v="ORD0373"/>
    <x v="157"/>
    <s v="C1218"/>
    <s v="Priya"/>
    <s v="Jaipur"/>
    <s v="Rajasthan"/>
    <x v="2"/>
    <s v="P055"/>
    <s v="Chair 55"/>
    <x v="2"/>
    <s v="Chair"/>
    <n v="4"/>
    <n v="5984"/>
    <n v="10"/>
    <n v="21542.400000000001"/>
    <n v="17651.04"/>
    <n v="3891.36"/>
    <s v="UPI"/>
    <s v="Online"/>
    <s v="Delivered"/>
    <n v="3"/>
    <s v="Yes"/>
  </r>
  <r>
    <s v="ORD0374"/>
    <x v="55"/>
    <s v="C1195"/>
    <s v="Karan"/>
    <s v="Jaipur"/>
    <s v="Rajasthan"/>
    <x v="2"/>
    <s v="P099"/>
    <s v="Chair 99"/>
    <x v="2"/>
    <s v="Chair"/>
    <n v="2"/>
    <n v="61313"/>
    <n v="10"/>
    <n v="110363.4"/>
    <n v="91631.55"/>
    <n v="18731.849999999999"/>
    <s v="UPI"/>
    <s v="Offline"/>
    <s v="Cancelled"/>
    <n v="1"/>
    <s v="No"/>
  </r>
  <r>
    <s v="ORD0375"/>
    <x v="6"/>
    <s v="C1242"/>
    <s v="Karan"/>
    <s v="Bengaluru"/>
    <s v="Karnataka"/>
    <x v="1"/>
    <s v="P032"/>
    <s v="Chair 32"/>
    <x v="2"/>
    <s v="Chair"/>
    <n v="1"/>
    <n v="39872"/>
    <n v="15"/>
    <n v="33891.199999999997"/>
    <n v="27906.27"/>
    <n v="5984.93"/>
    <s v="Cash"/>
    <s v="Offline"/>
    <s v="Delivered"/>
    <n v="3"/>
    <s v="Yes"/>
  </r>
  <r>
    <s v="ORD0376"/>
    <x v="92"/>
    <s v="C1117"/>
    <s v="Karan"/>
    <s v="Kolkata"/>
    <s v="West Bengal"/>
    <x v="3"/>
    <s v="P046"/>
    <s v="Laptop 46"/>
    <x v="1"/>
    <s v="Laptop"/>
    <n v="4"/>
    <n v="62775"/>
    <n v="10"/>
    <n v="225990"/>
    <n v="145560.21"/>
    <n v="80429.789999999994"/>
    <s v="Cash"/>
    <s v="Offline"/>
    <s v="Cancelled"/>
    <n v="3"/>
    <s v="No"/>
  </r>
  <r>
    <s v="ORD0377"/>
    <x v="83"/>
    <s v="C1294"/>
    <s v="Rahul"/>
    <s v="Chennai"/>
    <s v="Tamil Nadu"/>
    <x v="1"/>
    <s v="P015"/>
    <s v="Table 15"/>
    <x v="2"/>
    <s v="Table"/>
    <n v="3"/>
    <n v="44546"/>
    <n v="10"/>
    <n v="120274.2"/>
    <n v="75809.919999999998"/>
    <n v="44464.28"/>
    <s v="UPI"/>
    <s v="Offline"/>
    <s v="Delivered"/>
    <n v="2"/>
    <s v="Yes"/>
  </r>
  <r>
    <s v="ORD0378"/>
    <x v="40"/>
    <s v="C1187"/>
    <s v="Karan"/>
    <s v="Pune"/>
    <s v="Maharashtra"/>
    <x v="0"/>
    <s v="P059"/>
    <s v="Laptop 59"/>
    <x v="1"/>
    <s v="Laptop"/>
    <n v="5"/>
    <n v="27491"/>
    <n v="20"/>
    <n v="109964"/>
    <n v="90965.6"/>
    <n v="18998.400000000001"/>
    <s v="Card"/>
    <s v="Offline"/>
    <s v="Pending"/>
    <n v="4"/>
    <s v="No"/>
  </r>
  <r>
    <s v="ORD0379"/>
    <x v="122"/>
    <s v="C1068"/>
    <s v="Rohit"/>
    <s v="Jaipur"/>
    <s v="Rajasthan"/>
    <x v="2"/>
    <s v="P041"/>
    <s v="Table 41"/>
    <x v="2"/>
    <s v="Table"/>
    <n v="5"/>
    <n v="45437"/>
    <n v="15"/>
    <n v="193107.25"/>
    <n v="164438.07"/>
    <n v="28669.18"/>
    <s v="Card"/>
    <s v="Online"/>
    <s v="Delivered"/>
    <n v="4"/>
    <s v="Yes"/>
  </r>
  <r>
    <s v="ORD0380"/>
    <x v="153"/>
    <s v="C1116"/>
    <s v="Karan"/>
    <s v="Delhi"/>
    <s v="Delhi"/>
    <x v="2"/>
    <s v="P041"/>
    <s v="Table 41"/>
    <x v="2"/>
    <s v="Table"/>
    <n v="5"/>
    <n v="27883"/>
    <n v="10"/>
    <n v="125473.5"/>
    <n v="79153.009999999995"/>
    <n v="46320.49"/>
    <s v="Card"/>
    <s v="Online"/>
    <s v="Delivered"/>
    <n v="1"/>
    <s v="Yes"/>
  </r>
  <r>
    <s v="ORD0381"/>
    <x v="3"/>
    <s v="C1177"/>
    <s v="Sneha"/>
    <s v="Pune"/>
    <s v="Maharashtra"/>
    <x v="0"/>
    <s v="P006"/>
    <s v="Mobile 6"/>
    <x v="1"/>
    <s v="Mobile"/>
    <n v="2"/>
    <n v="25639"/>
    <n v="15"/>
    <n v="43586.3"/>
    <n v="42534.63"/>
    <n v="1051.67"/>
    <s v="Cash"/>
    <s v="Online"/>
    <s v="Pending"/>
    <n v="5"/>
    <s v="No"/>
  </r>
  <r>
    <s v="ORD0382"/>
    <x v="121"/>
    <s v="C1278"/>
    <s v="Priya"/>
    <s v="Mumbai"/>
    <s v="Maharashtra"/>
    <x v="0"/>
    <s v="P018"/>
    <s v="Laptop 18"/>
    <x v="1"/>
    <s v="Laptop"/>
    <n v="3"/>
    <n v="2059"/>
    <n v="5"/>
    <n v="5868.15"/>
    <n v="4475.82"/>
    <n v="1392.33"/>
    <s v="Cash"/>
    <s v="Online"/>
    <s v="Delivered"/>
    <n v="1"/>
    <s v="Yes"/>
  </r>
  <r>
    <s v="ORD0383"/>
    <x v="118"/>
    <s v="C1127"/>
    <s v="Lakshay"/>
    <s v="Bengaluru"/>
    <s v="Karnataka"/>
    <x v="1"/>
    <s v="P055"/>
    <s v="Chair 55"/>
    <x v="2"/>
    <s v="Chair"/>
    <n v="2"/>
    <n v="72610"/>
    <n v="10"/>
    <n v="130698"/>
    <n v="112784.09"/>
    <n v="17913.91"/>
    <s v="Cash"/>
    <s v="Offline"/>
    <s v="Delivered"/>
    <n v="3"/>
    <s v="No"/>
  </r>
  <r>
    <s v="ORD0384"/>
    <x v="108"/>
    <s v="C1171"/>
    <s v="Sneha"/>
    <s v="Mumbai"/>
    <s v="Maharashtra"/>
    <x v="0"/>
    <s v="P015"/>
    <s v="Table 15"/>
    <x v="2"/>
    <s v="Table"/>
    <n v="3"/>
    <n v="12677"/>
    <n v="15"/>
    <n v="32326.35"/>
    <n v="24464.959999999999"/>
    <n v="7861.39"/>
    <s v="Card"/>
    <s v="Online"/>
    <s v="Pending"/>
    <n v="4"/>
    <s v="No"/>
  </r>
  <r>
    <s v="ORD0385"/>
    <x v="158"/>
    <s v="C1063"/>
    <s v="Vikas"/>
    <s v="Mumbai"/>
    <s v="Maharashtra"/>
    <x v="0"/>
    <s v="P002"/>
    <s v="Laptop 2"/>
    <x v="1"/>
    <s v="Laptop"/>
    <n v="1"/>
    <n v="64918"/>
    <n v="20"/>
    <n v="51934.400000000001"/>
    <n v="40309.370000000003"/>
    <n v="11625.03"/>
    <s v="UPI"/>
    <s v="Online"/>
    <s v="Pending"/>
    <n v="5"/>
    <s v="Yes"/>
  </r>
  <r>
    <s v="ORD0386"/>
    <x v="97"/>
    <s v="C1269"/>
    <s v="Karan"/>
    <s v="Kolkata"/>
    <s v="West Bengal"/>
    <x v="3"/>
    <s v="P091"/>
    <s v="Laptop 91"/>
    <x v="1"/>
    <s v="Laptop"/>
    <n v="3"/>
    <n v="57842"/>
    <n v="5"/>
    <n v="164849.70000000001"/>
    <n v="105375.18"/>
    <n v="59474.52"/>
    <s v="UPI"/>
    <s v="Online"/>
    <s v="Delivered"/>
    <n v="3"/>
    <s v="Yes"/>
  </r>
  <r>
    <s v="ORD0387"/>
    <x v="77"/>
    <s v="C1101"/>
    <s v="Rahul"/>
    <s v="Kolkata"/>
    <s v="West Bengal"/>
    <x v="3"/>
    <s v="P035"/>
    <s v="Table 35"/>
    <x v="2"/>
    <s v="Table"/>
    <n v="5"/>
    <n v="78695"/>
    <n v="15"/>
    <n v="334453.75"/>
    <n v="247330.75"/>
    <n v="87123"/>
    <s v="UPI"/>
    <s v="Online"/>
    <s v="Pending"/>
    <n v="5"/>
    <s v="Yes"/>
  </r>
  <r>
    <s v="ORD0388"/>
    <x v="12"/>
    <s v="C1249"/>
    <s v="Lakshay"/>
    <s v="Mumbai"/>
    <s v="Maharashtra"/>
    <x v="0"/>
    <s v="P059"/>
    <s v="Laptop 59"/>
    <x v="1"/>
    <s v="Laptop"/>
    <n v="3"/>
    <n v="47168"/>
    <n v="0"/>
    <n v="141504"/>
    <n v="98793.279999999999"/>
    <n v="42710.720000000001"/>
    <s v="Cash"/>
    <s v="Offline"/>
    <s v="Cancelled"/>
    <n v="3"/>
    <s v="No"/>
  </r>
  <r>
    <s v="ORD0389"/>
    <x v="57"/>
    <s v="C1111"/>
    <s v="Rohit"/>
    <s v="Bengaluru"/>
    <s v="Karnataka"/>
    <x v="1"/>
    <s v="P082"/>
    <s v="Mobile 82"/>
    <x v="1"/>
    <s v="Mobile"/>
    <n v="5"/>
    <n v="54062"/>
    <n v="20"/>
    <n v="216248"/>
    <n v="228710.35"/>
    <n v="-12462.35"/>
    <s v="Card"/>
    <s v="Offline"/>
    <s v="Cancelled"/>
    <n v="5"/>
    <s v="Yes"/>
  </r>
  <r>
    <s v="ORD0390"/>
    <x v="61"/>
    <s v="C1089"/>
    <s v="Karan"/>
    <s v="Delhi"/>
    <s v="Delhi"/>
    <x v="2"/>
    <s v="P061"/>
    <s v="Mobile 61"/>
    <x v="1"/>
    <s v="Mobile"/>
    <n v="4"/>
    <n v="5963"/>
    <n v="15"/>
    <n v="20274.2"/>
    <n v="17536.349999999999"/>
    <n v="2737.85"/>
    <s v="Cash"/>
    <s v="Offline"/>
    <s v="Pending"/>
    <n v="5"/>
    <s v="Yes"/>
  </r>
  <r>
    <s v="ORD0391"/>
    <x v="16"/>
    <s v="C1115"/>
    <s v="Lakshay"/>
    <s v="Jaipur"/>
    <s v="Rajasthan"/>
    <x v="2"/>
    <s v="P082"/>
    <s v="Mobile 82"/>
    <x v="1"/>
    <s v="Mobile"/>
    <n v="3"/>
    <n v="30096"/>
    <n v="5"/>
    <n v="85773.6"/>
    <n v="53431.26"/>
    <n v="32342.34"/>
    <s v="UPI"/>
    <s v="Offline"/>
    <s v="Cancelled"/>
    <n v="4"/>
    <s v="Yes"/>
  </r>
  <r>
    <s v="ORD0392"/>
    <x v="13"/>
    <s v="C1061"/>
    <s v="Lakshay"/>
    <s v="Kolkata"/>
    <s v="West Bengal"/>
    <x v="3"/>
    <s v="P074"/>
    <s v="Mixer 74"/>
    <x v="3"/>
    <s v="Mixer"/>
    <n v="2"/>
    <n v="35824"/>
    <n v="0"/>
    <n v="71648"/>
    <n v="46582.13"/>
    <n v="25065.87"/>
    <s v="Cash"/>
    <s v="Online"/>
    <s v="Cancelled"/>
    <n v="3"/>
    <s v="Yes"/>
  </r>
  <r>
    <s v="ORD0393"/>
    <x v="84"/>
    <s v="C1012"/>
    <s v="Lakshay"/>
    <s v="Jaipur"/>
    <s v="Rajasthan"/>
    <x v="2"/>
    <s v="P054"/>
    <s v="Mixer 54"/>
    <x v="3"/>
    <s v="Mixer"/>
    <n v="3"/>
    <n v="63683"/>
    <n v="0"/>
    <n v="191049"/>
    <n v="113720.91"/>
    <n v="77328.09"/>
    <s v="Cash"/>
    <s v="Offline"/>
    <s v="Pending"/>
    <n v="5"/>
    <s v="Yes"/>
  </r>
  <r>
    <s v="ORD0394"/>
    <x v="7"/>
    <s v="C1186"/>
    <s v="Neha"/>
    <s v="Jaipur"/>
    <s v="Rajasthan"/>
    <x v="2"/>
    <s v="P060"/>
    <s v="Mixer 60"/>
    <x v="3"/>
    <s v="Mixer"/>
    <n v="5"/>
    <n v="76342"/>
    <n v="20"/>
    <n v="305368"/>
    <n v="246751.15"/>
    <n v="58616.85"/>
    <s v="Card"/>
    <s v="Offline"/>
    <s v="Pending"/>
    <n v="5"/>
    <s v="Yes"/>
  </r>
  <r>
    <s v="ORD0395"/>
    <x v="159"/>
    <s v="C1287"/>
    <s v="Rahul"/>
    <s v="Bengaluru"/>
    <s v="Karnataka"/>
    <x v="1"/>
    <s v="P009"/>
    <s v="Laptop 9"/>
    <x v="1"/>
    <s v="Laptop"/>
    <n v="5"/>
    <n v="13670"/>
    <n v="0"/>
    <n v="68350"/>
    <n v="55572.84"/>
    <n v="12777.16"/>
    <s v="Cash"/>
    <s v="Offline"/>
    <s v="Cancelled"/>
    <n v="4"/>
    <s v="No"/>
  </r>
  <r>
    <s v="ORD0396"/>
    <x v="16"/>
    <s v="C1014"/>
    <s v="Anjali"/>
    <s v="Kolkata"/>
    <s v="West Bengal"/>
    <x v="3"/>
    <s v="P034"/>
    <s v="Chair 34"/>
    <x v="2"/>
    <s v="Chair"/>
    <n v="1"/>
    <n v="5509"/>
    <n v="15"/>
    <n v="4682.6499999999996"/>
    <n v="3698.35"/>
    <n v="984.3"/>
    <s v="Card"/>
    <s v="Offline"/>
    <s v="Delivered"/>
    <n v="4"/>
    <s v="No"/>
  </r>
  <r>
    <s v="ORD0397"/>
    <x v="67"/>
    <s v="C1044"/>
    <s v="Priya"/>
    <s v="Jaipur"/>
    <s v="Rajasthan"/>
    <x v="2"/>
    <s v="P009"/>
    <s v="Laptop 9"/>
    <x v="1"/>
    <s v="Laptop"/>
    <n v="4"/>
    <n v="64834"/>
    <n v="5"/>
    <n v="246369.2"/>
    <n v="209485.91"/>
    <n v="36883.29"/>
    <s v="Card"/>
    <s v="Offline"/>
    <s v="Pending"/>
    <n v="5"/>
    <s v="No"/>
  </r>
  <r>
    <s v="ORD0398"/>
    <x v="119"/>
    <s v="C1028"/>
    <s v="Aman"/>
    <s v="Mumbai"/>
    <s v="Maharashtra"/>
    <x v="0"/>
    <s v="P044"/>
    <s v="Chair 44"/>
    <x v="2"/>
    <s v="Chair"/>
    <n v="2"/>
    <n v="3270"/>
    <n v="5"/>
    <n v="6213"/>
    <n v="5042.0600000000004"/>
    <n v="1170.94"/>
    <s v="Card"/>
    <s v="Online"/>
    <s v="Cancelled"/>
    <n v="5"/>
    <s v="No"/>
  </r>
  <r>
    <s v="ORD0399"/>
    <x v="47"/>
    <s v="C1044"/>
    <s v="Aman"/>
    <s v="Kolkata"/>
    <s v="West Bengal"/>
    <x v="3"/>
    <s v="P083"/>
    <s v="Table 83"/>
    <x v="2"/>
    <s v="Table"/>
    <n v="1"/>
    <n v="40420"/>
    <n v="10"/>
    <n v="36378"/>
    <n v="25091.7"/>
    <n v="11286.3"/>
    <s v="UPI"/>
    <s v="Online"/>
    <s v="Pending"/>
    <n v="2"/>
    <s v="No"/>
  </r>
  <r>
    <s v="ORD0400"/>
    <x v="55"/>
    <s v="C1293"/>
    <s v="Sneha"/>
    <s v="Jaipur"/>
    <s v="Rajasthan"/>
    <x v="2"/>
    <s v="P021"/>
    <s v="Mobile 21"/>
    <x v="1"/>
    <s v="Mobile"/>
    <n v="3"/>
    <n v="42590"/>
    <n v="20"/>
    <n v="102216"/>
    <n v="74458.070000000007"/>
    <n v="27757.93"/>
    <s v="UPI"/>
    <s v="Online"/>
    <s v="Delivered"/>
    <n v="2"/>
    <s v="No"/>
  </r>
  <r>
    <s v="ORD0401"/>
    <x v="70"/>
    <s v="C1089"/>
    <s v="Sneha"/>
    <s v="Pune"/>
    <s v="Maharashtra"/>
    <x v="0"/>
    <s v="P056"/>
    <s v="Shoes 56"/>
    <x v="0"/>
    <s v="Shoes"/>
    <n v="5"/>
    <n v="13432"/>
    <n v="10"/>
    <n v="60444"/>
    <n v="49171.21"/>
    <n v="11272.79"/>
    <s v="Cash"/>
    <s v="Online"/>
    <s v="Cancelled"/>
    <n v="2"/>
    <s v="Yes"/>
  </r>
  <r>
    <s v="ORD0402"/>
    <x v="27"/>
    <s v="C1292"/>
    <s v="Aman"/>
    <s v="Jaipur"/>
    <s v="Rajasthan"/>
    <x v="2"/>
    <s v="P005"/>
    <s v="Chair 5"/>
    <x v="2"/>
    <s v="Chair"/>
    <n v="4"/>
    <n v="8897"/>
    <n v="5"/>
    <n v="33808.6"/>
    <n v="21568.87"/>
    <n v="12239.73"/>
    <s v="Cash"/>
    <s v="Online"/>
    <s v="Cancelled"/>
    <n v="3"/>
    <s v="No"/>
  </r>
  <r>
    <s v="ORD0403"/>
    <x v="160"/>
    <s v="C1013"/>
    <s v="Karan"/>
    <s v="Mumbai"/>
    <s v="Maharashtra"/>
    <x v="0"/>
    <s v="P073"/>
    <s v="Mixer 73"/>
    <x v="3"/>
    <s v="Mixer"/>
    <n v="1"/>
    <n v="21944"/>
    <n v="15"/>
    <n v="18652.400000000001"/>
    <n v="12590.57"/>
    <n v="6061.83"/>
    <s v="Cash"/>
    <s v="Online"/>
    <s v="Cancelled"/>
    <n v="3"/>
    <s v="No"/>
  </r>
  <r>
    <s v="ORD0404"/>
    <x v="121"/>
    <s v="C1043"/>
    <s v="Rahul"/>
    <s v="Jaipur"/>
    <s v="Rajasthan"/>
    <x v="2"/>
    <s v="P023"/>
    <s v="Mobile 23"/>
    <x v="1"/>
    <s v="Mobile"/>
    <n v="1"/>
    <n v="15715"/>
    <n v="15"/>
    <n v="13357.75"/>
    <n v="9947.23"/>
    <n v="3410.52"/>
    <s v="UPI"/>
    <s v="Offline"/>
    <s v="Pending"/>
    <n v="2"/>
    <s v="No"/>
  </r>
  <r>
    <s v="ORD0405"/>
    <x v="161"/>
    <s v="C1163"/>
    <s v="Priya"/>
    <s v="Jaipur"/>
    <s v="Rajasthan"/>
    <x v="2"/>
    <s v="P095"/>
    <s v="Mobile 95"/>
    <x v="1"/>
    <s v="Mobile"/>
    <n v="5"/>
    <n v="34959"/>
    <n v="15"/>
    <n v="148575.75"/>
    <n v="101302.11"/>
    <n v="47273.64"/>
    <s v="UPI"/>
    <s v="Offline"/>
    <s v="Cancelled"/>
    <n v="2"/>
    <s v="Yes"/>
  </r>
  <r>
    <s v="ORD0406"/>
    <x v="74"/>
    <s v="C1220"/>
    <s v="Rohit"/>
    <s v="Chennai"/>
    <s v="Tamil Nadu"/>
    <x v="1"/>
    <s v="P039"/>
    <s v="Shoes 39"/>
    <x v="0"/>
    <s v="Shoes"/>
    <n v="4"/>
    <n v="58215"/>
    <n v="5"/>
    <n v="221217"/>
    <n v="155897.93"/>
    <n v="65319.07"/>
    <s v="UPI"/>
    <s v="Offline"/>
    <s v="Pending"/>
    <n v="5"/>
    <s v="No"/>
  </r>
  <r>
    <s v="ORD0407"/>
    <x v="21"/>
    <s v="C1177"/>
    <s v="Sneha"/>
    <s v="Bengaluru"/>
    <s v="Karnataka"/>
    <x v="1"/>
    <s v="P028"/>
    <s v="Shoes 28"/>
    <x v="0"/>
    <s v="Shoes"/>
    <n v="5"/>
    <n v="28889"/>
    <n v="20"/>
    <n v="115556"/>
    <n v="104469.32"/>
    <n v="11086.68"/>
    <s v="Card"/>
    <s v="Offline"/>
    <s v="Delivered"/>
    <n v="1"/>
    <s v="Yes"/>
  </r>
  <r>
    <s v="ORD0408"/>
    <x v="93"/>
    <s v="C1040"/>
    <s v="Karan"/>
    <s v="Pune"/>
    <s v="Maharashtra"/>
    <x v="0"/>
    <s v="P029"/>
    <s v="Mixer 29"/>
    <x v="3"/>
    <s v="Mixer"/>
    <n v="5"/>
    <n v="72377"/>
    <n v="10"/>
    <n v="325696.5"/>
    <n v="252773.47"/>
    <n v="72923.03"/>
    <s v="Card"/>
    <s v="Offline"/>
    <s v="Cancelled"/>
    <n v="4"/>
    <s v="No"/>
  </r>
  <r>
    <s v="ORD0409"/>
    <x v="147"/>
    <s v="C1115"/>
    <s v="Neha"/>
    <s v="Delhi"/>
    <s v="Delhi"/>
    <x v="2"/>
    <s v="P097"/>
    <s v="Mobile 97"/>
    <x v="1"/>
    <s v="Mobile"/>
    <n v="3"/>
    <n v="63063"/>
    <n v="10"/>
    <n v="170270.1"/>
    <n v="139903.47"/>
    <n v="30366.63"/>
    <s v="Card"/>
    <s v="Offline"/>
    <s v="Cancelled"/>
    <n v="3"/>
    <s v="No"/>
  </r>
  <r>
    <s v="ORD0410"/>
    <x v="99"/>
    <s v="C1263"/>
    <s v="Anjali"/>
    <s v="Pune"/>
    <s v="Maharashtra"/>
    <x v="0"/>
    <s v="P059"/>
    <s v="Laptop 59"/>
    <x v="1"/>
    <s v="Laptop"/>
    <n v="5"/>
    <n v="69994"/>
    <n v="20"/>
    <n v="279976"/>
    <n v="207584.11"/>
    <n v="72391.89"/>
    <s v="UPI"/>
    <s v="Online"/>
    <s v="Delivered"/>
    <n v="1"/>
    <s v="Yes"/>
  </r>
  <r>
    <s v="ORD0411"/>
    <x v="87"/>
    <s v="C1126"/>
    <s v="Aman"/>
    <s v="Bengaluru"/>
    <s v="Karnataka"/>
    <x v="1"/>
    <s v="P095"/>
    <s v="Mobile 95"/>
    <x v="1"/>
    <s v="Mobile"/>
    <n v="1"/>
    <n v="48238"/>
    <n v="5"/>
    <n v="45826.1"/>
    <n v="32357.64"/>
    <n v="13468.46"/>
    <s v="Cash"/>
    <s v="Online"/>
    <s v="Delivered"/>
    <n v="5"/>
    <s v="No"/>
  </r>
  <r>
    <s v="ORD0412"/>
    <x v="63"/>
    <s v="C1014"/>
    <s v="Vikas"/>
    <s v="Mumbai"/>
    <s v="Maharashtra"/>
    <x v="0"/>
    <s v="P088"/>
    <s v="Mobile 88"/>
    <x v="1"/>
    <s v="Mobile"/>
    <n v="5"/>
    <n v="8020"/>
    <n v="5"/>
    <n v="38095"/>
    <n v="28662.59"/>
    <n v="9432.41"/>
    <s v="Card"/>
    <s v="Offline"/>
    <s v="Pending"/>
    <n v="2"/>
    <s v="Yes"/>
  </r>
  <r>
    <s v="ORD0413"/>
    <x v="117"/>
    <s v="C1279"/>
    <s v="Rahul"/>
    <s v="Jaipur"/>
    <s v="Rajasthan"/>
    <x v="2"/>
    <s v="P040"/>
    <s v="Chair 40"/>
    <x v="2"/>
    <s v="Chair"/>
    <n v="4"/>
    <n v="79306"/>
    <n v="15"/>
    <n v="269640.40000000002"/>
    <n v="207947.92"/>
    <n v="61692.480000000003"/>
    <s v="UPI"/>
    <s v="Offline"/>
    <s v="Pending"/>
    <n v="5"/>
    <s v="Yes"/>
  </r>
  <r>
    <s v="ORD0414"/>
    <x v="44"/>
    <s v="C1244"/>
    <s v="Neha"/>
    <s v="Mumbai"/>
    <s v="Maharashtra"/>
    <x v="0"/>
    <s v="P075"/>
    <s v="Mixer 75"/>
    <x v="3"/>
    <s v="Mixer"/>
    <n v="3"/>
    <n v="74840"/>
    <n v="20"/>
    <n v="179616"/>
    <n v="145602.23000000001"/>
    <n v="34013.769999999997"/>
    <s v="UPI"/>
    <s v="Offline"/>
    <s v="Delivered"/>
    <n v="1"/>
    <s v="Yes"/>
  </r>
  <r>
    <s v="ORD0415"/>
    <x v="117"/>
    <s v="C1286"/>
    <s v="Neha"/>
    <s v="Mumbai"/>
    <s v="Maharashtra"/>
    <x v="0"/>
    <s v="P080"/>
    <s v="Shoes 80"/>
    <x v="0"/>
    <s v="Shoes"/>
    <n v="4"/>
    <n v="33085"/>
    <n v="0"/>
    <n v="132340"/>
    <n v="74450.100000000006"/>
    <n v="57889.9"/>
    <s v="Card"/>
    <s v="Online"/>
    <s v="Delivered"/>
    <n v="3"/>
    <s v="No"/>
  </r>
  <r>
    <s v="ORD0416"/>
    <x v="91"/>
    <s v="C1052"/>
    <s v="Sneha"/>
    <s v="Jaipur"/>
    <s v="Rajasthan"/>
    <x v="2"/>
    <s v="P020"/>
    <s v="Shoes 20"/>
    <x v="0"/>
    <s v="Shoes"/>
    <n v="1"/>
    <n v="9399"/>
    <n v="15"/>
    <n v="7989.15"/>
    <n v="6209.96"/>
    <n v="1779.19"/>
    <s v="Card"/>
    <s v="Offline"/>
    <s v="Pending"/>
    <n v="2"/>
    <s v="No"/>
  </r>
  <r>
    <s v="ORD0417"/>
    <x v="45"/>
    <s v="C1285"/>
    <s v="Priya"/>
    <s v="Chennai"/>
    <s v="Tamil Nadu"/>
    <x v="1"/>
    <s v="P042"/>
    <s v="Table 42"/>
    <x v="2"/>
    <s v="Table"/>
    <n v="2"/>
    <n v="58849"/>
    <n v="20"/>
    <n v="94158.399999999994"/>
    <n v="65381.96"/>
    <n v="28776.44"/>
    <s v="UPI"/>
    <s v="Online"/>
    <s v="Pending"/>
    <n v="4"/>
    <s v="No"/>
  </r>
  <r>
    <s v="ORD0418"/>
    <x v="31"/>
    <s v="C1275"/>
    <s v="Lakshay"/>
    <s v="Jaipur"/>
    <s v="Rajasthan"/>
    <x v="2"/>
    <s v="P031"/>
    <s v="Table 31"/>
    <x v="2"/>
    <s v="Table"/>
    <n v="5"/>
    <n v="22981"/>
    <n v="5"/>
    <n v="109159.75"/>
    <n v="90911.24"/>
    <n v="18248.509999999998"/>
    <s v="UPI"/>
    <s v="Online"/>
    <s v="Pending"/>
    <n v="4"/>
    <s v="No"/>
  </r>
  <r>
    <s v="ORD0419"/>
    <x v="64"/>
    <s v="C1198"/>
    <s v="Anjali"/>
    <s v="Kolkata"/>
    <s v="West Bengal"/>
    <x v="3"/>
    <s v="P063"/>
    <s v="Shoes 63"/>
    <x v="0"/>
    <s v="Shoes"/>
    <n v="5"/>
    <n v="53342"/>
    <n v="5"/>
    <n v="253374.5"/>
    <n v="200328.73"/>
    <n v="53045.77"/>
    <s v="UPI"/>
    <s v="Online"/>
    <s v="Delivered"/>
    <n v="3"/>
    <s v="Yes"/>
  </r>
  <r>
    <s v="ORD0420"/>
    <x v="0"/>
    <s v="C1133"/>
    <s v="Rohit"/>
    <s v="Jaipur"/>
    <s v="Rajasthan"/>
    <x v="2"/>
    <s v="P079"/>
    <s v="Mobile 79"/>
    <x v="1"/>
    <s v="Mobile"/>
    <n v="2"/>
    <n v="33314"/>
    <n v="15"/>
    <n v="56633.8"/>
    <n v="38451.22"/>
    <n v="18182.580000000002"/>
    <s v="UPI"/>
    <s v="Offline"/>
    <s v="Pending"/>
    <n v="4"/>
    <s v="No"/>
  </r>
  <r>
    <s v="ORD0421"/>
    <x v="94"/>
    <s v="C1020"/>
    <s v="Priya"/>
    <s v="Bengaluru"/>
    <s v="Karnataka"/>
    <x v="1"/>
    <s v="P002"/>
    <s v="Laptop 2"/>
    <x v="1"/>
    <s v="Laptop"/>
    <n v="1"/>
    <n v="4682"/>
    <n v="10"/>
    <n v="4213.8"/>
    <n v="2863.9"/>
    <n v="1349.9"/>
    <s v="Cash"/>
    <s v="Offline"/>
    <s v="Pending"/>
    <n v="4"/>
    <s v="Yes"/>
  </r>
  <r>
    <s v="ORD0422"/>
    <x v="121"/>
    <s v="C1223"/>
    <s v="Rahul"/>
    <s v="Jaipur"/>
    <s v="Rajasthan"/>
    <x v="2"/>
    <s v="P050"/>
    <s v="Chair 50"/>
    <x v="2"/>
    <s v="Chair"/>
    <n v="5"/>
    <n v="1783"/>
    <n v="20"/>
    <n v="7132"/>
    <n v="7395.18"/>
    <n v="-263.18"/>
    <s v="UPI"/>
    <s v="Offline"/>
    <s v="Delivered"/>
    <n v="3"/>
    <s v="Yes"/>
  </r>
  <r>
    <s v="ORD0423"/>
    <x v="156"/>
    <s v="C1270"/>
    <s v="Karan"/>
    <s v="Pune"/>
    <s v="Maharashtra"/>
    <x v="0"/>
    <s v="P079"/>
    <s v="Mobile 79"/>
    <x v="1"/>
    <s v="Mobile"/>
    <n v="3"/>
    <n v="18410"/>
    <n v="0"/>
    <n v="55230"/>
    <n v="44834.45"/>
    <n v="10395.549999999999"/>
    <s v="UPI"/>
    <s v="Offline"/>
    <s v="Pending"/>
    <n v="4"/>
    <s v="Yes"/>
  </r>
  <r>
    <s v="ORD0424"/>
    <x v="64"/>
    <s v="C1296"/>
    <s v="Karan"/>
    <s v="Jaipur"/>
    <s v="Rajasthan"/>
    <x v="2"/>
    <s v="P047"/>
    <s v="Table 47"/>
    <x v="2"/>
    <s v="Table"/>
    <n v="4"/>
    <n v="538"/>
    <n v="15"/>
    <n v="1829.2"/>
    <n v="1332.78"/>
    <n v="496.42"/>
    <s v="Card"/>
    <s v="Offline"/>
    <s v="Delivered"/>
    <n v="5"/>
    <s v="Yes"/>
  </r>
  <r>
    <s v="ORD0425"/>
    <x v="47"/>
    <s v="C1066"/>
    <s v="Lakshay"/>
    <s v="Mumbai"/>
    <s v="Maharashtra"/>
    <x v="0"/>
    <s v="P071"/>
    <s v="Mobile 71"/>
    <x v="1"/>
    <s v="Mobile"/>
    <n v="1"/>
    <n v="8480"/>
    <n v="5"/>
    <n v="8056"/>
    <n v="5881.62"/>
    <n v="2174.38"/>
    <s v="Card"/>
    <s v="Online"/>
    <s v="Cancelled"/>
    <n v="4"/>
    <s v="No"/>
  </r>
  <r>
    <s v="ORD0426"/>
    <x v="53"/>
    <s v="C1141"/>
    <s v="Lakshay"/>
    <s v="Delhi"/>
    <s v="Delhi"/>
    <x v="2"/>
    <s v="P065"/>
    <s v="Mobile 65"/>
    <x v="1"/>
    <s v="Mobile"/>
    <n v="1"/>
    <n v="74002"/>
    <n v="20"/>
    <n v="59201.599999999999"/>
    <n v="54049.84"/>
    <n v="5151.76"/>
    <s v="UPI"/>
    <s v="Online"/>
    <s v="Pending"/>
    <n v="5"/>
    <s v="Yes"/>
  </r>
  <r>
    <s v="ORD0427"/>
    <x v="90"/>
    <s v="C1019"/>
    <s v="Anjali"/>
    <s v="Pune"/>
    <s v="Maharashtra"/>
    <x v="0"/>
    <s v="P084"/>
    <s v="Laptop 84"/>
    <x v="1"/>
    <s v="Laptop"/>
    <n v="4"/>
    <n v="18839"/>
    <n v="15"/>
    <n v="64052.6"/>
    <n v="55143.56"/>
    <n v="8909.0400000000009"/>
    <s v="Cash"/>
    <s v="Offline"/>
    <s v="Pending"/>
    <n v="3"/>
    <s v="No"/>
  </r>
  <r>
    <s v="ORD0428"/>
    <x v="162"/>
    <s v="C1235"/>
    <s v="Sneha"/>
    <s v="Jaipur"/>
    <s v="Rajasthan"/>
    <x v="2"/>
    <s v="P039"/>
    <s v="Shoes 39"/>
    <x v="0"/>
    <s v="Shoes"/>
    <n v="5"/>
    <n v="16298"/>
    <n v="5"/>
    <n v="77415.5"/>
    <n v="64185.13"/>
    <n v="13230.37"/>
    <s v="UPI"/>
    <s v="Offline"/>
    <s v="Pending"/>
    <n v="3"/>
    <s v="No"/>
  </r>
  <r>
    <s v="ORD0429"/>
    <x v="25"/>
    <s v="C1296"/>
    <s v="Lakshay"/>
    <s v="Delhi"/>
    <s v="Delhi"/>
    <x v="2"/>
    <s v="P095"/>
    <s v="Mobile 95"/>
    <x v="1"/>
    <s v="Mobile"/>
    <n v="3"/>
    <n v="39113"/>
    <n v="10"/>
    <n v="105605.1"/>
    <n v="95043.74"/>
    <n v="10561.36"/>
    <s v="Cash"/>
    <s v="Online"/>
    <s v="Pending"/>
    <n v="5"/>
    <s v="No"/>
  </r>
  <r>
    <s v="ORD0430"/>
    <x v="69"/>
    <s v="C1195"/>
    <s v="Neha"/>
    <s v="Delhi"/>
    <s v="Delhi"/>
    <x v="2"/>
    <s v="P054"/>
    <s v="Mixer 54"/>
    <x v="3"/>
    <s v="Mixer"/>
    <n v="1"/>
    <n v="57658"/>
    <n v="5"/>
    <n v="54775.1"/>
    <n v="44406.28"/>
    <n v="10368.82"/>
    <s v="UPI"/>
    <s v="Online"/>
    <s v="Delivered"/>
    <n v="5"/>
    <s v="Yes"/>
  </r>
  <r>
    <s v="ORD0431"/>
    <x v="63"/>
    <s v="C1266"/>
    <s v="Anjali"/>
    <s v="Bengaluru"/>
    <s v="Karnataka"/>
    <x v="1"/>
    <s v="P010"/>
    <s v="Shoes 10"/>
    <x v="0"/>
    <s v="Shoes"/>
    <n v="3"/>
    <n v="27805"/>
    <n v="0"/>
    <n v="83415"/>
    <n v="47690.27"/>
    <n v="35724.730000000003"/>
    <s v="Card"/>
    <s v="Offline"/>
    <s v="Delivered"/>
    <n v="2"/>
    <s v="No"/>
  </r>
  <r>
    <s v="ORD0432"/>
    <x v="13"/>
    <s v="C1194"/>
    <s v="Anjali"/>
    <s v="Kolkata"/>
    <s v="West Bengal"/>
    <x v="3"/>
    <s v="P006"/>
    <s v="Mobile 6"/>
    <x v="1"/>
    <s v="Mobile"/>
    <n v="5"/>
    <n v="43732"/>
    <n v="5"/>
    <n v="207727"/>
    <n v="124636.24"/>
    <n v="83090.759999999995"/>
    <s v="Cash"/>
    <s v="Offline"/>
    <s v="Pending"/>
    <n v="3"/>
    <s v="Yes"/>
  </r>
  <r>
    <s v="ORD0433"/>
    <x v="103"/>
    <s v="C1073"/>
    <s v="Neha"/>
    <s v="Pune"/>
    <s v="Maharashtra"/>
    <x v="0"/>
    <s v="P091"/>
    <s v="Laptop 91"/>
    <x v="1"/>
    <s v="Laptop"/>
    <n v="2"/>
    <n v="66270"/>
    <n v="15"/>
    <n v="112659"/>
    <n v="89142.33"/>
    <n v="23516.67"/>
    <s v="Card"/>
    <s v="Offline"/>
    <s v="Delivered"/>
    <n v="2"/>
    <s v="Yes"/>
  </r>
  <r>
    <s v="ORD0434"/>
    <x v="64"/>
    <s v="C1115"/>
    <s v="Lakshay"/>
    <s v="Kolkata"/>
    <s v="West Bengal"/>
    <x v="3"/>
    <s v="P084"/>
    <s v="Laptop 84"/>
    <x v="1"/>
    <s v="Laptop"/>
    <n v="2"/>
    <n v="63437"/>
    <n v="5"/>
    <n v="120530.3"/>
    <n v="79599.5"/>
    <n v="40930.800000000003"/>
    <s v="Card"/>
    <s v="Offline"/>
    <s v="Delivered"/>
    <n v="4"/>
    <s v="No"/>
  </r>
  <r>
    <s v="ORD0435"/>
    <x v="54"/>
    <s v="C1141"/>
    <s v="Anjali"/>
    <s v="Kolkata"/>
    <s v="West Bengal"/>
    <x v="3"/>
    <s v="P067"/>
    <s v="Mixer 67"/>
    <x v="3"/>
    <s v="Mixer"/>
    <n v="3"/>
    <n v="11851"/>
    <n v="15"/>
    <n v="30220.05"/>
    <n v="25267.3"/>
    <n v="4952.75"/>
    <s v="Cash"/>
    <s v="Online"/>
    <s v="Cancelled"/>
    <n v="2"/>
    <s v="No"/>
  </r>
  <r>
    <s v="ORD0436"/>
    <x v="22"/>
    <s v="C1213"/>
    <s v="Neha"/>
    <s v="Chennai"/>
    <s v="Tamil Nadu"/>
    <x v="1"/>
    <s v="P096"/>
    <s v="Chair 96"/>
    <x v="2"/>
    <s v="Chair"/>
    <n v="5"/>
    <n v="17643"/>
    <n v="10"/>
    <n v="79393.5"/>
    <n v="60547.76"/>
    <n v="18845.740000000002"/>
    <s v="Cash"/>
    <s v="Online"/>
    <s v="Delivered"/>
    <n v="2"/>
    <s v="Yes"/>
  </r>
  <r>
    <s v="ORD0437"/>
    <x v="19"/>
    <s v="C1174"/>
    <s v="Anjali"/>
    <s v="Chennai"/>
    <s v="Tamil Nadu"/>
    <x v="1"/>
    <s v="P044"/>
    <s v="Chair 44"/>
    <x v="2"/>
    <s v="Chair"/>
    <n v="2"/>
    <n v="30921"/>
    <n v="5"/>
    <n v="58749.9"/>
    <n v="37046.46"/>
    <n v="21703.439999999999"/>
    <s v="Card"/>
    <s v="Online"/>
    <s v="Pending"/>
    <n v="3"/>
    <s v="Yes"/>
  </r>
  <r>
    <s v="ORD0438"/>
    <x v="53"/>
    <s v="C1228"/>
    <s v="Rahul"/>
    <s v="Bengaluru"/>
    <s v="Karnataka"/>
    <x v="1"/>
    <s v="P083"/>
    <s v="Table 83"/>
    <x v="2"/>
    <s v="Table"/>
    <n v="4"/>
    <n v="6437"/>
    <n v="5"/>
    <n v="24460.6"/>
    <n v="18008.23"/>
    <n v="6452.37"/>
    <s v="Card"/>
    <s v="Offline"/>
    <s v="Cancelled"/>
    <n v="4"/>
    <s v="No"/>
  </r>
  <r>
    <s v="ORD0439"/>
    <x v="138"/>
    <s v="C1148"/>
    <s v="Anjali"/>
    <s v="Kolkata"/>
    <s v="West Bengal"/>
    <x v="3"/>
    <s v="P050"/>
    <s v="Chair 50"/>
    <x v="2"/>
    <s v="Chair"/>
    <n v="3"/>
    <n v="70738"/>
    <n v="0"/>
    <n v="212214"/>
    <n v="134128.39000000001"/>
    <n v="78085.61"/>
    <s v="Cash"/>
    <s v="Offline"/>
    <s v="Cancelled"/>
    <n v="2"/>
    <s v="No"/>
  </r>
  <r>
    <s v="ORD0440"/>
    <x v="97"/>
    <s v="C1245"/>
    <s v="Rohit"/>
    <s v="Pune"/>
    <s v="Maharashtra"/>
    <x v="0"/>
    <s v="P077"/>
    <s v="Table 77"/>
    <x v="2"/>
    <s v="Table"/>
    <n v="5"/>
    <n v="76345"/>
    <n v="20"/>
    <n v="305380"/>
    <n v="245202.36"/>
    <n v="60177.64"/>
    <s v="Cash"/>
    <s v="Offline"/>
    <s v="Pending"/>
    <n v="4"/>
    <s v="Yes"/>
  </r>
  <r>
    <s v="ORD0441"/>
    <x v="163"/>
    <s v="C1203"/>
    <s v="Priya"/>
    <s v="Chennai"/>
    <s v="Tamil Nadu"/>
    <x v="1"/>
    <s v="P065"/>
    <s v="Mobile 65"/>
    <x v="1"/>
    <s v="Mobile"/>
    <n v="3"/>
    <n v="29300"/>
    <n v="5"/>
    <n v="83505"/>
    <n v="54077.68"/>
    <n v="29427.32"/>
    <s v="UPI"/>
    <s v="Offline"/>
    <s v="Delivered"/>
    <n v="2"/>
    <s v="No"/>
  </r>
  <r>
    <s v="ORD0442"/>
    <x v="10"/>
    <s v="C1155"/>
    <s v="Anjali"/>
    <s v="Mumbai"/>
    <s v="Maharashtra"/>
    <x v="0"/>
    <s v="P085"/>
    <s v="Chair 85"/>
    <x v="2"/>
    <s v="Chair"/>
    <n v="5"/>
    <n v="37540"/>
    <n v="15"/>
    <n v="159545"/>
    <n v="134069.29999999999"/>
    <n v="25475.7"/>
    <s v="UPI"/>
    <s v="Offline"/>
    <s v="Delivered"/>
    <n v="3"/>
    <s v="Yes"/>
  </r>
  <r>
    <s v="ORD0443"/>
    <x v="123"/>
    <s v="C1039"/>
    <s v="Neha"/>
    <s v="Pune"/>
    <s v="Maharashtra"/>
    <x v="0"/>
    <s v="P012"/>
    <s v="Table 12"/>
    <x v="2"/>
    <s v="Table"/>
    <n v="3"/>
    <n v="30486"/>
    <n v="10"/>
    <n v="82312.2"/>
    <n v="52036.4"/>
    <n v="30275.8"/>
    <s v="Cash"/>
    <s v="Online"/>
    <s v="Delivered"/>
    <n v="3"/>
    <s v="Yes"/>
  </r>
  <r>
    <s v="ORD0444"/>
    <x v="158"/>
    <s v="C1062"/>
    <s v="Karan"/>
    <s v="Chennai"/>
    <s v="Tamil Nadu"/>
    <x v="1"/>
    <s v="P098"/>
    <s v="Mobile 98"/>
    <x v="1"/>
    <s v="Mobile"/>
    <n v="5"/>
    <n v="58841"/>
    <n v="20"/>
    <n v="235364"/>
    <n v="169898.36"/>
    <n v="65465.64"/>
    <s v="Cash"/>
    <s v="Online"/>
    <s v="Delivered"/>
    <n v="3"/>
    <s v="No"/>
  </r>
  <r>
    <s v="ORD0445"/>
    <x v="163"/>
    <s v="C1147"/>
    <s v="Priya"/>
    <s v="Pune"/>
    <s v="Maharashtra"/>
    <x v="0"/>
    <s v="P015"/>
    <s v="Table 15"/>
    <x v="2"/>
    <s v="Table"/>
    <n v="3"/>
    <n v="21721"/>
    <n v="10"/>
    <n v="58646.7"/>
    <n v="39396.300000000003"/>
    <n v="19250.400000000001"/>
    <s v="Cash"/>
    <s v="Offline"/>
    <s v="Delivered"/>
    <n v="1"/>
    <s v="No"/>
  </r>
  <r>
    <s v="ORD0446"/>
    <x v="156"/>
    <s v="C1102"/>
    <s v="Rahul"/>
    <s v="Mumbai"/>
    <s v="Maharashtra"/>
    <x v="0"/>
    <s v="P018"/>
    <s v="Laptop 18"/>
    <x v="1"/>
    <s v="Laptop"/>
    <n v="5"/>
    <n v="57153"/>
    <n v="0"/>
    <n v="285765"/>
    <n v="157759.23000000001"/>
    <n v="128005.77"/>
    <s v="UPI"/>
    <s v="Online"/>
    <s v="Delivered"/>
    <n v="5"/>
    <s v="No"/>
  </r>
  <r>
    <s v="ORD0447"/>
    <x v="3"/>
    <s v="C1158"/>
    <s v="Anjali"/>
    <s v="Chennai"/>
    <s v="Tamil Nadu"/>
    <x v="1"/>
    <s v="P061"/>
    <s v="Mobile 61"/>
    <x v="1"/>
    <s v="Mobile"/>
    <n v="4"/>
    <n v="31192"/>
    <n v="10"/>
    <n v="112291.2"/>
    <n v="80888.289999999994"/>
    <n v="31402.91"/>
    <s v="UPI"/>
    <s v="Online"/>
    <s v="Delivered"/>
    <n v="2"/>
    <s v="No"/>
  </r>
  <r>
    <s v="ORD0448"/>
    <x v="90"/>
    <s v="C1106"/>
    <s v="Priya"/>
    <s v="Delhi"/>
    <s v="Delhi"/>
    <x v="2"/>
    <s v="P074"/>
    <s v="Mixer 74"/>
    <x v="3"/>
    <s v="Mixer"/>
    <n v="1"/>
    <n v="6540"/>
    <n v="20"/>
    <n v="5232"/>
    <n v="3853.82"/>
    <n v="1378.18"/>
    <s v="UPI"/>
    <s v="Offline"/>
    <s v="Pending"/>
    <n v="3"/>
    <s v="Yes"/>
  </r>
  <r>
    <s v="ORD0449"/>
    <x v="8"/>
    <s v="C1129"/>
    <s v="Anjali"/>
    <s v="Pune"/>
    <s v="Maharashtra"/>
    <x v="0"/>
    <s v="P018"/>
    <s v="Laptop 18"/>
    <x v="1"/>
    <s v="Laptop"/>
    <n v="3"/>
    <n v="71684"/>
    <n v="15"/>
    <n v="182794.2"/>
    <n v="174259.89"/>
    <n v="8534.31"/>
    <s v="Cash"/>
    <s v="Offline"/>
    <s v="Delivered"/>
    <n v="2"/>
    <s v="Yes"/>
  </r>
  <r>
    <s v="ORD0450"/>
    <x v="95"/>
    <s v="C1238"/>
    <s v="Anjali"/>
    <s v="Bengaluru"/>
    <s v="Karnataka"/>
    <x v="1"/>
    <s v="P066"/>
    <s v="Mobile 66"/>
    <x v="1"/>
    <s v="Mobile"/>
    <n v="5"/>
    <n v="37638"/>
    <n v="15"/>
    <n v="159961.5"/>
    <n v="155727.84"/>
    <n v="4233.66"/>
    <s v="Card"/>
    <s v="Offline"/>
    <s v="Delivered"/>
    <n v="2"/>
    <s v="No"/>
  </r>
  <r>
    <s v="ORD0451"/>
    <x v="6"/>
    <s v="C1254"/>
    <s v="Anjali"/>
    <s v="Jaipur"/>
    <s v="Rajasthan"/>
    <x v="2"/>
    <s v="P043"/>
    <s v="Mobile 43"/>
    <x v="1"/>
    <s v="Mobile"/>
    <n v="4"/>
    <n v="64693"/>
    <n v="20"/>
    <n v="207017.60000000001"/>
    <n v="188303.81"/>
    <n v="18713.79"/>
    <s v="Cash"/>
    <s v="Online"/>
    <s v="Cancelled"/>
    <n v="4"/>
    <s v="Yes"/>
  </r>
  <r>
    <s v="ORD0452"/>
    <x v="146"/>
    <s v="C1007"/>
    <s v="Rohit"/>
    <s v="Jaipur"/>
    <s v="Rajasthan"/>
    <x v="2"/>
    <s v="P019"/>
    <s v="Laptop 19"/>
    <x v="1"/>
    <s v="Laptop"/>
    <n v="1"/>
    <n v="72703"/>
    <n v="0"/>
    <n v="72703"/>
    <n v="44409.16"/>
    <n v="28293.84"/>
    <s v="Card"/>
    <s v="Online"/>
    <s v="Cancelled"/>
    <n v="1"/>
    <s v="No"/>
  </r>
  <r>
    <s v="ORD0453"/>
    <x v="18"/>
    <s v="C1178"/>
    <s v="Anjali"/>
    <s v="Mumbai"/>
    <s v="Maharashtra"/>
    <x v="0"/>
    <s v="P092"/>
    <s v="Laptop 92"/>
    <x v="1"/>
    <s v="Laptop"/>
    <n v="4"/>
    <n v="6157"/>
    <n v="10"/>
    <n v="22165.200000000001"/>
    <n v="16065.75"/>
    <n v="6099.45"/>
    <s v="Cash"/>
    <s v="Offline"/>
    <s v="Cancelled"/>
    <n v="5"/>
    <s v="No"/>
  </r>
  <r>
    <s v="ORD0454"/>
    <x v="70"/>
    <s v="C1201"/>
    <s v="Lakshay"/>
    <s v="Delhi"/>
    <s v="Delhi"/>
    <x v="2"/>
    <s v="P092"/>
    <s v="Laptop 92"/>
    <x v="1"/>
    <s v="Laptop"/>
    <n v="3"/>
    <n v="68479"/>
    <n v="15"/>
    <n v="174621.45"/>
    <n v="129717.15"/>
    <n v="44904.3"/>
    <s v="Card"/>
    <s v="Online"/>
    <s v="Cancelled"/>
    <n v="2"/>
    <s v="No"/>
  </r>
  <r>
    <s v="ORD0455"/>
    <x v="46"/>
    <s v="C1107"/>
    <s v="Rahul"/>
    <s v="Jaipur"/>
    <s v="Rajasthan"/>
    <x v="2"/>
    <s v="P092"/>
    <s v="Laptop 92"/>
    <x v="1"/>
    <s v="Laptop"/>
    <n v="1"/>
    <n v="46653"/>
    <n v="5"/>
    <n v="44320.35"/>
    <n v="29679.3"/>
    <n v="14641.05"/>
    <s v="Card"/>
    <s v="Offline"/>
    <s v="Pending"/>
    <n v="4"/>
    <s v="No"/>
  </r>
  <r>
    <s v="ORD0456"/>
    <x v="137"/>
    <s v="C1200"/>
    <s v="Rahul"/>
    <s v="Pune"/>
    <s v="Maharashtra"/>
    <x v="0"/>
    <s v="P089"/>
    <s v="Laptop 89"/>
    <x v="1"/>
    <s v="Laptop"/>
    <n v="2"/>
    <n v="41895"/>
    <n v="20"/>
    <n v="67032"/>
    <n v="67311.399999999994"/>
    <n v="-279.39999999999998"/>
    <s v="Cash"/>
    <s v="Online"/>
    <s v="Pending"/>
    <n v="5"/>
    <s v="No"/>
  </r>
  <r>
    <s v="ORD0457"/>
    <x v="164"/>
    <s v="C1118"/>
    <s v="Sneha"/>
    <s v="Chennai"/>
    <s v="Tamil Nadu"/>
    <x v="1"/>
    <s v="P055"/>
    <s v="Chair 55"/>
    <x v="2"/>
    <s v="Chair"/>
    <n v="2"/>
    <n v="20934"/>
    <n v="20"/>
    <n v="33494.400000000001"/>
    <n v="27306.1"/>
    <n v="6188.3"/>
    <s v="Cash"/>
    <s v="Offline"/>
    <s v="Cancelled"/>
    <n v="2"/>
    <s v="No"/>
  </r>
  <r>
    <s v="ORD0458"/>
    <x v="116"/>
    <s v="C1011"/>
    <s v="Sneha"/>
    <s v="Chennai"/>
    <s v="Tamil Nadu"/>
    <x v="1"/>
    <s v="P068"/>
    <s v="Mobile 68"/>
    <x v="1"/>
    <s v="Mobile"/>
    <n v="5"/>
    <n v="38658"/>
    <n v="0"/>
    <n v="193290"/>
    <n v="157644.66"/>
    <n v="35645.339999999997"/>
    <s v="Cash"/>
    <s v="Offline"/>
    <s v="Delivered"/>
    <n v="3"/>
    <s v="No"/>
  </r>
  <r>
    <s v="ORD0459"/>
    <x v="22"/>
    <s v="C1142"/>
    <s v="Sneha"/>
    <s v="Bengaluru"/>
    <s v="Karnataka"/>
    <x v="1"/>
    <s v="P015"/>
    <s v="Table 15"/>
    <x v="2"/>
    <s v="Table"/>
    <n v="3"/>
    <n v="75459"/>
    <n v="0"/>
    <n v="226377"/>
    <n v="151656.26"/>
    <n v="74720.740000000005"/>
    <s v="Cash"/>
    <s v="Offline"/>
    <s v="Delivered"/>
    <n v="5"/>
    <s v="Yes"/>
  </r>
  <r>
    <s v="ORD0460"/>
    <x v="98"/>
    <s v="C1069"/>
    <s v="Sneha"/>
    <s v="Chennai"/>
    <s v="Tamil Nadu"/>
    <x v="1"/>
    <s v="P019"/>
    <s v="Laptop 19"/>
    <x v="1"/>
    <s v="Laptop"/>
    <n v="5"/>
    <n v="73085"/>
    <n v="20"/>
    <n v="292340"/>
    <n v="218707.45"/>
    <n v="73632.55"/>
    <s v="Cash"/>
    <s v="Online"/>
    <s v="Cancelled"/>
    <n v="4"/>
    <s v="Yes"/>
  </r>
  <r>
    <s v="ORD0461"/>
    <x v="73"/>
    <s v="C1154"/>
    <s v="Rohit"/>
    <s v="Kolkata"/>
    <s v="West Bengal"/>
    <x v="3"/>
    <s v="P002"/>
    <s v="Laptop 2"/>
    <x v="1"/>
    <s v="Laptop"/>
    <n v="5"/>
    <n v="52944"/>
    <n v="10"/>
    <n v="238248"/>
    <n v="199398.2"/>
    <n v="38849.800000000003"/>
    <s v="Card"/>
    <s v="Offline"/>
    <s v="Cancelled"/>
    <n v="3"/>
    <s v="Yes"/>
  </r>
  <r>
    <s v="ORD0462"/>
    <x v="85"/>
    <s v="C1075"/>
    <s v="Vikas"/>
    <s v="Bengaluru"/>
    <s v="Karnataka"/>
    <x v="1"/>
    <s v="P006"/>
    <s v="Mobile 6"/>
    <x v="1"/>
    <s v="Mobile"/>
    <n v="2"/>
    <n v="35306"/>
    <n v="10"/>
    <n v="63550.8"/>
    <n v="49255.01"/>
    <n v="14295.79"/>
    <s v="UPI"/>
    <s v="Online"/>
    <s v="Delivered"/>
    <n v="1"/>
    <s v="No"/>
  </r>
  <r>
    <s v="ORD0463"/>
    <x v="133"/>
    <s v="C1240"/>
    <s v="Lakshay"/>
    <s v="Delhi"/>
    <s v="Delhi"/>
    <x v="2"/>
    <s v="P018"/>
    <s v="Laptop 18"/>
    <x v="1"/>
    <s v="Laptop"/>
    <n v="4"/>
    <n v="78444"/>
    <n v="10"/>
    <n v="282398.40000000002"/>
    <n v="220210.44"/>
    <n v="62187.96"/>
    <s v="Card"/>
    <s v="Online"/>
    <s v="Delivered"/>
    <n v="4"/>
    <s v="No"/>
  </r>
  <r>
    <s v="ORD0464"/>
    <x v="3"/>
    <s v="C1036"/>
    <s v="Neha"/>
    <s v="Delhi"/>
    <s v="Delhi"/>
    <x v="2"/>
    <s v="P033"/>
    <s v="Mixer 33"/>
    <x v="3"/>
    <s v="Mixer"/>
    <n v="5"/>
    <n v="58668"/>
    <n v="20"/>
    <n v="234672"/>
    <n v="228881.22"/>
    <n v="5790.78"/>
    <s v="Cash"/>
    <s v="Online"/>
    <s v="Pending"/>
    <n v="1"/>
    <s v="No"/>
  </r>
  <r>
    <s v="ORD0465"/>
    <x v="72"/>
    <s v="C1098"/>
    <s v="Vikas"/>
    <s v="Pune"/>
    <s v="Maharashtra"/>
    <x v="0"/>
    <s v="P009"/>
    <s v="Laptop 9"/>
    <x v="1"/>
    <s v="Laptop"/>
    <n v="2"/>
    <n v="55261"/>
    <n v="5"/>
    <n v="104995.9"/>
    <n v="76101.179999999993"/>
    <n v="28894.720000000001"/>
    <s v="UPI"/>
    <s v="Offline"/>
    <s v="Cancelled"/>
    <n v="4"/>
    <s v="No"/>
  </r>
  <r>
    <s v="ORD0466"/>
    <x v="147"/>
    <s v="C1106"/>
    <s v="Vikas"/>
    <s v="Chennai"/>
    <s v="Tamil Nadu"/>
    <x v="1"/>
    <s v="P040"/>
    <s v="Chair 40"/>
    <x v="2"/>
    <s v="Chair"/>
    <n v="2"/>
    <n v="42978"/>
    <n v="10"/>
    <n v="77360.399999999994"/>
    <n v="56463.91"/>
    <n v="20896.490000000002"/>
    <s v="Card"/>
    <s v="Online"/>
    <s v="Cancelled"/>
    <n v="3"/>
    <s v="No"/>
  </r>
  <r>
    <s v="ORD0467"/>
    <x v="23"/>
    <s v="C1256"/>
    <s v="Rahul"/>
    <s v="Delhi"/>
    <s v="Delhi"/>
    <x v="2"/>
    <s v="P006"/>
    <s v="Mobile 6"/>
    <x v="1"/>
    <s v="Mobile"/>
    <n v="1"/>
    <n v="49364"/>
    <n v="10"/>
    <n v="44427.6"/>
    <n v="29883.8"/>
    <n v="14543.8"/>
    <s v="Cash"/>
    <s v="Offline"/>
    <s v="Pending"/>
    <n v="1"/>
    <s v="No"/>
  </r>
  <r>
    <s v="ORD0468"/>
    <x v="20"/>
    <s v="C1274"/>
    <s v="Aman"/>
    <s v="Delhi"/>
    <s v="Delhi"/>
    <x v="2"/>
    <s v="P098"/>
    <s v="Mobile 98"/>
    <x v="1"/>
    <s v="Mobile"/>
    <n v="4"/>
    <n v="31991"/>
    <n v="15"/>
    <n v="108769.4"/>
    <n v="71706.91"/>
    <n v="37062.49"/>
    <s v="UPI"/>
    <s v="Offline"/>
    <s v="Cancelled"/>
    <n v="2"/>
    <s v="Yes"/>
  </r>
  <r>
    <s v="ORD0469"/>
    <x v="34"/>
    <s v="C1252"/>
    <s v="Vikas"/>
    <s v="Delhi"/>
    <s v="Delhi"/>
    <x v="2"/>
    <s v="P014"/>
    <s v="Mixer 14"/>
    <x v="3"/>
    <s v="Mixer"/>
    <n v="1"/>
    <n v="20798"/>
    <n v="0"/>
    <n v="20798"/>
    <n v="17363.62"/>
    <n v="3434.38"/>
    <s v="UPI"/>
    <s v="Online"/>
    <s v="Cancelled"/>
    <n v="2"/>
    <s v="Yes"/>
  </r>
  <r>
    <s v="ORD0470"/>
    <x v="127"/>
    <s v="C1286"/>
    <s v="Rahul"/>
    <s v="Kolkata"/>
    <s v="West Bengal"/>
    <x v="3"/>
    <s v="P056"/>
    <s v="Shoes 56"/>
    <x v="0"/>
    <s v="Shoes"/>
    <n v="3"/>
    <n v="6540"/>
    <n v="20"/>
    <n v="15696"/>
    <n v="11169.67"/>
    <n v="4526.33"/>
    <s v="Cash"/>
    <s v="Online"/>
    <s v="Pending"/>
    <n v="1"/>
    <s v="No"/>
  </r>
  <r>
    <s v="ORD0471"/>
    <x v="98"/>
    <s v="C1074"/>
    <s v="Lakshay"/>
    <s v="Kolkata"/>
    <s v="West Bengal"/>
    <x v="3"/>
    <s v="P008"/>
    <s v="Shoes 8"/>
    <x v="0"/>
    <s v="Shoes"/>
    <n v="2"/>
    <n v="55928"/>
    <n v="20"/>
    <n v="89484.800000000003"/>
    <n v="66124.3"/>
    <n v="23360.5"/>
    <s v="Cash"/>
    <s v="Offline"/>
    <s v="Delivered"/>
    <n v="5"/>
    <s v="Yes"/>
  </r>
  <r>
    <s v="ORD0472"/>
    <x v="133"/>
    <s v="C1038"/>
    <s v="Vikas"/>
    <s v="Jaipur"/>
    <s v="Rajasthan"/>
    <x v="2"/>
    <s v="P038"/>
    <s v="Mobile 38"/>
    <x v="1"/>
    <s v="Mobile"/>
    <n v="5"/>
    <n v="18352"/>
    <n v="0"/>
    <n v="91760"/>
    <n v="72232.61"/>
    <n v="19527.39"/>
    <s v="UPI"/>
    <s v="Online"/>
    <s v="Cancelled"/>
    <n v="2"/>
    <s v="No"/>
  </r>
  <r>
    <s v="ORD0473"/>
    <x v="81"/>
    <s v="C1193"/>
    <s v="Neha"/>
    <s v="Kolkata"/>
    <s v="West Bengal"/>
    <x v="3"/>
    <s v="P041"/>
    <s v="Table 41"/>
    <x v="2"/>
    <s v="Table"/>
    <n v="1"/>
    <n v="48909"/>
    <n v="15"/>
    <n v="41572.65"/>
    <n v="40115.83"/>
    <n v="1456.82"/>
    <s v="UPI"/>
    <s v="Online"/>
    <s v="Pending"/>
    <n v="1"/>
    <s v="Yes"/>
  </r>
  <r>
    <s v="ORD0474"/>
    <x v="22"/>
    <s v="C1032"/>
    <s v="Karan"/>
    <s v="Bengaluru"/>
    <s v="Karnataka"/>
    <x v="1"/>
    <s v="P027"/>
    <s v="Chair 27"/>
    <x v="2"/>
    <s v="Chair"/>
    <n v="1"/>
    <n v="18618"/>
    <n v="10"/>
    <n v="16756.2"/>
    <n v="14402.6"/>
    <n v="2353.6"/>
    <s v="Card"/>
    <s v="Offline"/>
    <s v="Cancelled"/>
    <n v="5"/>
    <s v="Yes"/>
  </r>
  <r>
    <s v="ORD0475"/>
    <x v="21"/>
    <s v="C1100"/>
    <s v="Priya"/>
    <s v="Delhi"/>
    <s v="Delhi"/>
    <x v="2"/>
    <s v="P047"/>
    <s v="Table 47"/>
    <x v="2"/>
    <s v="Table"/>
    <n v="5"/>
    <n v="9201"/>
    <n v="0"/>
    <n v="46005"/>
    <n v="29988.54"/>
    <n v="16016.46"/>
    <s v="Cash"/>
    <s v="Online"/>
    <s v="Cancelled"/>
    <n v="4"/>
    <s v="No"/>
  </r>
  <r>
    <s v="ORD0476"/>
    <x v="48"/>
    <s v="C1274"/>
    <s v="Rahul"/>
    <s v="Delhi"/>
    <s v="Delhi"/>
    <x v="2"/>
    <s v="P086"/>
    <s v="Mobile 86"/>
    <x v="1"/>
    <s v="Mobile"/>
    <n v="2"/>
    <n v="63282"/>
    <n v="0"/>
    <n v="126564"/>
    <n v="80352.95"/>
    <n v="46211.05"/>
    <s v="UPI"/>
    <s v="Offline"/>
    <s v="Pending"/>
    <n v="3"/>
    <s v="No"/>
  </r>
  <r>
    <s v="ORD0477"/>
    <x v="81"/>
    <s v="C1178"/>
    <s v="Sneha"/>
    <s v="Mumbai"/>
    <s v="Maharashtra"/>
    <x v="0"/>
    <s v="P028"/>
    <s v="Shoes 28"/>
    <x v="0"/>
    <s v="Shoes"/>
    <n v="1"/>
    <n v="15618"/>
    <n v="5"/>
    <n v="14837.1"/>
    <n v="9404.1299999999992"/>
    <n v="5432.97"/>
    <s v="Cash"/>
    <s v="Offline"/>
    <s v="Cancelled"/>
    <n v="5"/>
    <s v="No"/>
  </r>
  <r>
    <s v="ORD0478"/>
    <x v="52"/>
    <s v="C1035"/>
    <s v="Vikas"/>
    <s v="Chennai"/>
    <s v="Tamil Nadu"/>
    <x v="1"/>
    <s v="P098"/>
    <s v="Mobile 98"/>
    <x v="1"/>
    <s v="Mobile"/>
    <n v="2"/>
    <n v="16096"/>
    <n v="20"/>
    <n v="25753.599999999999"/>
    <n v="20050.28"/>
    <n v="5703.32"/>
    <s v="Card"/>
    <s v="Offline"/>
    <s v="Pending"/>
    <n v="1"/>
    <s v="Yes"/>
  </r>
  <r>
    <s v="ORD0479"/>
    <x v="154"/>
    <s v="C1022"/>
    <s v="Neha"/>
    <s v="Mumbai"/>
    <s v="Maharashtra"/>
    <x v="0"/>
    <s v="P055"/>
    <s v="Chair 55"/>
    <x v="2"/>
    <s v="Chair"/>
    <n v="4"/>
    <n v="33705"/>
    <n v="15"/>
    <n v="114597"/>
    <n v="81173.53"/>
    <n v="33423.47"/>
    <s v="UPI"/>
    <s v="Online"/>
    <s v="Delivered"/>
    <n v="1"/>
    <s v="Yes"/>
  </r>
  <r>
    <s v="ORD0480"/>
    <x v="17"/>
    <s v="C1033"/>
    <s v="Rahul"/>
    <s v="Kolkata"/>
    <s v="West Bengal"/>
    <x v="3"/>
    <s v="P052"/>
    <s v="Laptop 52"/>
    <x v="1"/>
    <s v="Laptop"/>
    <n v="4"/>
    <n v="58068"/>
    <n v="20"/>
    <n v="185817.60000000001"/>
    <n v="191581.8"/>
    <n v="-5764.2"/>
    <s v="UPI"/>
    <s v="Offline"/>
    <s v="Delivered"/>
    <n v="2"/>
    <s v="Yes"/>
  </r>
  <r>
    <s v="ORD0481"/>
    <x v="165"/>
    <s v="C1056"/>
    <s v="Vikas"/>
    <s v="Delhi"/>
    <s v="Delhi"/>
    <x v="2"/>
    <s v="P057"/>
    <s v="Shoes 57"/>
    <x v="0"/>
    <s v="Shoes"/>
    <n v="1"/>
    <n v="25450"/>
    <n v="20"/>
    <n v="20360"/>
    <n v="20163.34"/>
    <n v="196.66"/>
    <s v="Cash"/>
    <s v="Offline"/>
    <s v="Cancelled"/>
    <n v="5"/>
    <s v="Yes"/>
  </r>
  <r>
    <s v="ORD0482"/>
    <x v="144"/>
    <s v="C1256"/>
    <s v="Neha"/>
    <s v="Delhi"/>
    <s v="Delhi"/>
    <x v="2"/>
    <s v="P086"/>
    <s v="Mobile 86"/>
    <x v="1"/>
    <s v="Mobile"/>
    <n v="5"/>
    <n v="42797"/>
    <n v="10"/>
    <n v="192586.5"/>
    <n v="123725.79"/>
    <n v="68860.710000000006"/>
    <s v="UPI"/>
    <s v="Offline"/>
    <s v="Delivered"/>
    <n v="5"/>
    <s v="No"/>
  </r>
  <r>
    <s v="ORD0483"/>
    <x v="53"/>
    <s v="C1251"/>
    <s v="Neha"/>
    <s v="Pune"/>
    <s v="Maharashtra"/>
    <x v="0"/>
    <s v="P004"/>
    <s v="Mixer 4"/>
    <x v="3"/>
    <s v="Mixer"/>
    <n v="3"/>
    <n v="66204"/>
    <n v="5"/>
    <n v="188681.4"/>
    <n v="140634.34"/>
    <n v="48047.06"/>
    <s v="Card"/>
    <s v="Offline"/>
    <s v="Delivered"/>
    <n v="3"/>
    <s v="No"/>
  </r>
  <r>
    <s v="ORD0484"/>
    <x v="120"/>
    <s v="C1081"/>
    <s v="Aman"/>
    <s v="Delhi"/>
    <s v="Delhi"/>
    <x v="2"/>
    <s v="P063"/>
    <s v="Shoes 63"/>
    <x v="0"/>
    <s v="Shoes"/>
    <n v="2"/>
    <n v="29512"/>
    <n v="20"/>
    <n v="47219.199999999997"/>
    <n v="41669.47"/>
    <n v="5549.73"/>
    <s v="Card"/>
    <s v="Offline"/>
    <s v="Cancelled"/>
    <n v="1"/>
    <s v="Yes"/>
  </r>
  <r>
    <s v="ORD0485"/>
    <x v="166"/>
    <s v="C1024"/>
    <s v="Sneha"/>
    <s v="Pune"/>
    <s v="Maharashtra"/>
    <x v="0"/>
    <s v="P048"/>
    <s v="Shoes 48"/>
    <x v="0"/>
    <s v="Shoes"/>
    <n v="3"/>
    <n v="27463"/>
    <n v="0"/>
    <n v="82389"/>
    <n v="48405.440000000002"/>
    <n v="33983.56"/>
    <s v="Cash"/>
    <s v="Online"/>
    <s v="Pending"/>
    <n v="2"/>
    <s v="Yes"/>
  </r>
  <r>
    <s v="ORD0486"/>
    <x v="78"/>
    <s v="C1063"/>
    <s v="Priya"/>
    <s v="Pune"/>
    <s v="Maharashtra"/>
    <x v="0"/>
    <s v="P027"/>
    <s v="Chair 27"/>
    <x v="2"/>
    <s v="Chair"/>
    <n v="3"/>
    <n v="77591"/>
    <n v="5"/>
    <n v="221134.35"/>
    <n v="155636.38"/>
    <n v="65497.97"/>
    <s v="UPI"/>
    <s v="Offline"/>
    <s v="Cancelled"/>
    <n v="3"/>
    <s v="Yes"/>
  </r>
  <r>
    <s v="ORD0487"/>
    <x v="165"/>
    <s v="C1090"/>
    <s v="Anjali"/>
    <s v="Chennai"/>
    <s v="Tamil Nadu"/>
    <x v="1"/>
    <s v="P032"/>
    <s v="Chair 32"/>
    <x v="2"/>
    <s v="Chair"/>
    <n v="2"/>
    <n v="79636"/>
    <n v="20"/>
    <n v="127417.60000000001"/>
    <n v="133928.66"/>
    <n v="-6511.06"/>
    <s v="Card"/>
    <s v="Online"/>
    <s v="Cancelled"/>
    <n v="4"/>
    <s v="Yes"/>
  </r>
  <r>
    <s v="ORD0488"/>
    <x v="167"/>
    <s v="C1187"/>
    <s v="Vikas"/>
    <s v="Bengaluru"/>
    <s v="Karnataka"/>
    <x v="1"/>
    <s v="P097"/>
    <s v="Mobile 97"/>
    <x v="1"/>
    <s v="Mobile"/>
    <n v="5"/>
    <n v="74528"/>
    <n v="15"/>
    <n v="316744"/>
    <n v="255632.21"/>
    <n v="61111.79"/>
    <s v="UPI"/>
    <s v="Offline"/>
    <s v="Pending"/>
    <n v="1"/>
    <s v="No"/>
  </r>
  <r>
    <s v="ORD0489"/>
    <x v="115"/>
    <s v="C1168"/>
    <s v="Neha"/>
    <s v="Mumbai"/>
    <s v="Maharashtra"/>
    <x v="0"/>
    <s v="P042"/>
    <s v="Table 42"/>
    <x v="2"/>
    <s v="Table"/>
    <n v="2"/>
    <n v="26704"/>
    <n v="15"/>
    <n v="45396.800000000003"/>
    <n v="32440.42"/>
    <n v="12956.38"/>
    <s v="UPI"/>
    <s v="Offline"/>
    <s v="Delivered"/>
    <n v="1"/>
    <s v="No"/>
  </r>
  <r>
    <s v="ORD0490"/>
    <x v="7"/>
    <s v="C1046"/>
    <s v="Priya"/>
    <s v="Bengaluru"/>
    <s v="Karnataka"/>
    <x v="1"/>
    <s v="P071"/>
    <s v="Mobile 71"/>
    <x v="1"/>
    <s v="Mobile"/>
    <n v="5"/>
    <n v="57286"/>
    <n v="20"/>
    <n v="229144"/>
    <n v="210801.41"/>
    <n v="18342.59"/>
    <s v="UPI"/>
    <s v="Online"/>
    <s v="Pending"/>
    <n v="4"/>
    <s v="No"/>
  </r>
  <r>
    <s v="ORD0491"/>
    <x v="66"/>
    <s v="C1085"/>
    <s v="Rohit"/>
    <s v="Chennai"/>
    <s v="Tamil Nadu"/>
    <x v="1"/>
    <s v="P012"/>
    <s v="Table 12"/>
    <x v="2"/>
    <s v="Table"/>
    <n v="5"/>
    <n v="34046"/>
    <n v="5"/>
    <n v="161718.5"/>
    <n v="127019.93"/>
    <n v="34698.57"/>
    <s v="UPI"/>
    <s v="Offline"/>
    <s v="Pending"/>
    <n v="1"/>
    <s v="Yes"/>
  </r>
  <r>
    <s v="ORD0492"/>
    <x v="66"/>
    <s v="C1072"/>
    <s v="Vikas"/>
    <s v="Jaipur"/>
    <s v="Rajasthan"/>
    <x v="2"/>
    <s v="P002"/>
    <s v="Laptop 2"/>
    <x v="1"/>
    <s v="Laptop"/>
    <n v="1"/>
    <n v="21756"/>
    <n v="0"/>
    <n v="21756"/>
    <n v="12981.41"/>
    <n v="8774.59"/>
    <s v="Cash"/>
    <s v="Offline"/>
    <s v="Cancelled"/>
    <n v="1"/>
    <s v="No"/>
  </r>
  <r>
    <s v="ORD0493"/>
    <x v="117"/>
    <s v="C1207"/>
    <s v="Lakshay"/>
    <s v="Pune"/>
    <s v="Maharashtra"/>
    <x v="0"/>
    <s v="P021"/>
    <s v="Mobile 21"/>
    <x v="1"/>
    <s v="Mobile"/>
    <n v="3"/>
    <n v="56406"/>
    <n v="10"/>
    <n v="152296.20000000001"/>
    <n v="124813.85"/>
    <n v="27482.35"/>
    <s v="UPI"/>
    <s v="Online"/>
    <s v="Delivered"/>
    <n v="1"/>
    <s v="No"/>
  </r>
  <r>
    <s v="ORD0494"/>
    <x v="15"/>
    <s v="C1019"/>
    <s v="Anjali"/>
    <s v="Pune"/>
    <s v="Maharashtra"/>
    <x v="0"/>
    <s v="P016"/>
    <s v="Chair 16"/>
    <x v="2"/>
    <s v="Chair"/>
    <n v="3"/>
    <n v="13862"/>
    <n v="10"/>
    <n v="37427.4"/>
    <n v="26401.5"/>
    <n v="11025.9"/>
    <s v="Cash"/>
    <s v="Online"/>
    <s v="Delivered"/>
    <n v="3"/>
    <s v="No"/>
  </r>
  <r>
    <s v="ORD0495"/>
    <x v="45"/>
    <s v="C1239"/>
    <s v="Lakshay"/>
    <s v="Bengaluru"/>
    <s v="Karnataka"/>
    <x v="1"/>
    <s v="P018"/>
    <s v="Laptop 18"/>
    <x v="1"/>
    <s v="Laptop"/>
    <n v="5"/>
    <n v="2600"/>
    <n v="5"/>
    <n v="12350"/>
    <n v="7915.99"/>
    <n v="4434.01"/>
    <s v="UPI"/>
    <s v="Offline"/>
    <s v="Pending"/>
    <n v="5"/>
    <s v="Yes"/>
  </r>
  <r>
    <s v="ORD0496"/>
    <x v="113"/>
    <s v="C1205"/>
    <s v="Rahul"/>
    <s v="Bengaluru"/>
    <s v="Karnataka"/>
    <x v="1"/>
    <s v="P051"/>
    <s v="Shoes 51"/>
    <x v="0"/>
    <s v="Shoes"/>
    <n v="5"/>
    <n v="44829"/>
    <n v="20"/>
    <n v="179316"/>
    <n v="151642.82999999999"/>
    <n v="27673.17"/>
    <s v="UPI"/>
    <s v="Online"/>
    <s v="Cancelled"/>
    <n v="5"/>
    <s v="No"/>
  </r>
  <r>
    <s v="ORD0497"/>
    <x v="159"/>
    <s v="C1174"/>
    <s v="Aman"/>
    <s v="Chennai"/>
    <s v="Tamil Nadu"/>
    <x v="1"/>
    <s v="P077"/>
    <s v="Table 77"/>
    <x v="2"/>
    <s v="Table"/>
    <n v="5"/>
    <n v="15682"/>
    <n v="0"/>
    <n v="78410"/>
    <n v="57713.59"/>
    <n v="20696.41"/>
    <s v="UPI"/>
    <s v="Offline"/>
    <s v="Pending"/>
    <n v="4"/>
    <s v="Yes"/>
  </r>
  <r>
    <s v="ORD0498"/>
    <x v="106"/>
    <s v="C1111"/>
    <s v="Karan"/>
    <s v="Mumbai"/>
    <s v="Maharashtra"/>
    <x v="0"/>
    <s v="P002"/>
    <s v="Laptop 2"/>
    <x v="1"/>
    <s v="Laptop"/>
    <n v="2"/>
    <n v="6958"/>
    <n v="15"/>
    <n v="11828.6"/>
    <n v="10214.33"/>
    <n v="1614.27"/>
    <s v="UPI"/>
    <s v="Online"/>
    <s v="Cancelled"/>
    <n v="4"/>
    <s v="No"/>
  </r>
  <r>
    <s v="ORD0499"/>
    <x v="127"/>
    <s v="C1052"/>
    <s v="Rahul"/>
    <s v="Bengaluru"/>
    <s v="Karnataka"/>
    <x v="1"/>
    <s v="P091"/>
    <s v="Laptop 91"/>
    <x v="1"/>
    <s v="Laptop"/>
    <n v="2"/>
    <n v="1087"/>
    <n v="5"/>
    <n v="2065.3000000000002"/>
    <n v="1291.6300000000001"/>
    <n v="773.67"/>
    <s v="UPI"/>
    <s v="Online"/>
    <s v="Delivered"/>
    <n v="1"/>
    <s v="Yes"/>
  </r>
  <r>
    <s v="ORD0500"/>
    <x v="26"/>
    <s v="C1152"/>
    <s v="Rahul"/>
    <s v="Delhi"/>
    <s v="Delhi"/>
    <x v="2"/>
    <s v="P051"/>
    <s v="Shoes 51"/>
    <x v="0"/>
    <s v="Shoes"/>
    <n v="1"/>
    <n v="73342"/>
    <n v="0"/>
    <n v="73342"/>
    <n v="59181.33"/>
    <n v="14160.67"/>
    <s v="Card"/>
    <s v="Online"/>
    <s v="Cancelled"/>
    <n v="4"/>
    <s v="Yes"/>
  </r>
  <r>
    <s v="ORD0501"/>
    <x v="23"/>
    <s v="C1155"/>
    <s v="Rohit"/>
    <s v="Mumbai"/>
    <s v="Maharashtra"/>
    <x v="0"/>
    <s v="P033"/>
    <s v="Mixer 33"/>
    <x v="3"/>
    <s v="Mixer"/>
    <n v="4"/>
    <n v="74501"/>
    <n v="10"/>
    <n v="268203.59999999998"/>
    <n v="175231.24"/>
    <n v="92972.36"/>
    <s v="Card"/>
    <s v="Offline"/>
    <s v="Cancelled"/>
    <n v="4"/>
    <s v="No"/>
  </r>
  <r>
    <s v="ORD0502"/>
    <x v="160"/>
    <s v="C1154"/>
    <s v="Lakshay"/>
    <s v="Bengaluru"/>
    <s v="Karnataka"/>
    <x v="1"/>
    <s v="P016"/>
    <s v="Chair 16"/>
    <x v="2"/>
    <s v="Chair"/>
    <n v="2"/>
    <n v="30834"/>
    <n v="5"/>
    <n v="58584.6"/>
    <n v="44708.800000000003"/>
    <n v="13875.8"/>
    <s v="UPI"/>
    <s v="Offline"/>
    <s v="Pending"/>
    <n v="2"/>
    <s v="Yes"/>
  </r>
  <r>
    <s v="ORD0503"/>
    <x v="11"/>
    <s v="C1030"/>
    <s v="Rohit"/>
    <s v="Chennai"/>
    <s v="Tamil Nadu"/>
    <x v="1"/>
    <s v="P009"/>
    <s v="Laptop 9"/>
    <x v="1"/>
    <s v="Laptop"/>
    <n v="3"/>
    <n v="59481"/>
    <n v="5"/>
    <n v="169520.85"/>
    <n v="142355.98000000001"/>
    <n v="27164.87"/>
    <s v="Card"/>
    <s v="Online"/>
    <s v="Pending"/>
    <n v="3"/>
    <s v="No"/>
  </r>
  <r>
    <s v="ORD0504"/>
    <x v="101"/>
    <s v="C1145"/>
    <s v="Aman"/>
    <s v="Chennai"/>
    <s v="Tamil Nadu"/>
    <x v="1"/>
    <s v="P009"/>
    <s v="Laptop 9"/>
    <x v="1"/>
    <s v="Laptop"/>
    <n v="3"/>
    <n v="12315"/>
    <n v="0"/>
    <n v="36945"/>
    <n v="31302.9"/>
    <n v="5642.1"/>
    <s v="UPI"/>
    <s v="Offline"/>
    <s v="Delivered"/>
    <n v="4"/>
    <s v="Yes"/>
  </r>
  <r>
    <s v="ORD0505"/>
    <x v="93"/>
    <s v="C1020"/>
    <s v="Vikas"/>
    <s v="Mumbai"/>
    <s v="Maharashtra"/>
    <x v="0"/>
    <s v="P056"/>
    <s v="Shoes 56"/>
    <x v="0"/>
    <s v="Shoes"/>
    <n v="5"/>
    <n v="3963"/>
    <n v="5"/>
    <n v="18824.25"/>
    <n v="14675.39"/>
    <n v="4148.8599999999997"/>
    <s v="Card"/>
    <s v="Offline"/>
    <s v="Cancelled"/>
    <n v="1"/>
    <s v="No"/>
  </r>
  <r>
    <s v="ORD0506"/>
    <x v="111"/>
    <s v="C1297"/>
    <s v="Sneha"/>
    <s v="Kolkata"/>
    <s v="West Bengal"/>
    <x v="3"/>
    <s v="P076"/>
    <s v="Mixer 76"/>
    <x v="3"/>
    <s v="Mixer"/>
    <n v="3"/>
    <n v="55636"/>
    <n v="10"/>
    <n v="150217.20000000001"/>
    <n v="133987.78"/>
    <n v="16229.42"/>
    <s v="Cash"/>
    <s v="Offline"/>
    <s v="Cancelled"/>
    <n v="3"/>
    <s v="No"/>
  </r>
  <r>
    <s v="ORD0507"/>
    <x v="124"/>
    <s v="C1163"/>
    <s v="Priya"/>
    <s v="Delhi"/>
    <s v="Delhi"/>
    <x v="2"/>
    <s v="P035"/>
    <s v="Table 35"/>
    <x v="2"/>
    <s v="Table"/>
    <n v="1"/>
    <n v="40238"/>
    <n v="10"/>
    <n v="36214.199999999997"/>
    <n v="22324.63"/>
    <n v="13889.57"/>
    <s v="UPI"/>
    <s v="Offline"/>
    <s v="Cancelled"/>
    <n v="3"/>
    <s v="No"/>
  </r>
  <r>
    <s v="ORD0508"/>
    <x v="146"/>
    <s v="C1041"/>
    <s v="Rahul"/>
    <s v="Bengaluru"/>
    <s v="Karnataka"/>
    <x v="1"/>
    <s v="P065"/>
    <s v="Mobile 65"/>
    <x v="1"/>
    <s v="Mobile"/>
    <n v="1"/>
    <n v="62750"/>
    <n v="0"/>
    <n v="62750"/>
    <n v="44902.67"/>
    <n v="17847.330000000002"/>
    <s v="Card"/>
    <s v="Online"/>
    <s v="Pending"/>
    <n v="1"/>
    <s v="Yes"/>
  </r>
  <r>
    <s v="ORD0509"/>
    <x v="28"/>
    <s v="C1286"/>
    <s v="Sneha"/>
    <s v="Kolkata"/>
    <s v="West Bengal"/>
    <x v="3"/>
    <s v="P079"/>
    <s v="Mobile 79"/>
    <x v="1"/>
    <s v="Mobile"/>
    <n v="5"/>
    <n v="69498"/>
    <n v="10"/>
    <n v="312741"/>
    <n v="222012.66"/>
    <n v="90728.34"/>
    <s v="UPI"/>
    <s v="Offline"/>
    <s v="Pending"/>
    <n v="5"/>
    <s v="No"/>
  </r>
  <r>
    <s v="ORD0510"/>
    <x v="156"/>
    <s v="C1188"/>
    <s v="Vikas"/>
    <s v="Chennai"/>
    <s v="Tamil Nadu"/>
    <x v="1"/>
    <s v="P012"/>
    <s v="Table 12"/>
    <x v="2"/>
    <s v="Table"/>
    <n v="5"/>
    <n v="1928"/>
    <n v="15"/>
    <n v="8194"/>
    <n v="8118.87"/>
    <n v="75.13"/>
    <s v="UPI"/>
    <s v="Offline"/>
    <s v="Cancelled"/>
    <n v="3"/>
    <s v="No"/>
  </r>
  <r>
    <s v="ORD0511"/>
    <x v="93"/>
    <s v="C1217"/>
    <s v="Priya"/>
    <s v="Pune"/>
    <s v="Maharashtra"/>
    <x v="0"/>
    <s v="P082"/>
    <s v="Mobile 82"/>
    <x v="1"/>
    <s v="Mobile"/>
    <n v="1"/>
    <n v="71072"/>
    <n v="20"/>
    <n v="56857.599999999999"/>
    <n v="44705.42"/>
    <n v="12152.18"/>
    <s v="UPI"/>
    <s v="Online"/>
    <s v="Delivered"/>
    <n v="5"/>
    <s v="Yes"/>
  </r>
  <r>
    <s v="ORD0512"/>
    <x v="168"/>
    <s v="C1042"/>
    <s v="Anjali"/>
    <s v="Bengaluru"/>
    <s v="Karnataka"/>
    <x v="1"/>
    <s v="P045"/>
    <s v="Chair 45"/>
    <x v="2"/>
    <s v="Chair"/>
    <n v="3"/>
    <n v="48635"/>
    <n v="10"/>
    <n v="131314.5"/>
    <n v="94223.6"/>
    <n v="37090.9"/>
    <s v="Card"/>
    <s v="Online"/>
    <s v="Cancelled"/>
    <n v="1"/>
    <s v="Yes"/>
  </r>
  <r>
    <s v="ORD0513"/>
    <x v="133"/>
    <s v="C1216"/>
    <s v="Sneha"/>
    <s v="Pune"/>
    <s v="Maharashtra"/>
    <x v="0"/>
    <s v="P012"/>
    <s v="Table 12"/>
    <x v="2"/>
    <s v="Table"/>
    <n v="5"/>
    <n v="12342"/>
    <n v="20"/>
    <n v="49368"/>
    <n v="43983.02"/>
    <n v="5384.98"/>
    <s v="UPI"/>
    <s v="Online"/>
    <s v="Pending"/>
    <n v="2"/>
    <s v="No"/>
  </r>
  <r>
    <s v="ORD0514"/>
    <x v="13"/>
    <s v="C1244"/>
    <s v="Neha"/>
    <s v="Jaipur"/>
    <s v="Rajasthan"/>
    <x v="2"/>
    <s v="P055"/>
    <s v="Chair 55"/>
    <x v="2"/>
    <s v="Chair"/>
    <n v="4"/>
    <n v="4723"/>
    <n v="15"/>
    <n v="16058.2"/>
    <n v="10571.87"/>
    <n v="5486.33"/>
    <s v="UPI"/>
    <s v="Offline"/>
    <s v="Pending"/>
    <n v="2"/>
    <s v="No"/>
  </r>
  <r>
    <s v="ORD0515"/>
    <x v="116"/>
    <s v="C1198"/>
    <s v="Priya"/>
    <s v="Mumbai"/>
    <s v="Maharashtra"/>
    <x v="0"/>
    <s v="P042"/>
    <s v="Table 42"/>
    <x v="2"/>
    <s v="Table"/>
    <n v="2"/>
    <n v="19373"/>
    <n v="0"/>
    <n v="38746"/>
    <n v="30613.94"/>
    <n v="8132.06"/>
    <s v="UPI"/>
    <s v="Offline"/>
    <s v="Pending"/>
    <n v="4"/>
    <s v="No"/>
  </r>
  <r>
    <s v="ORD0516"/>
    <x v="54"/>
    <s v="C1012"/>
    <s v="Rahul"/>
    <s v="Jaipur"/>
    <s v="Rajasthan"/>
    <x v="2"/>
    <s v="P027"/>
    <s v="Chair 27"/>
    <x v="2"/>
    <s v="Chair"/>
    <n v="1"/>
    <n v="75545"/>
    <n v="20"/>
    <n v="60436"/>
    <n v="63248.52"/>
    <n v="-2812.52"/>
    <s v="UPI"/>
    <s v="Offline"/>
    <s v="Cancelled"/>
    <n v="1"/>
    <s v="No"/>
  </r>
  <r>
    <s v="ORD0517"/>
    <x v="39"/>
    <s v="C1247"/>
    <s v="Anjali"/>
    <s v="Mumbai"/>
    <s v="Maharashtra"/>
    <x v="0"/>
    <s v="P084"/>
    <s v="Laptop 84"/>
    <x v="1"/>
    <s v="Laptop"/>
    <n v="5"/>
    <n v="32482"/>
    <n v="0"/>
    <n v="162410"/>
    <n v="97638.56"/>
    <n v="64771.44"/>
    <s v="Cash"/>
    <s v="Online"/>
    <s v="Delivered"/>
    <n v="2"/>
    <s v="Yes"/>
  </r>
  <r>
    <s v="ORD0518"/>
    <x v="43"/>
    <s v="C1034"/>
    <s v="Lakshay"/>
    <s v="Pune"/>
    <s v="Maharashtra"/>
    <x v="0"/>
    <s v="P018"/>
    <s v="Laptop 18"/>
    <x v="1"/>
    <s v="Laptop"/>
    <n v="2"/>
    <n v="62530"/>
    <n v="20"/>
    <n v="100048"/>
    <n v="101124.24"/>
    <n v="-1076.24"/>
    <s v="UPI"/>
    <s v="Offline"/>
    <s v="Cancelled"/>
    <n v="2"/>
    <s v="Yes"/>
  </r>
  <r>
    <s v="ORD0519"/>
    <x v="118"/>
    <s v="C1280"/>
    <s v="Rohit"/>
    <s v="Chennai"/>
    <s v="Tamil Nadu"/>
    <x v="1"/>
    <s v="P070"/>
    <s v="Laptop 70"/>
    <x v="1"/>
    <s v="Laptop"/>
    <n v="1"/>
    <n v="29222"/>
    <n v="15"/>
    <n v="24838.7"/>
    <n v="16789.41"/>
    <n v="8049.29"/>
    <s v="Cash"/>
    <s v="Offline"/>
    <s v="Cancelled"/>
    <n v="2"/>
    <s v="Yes"/>
  </r>
  <r>
    <s v="ORD0520"/>
    <x v="139"/>
    <s v="C1117"/>
    <s v="Sneha"/>
    <s v="Bengaluru"/>
    <s v="Karnataka"/>
    <x v="1"/>
    <s v="P058"/>
    <s v="Mobile 58"/>
    <x v="1"/>
    <s v="Mobile"/>
    <n v="2"/>
    <n v="41411"/>
    <n v="15"/>
    <n v="70398.7"/>
    <n v="56509.91"/>
    <n v="13888.79"/>
    <s v="Card"/>
    <s v="Online"/>
    <s v="Pending"/>
    <n v="1"/>
    <s v="Yes"/>
  </r>
  <r>
    <s v="ORD0521"/>
    <x v="106"/>
    <s v="C1027"/>
    <s v="Vikas"/>
    <s v="Jaipur"/>
    <s v="Rajasthan"/>
    <x v="2"/>
    <s v="P029"/>
    <s v="Mixer 29"/>
    <x v="3"/>
    <s v="Mixer"/>
    <n v="3"/>
    <n v="40787"/>
    <n v="5"/>
    <n v="116242.95"/>
    <n v="101475.64"/>
    <n v="14767.31"/>
    <s v="UPI"/>
    <s v="Online"/>
    <s v="Cancelled"/>
    <n v="4"/>
    <s v="No"/>
  </r>
  <r>
    <s v="ORD0522"/>
    <x v="53"/>
    <s v="C1061"/>
    <s v="Lakshay"/>
    <s v="Bengaluru"/>
    <s v="Karnataka"/>
    <x v="1"/>
    <s v="P010"/>
    <s v="Shoes 10"/>
    <x v="0"/>
    <s v="Shoes"/>
    <n v="4"/>
    <n v="46396"/>
    <n v="15"/>
    <n v="157746.4"/>
    <n v="132629.34"/>
    <n v="25117.06"/>
    <s v="UPI"/>
    <s v="Offline"/>
    <s v="Pending"/>
    <n v="1"/>
    <s v="Yes"/>
  </r>
  <r>
    <s v="ORD0523"/>
    <x v="95"/>
    <s v="C1282"/>
    <s v="Aman"/>
    <s v="Pune"/>
    <s v="Maharashtra"/>
    <x v="0"/>
    <s v="P009"/>
    <s v="Laptop 9"/>
    <x v="1"/>
    <s v="Laptop"/>
    <n v="1"/>
    <n v="62880"/>
    <n v="10"/>
    <n v="56592"/>
    <n v="43880.37"/>
    <n v="12711.63"/>
    <s v="Card"/>
    <s v="Online"/>
    <s v="Cancelled"/>
    <n v="5"/>
    <s v="Yes"/>
  </r>
  <r>
    <s v="ORD0524"/>
    <x v="86"/>
    <s v="C1208"/>
    <s v="Lakshay"/>
    <s v="Pune"/>
    <s v="Maharashtra"/>
    <x v="0"/>
    <s v="P034"/>
    <s v="Chair 34"/>
    <x v="2"/>
    <s v="Chair"/>
    <n v="1"/>
    <n v="42072"/>
    <n v="0"/>
    <n v="42072"/>
    <n v="24855.89"/>
    <n v="17216.11"/>
    <s v="Card"/>
    <s v="Offline"/>
    <s v="Pending"/>
    <n v="5"/>
    <s v="No"/>
  </r>
  <r>
    <s v="ORD0525"/>
    <x v="156"/>
    <s v="C1246"/>
    <s v="Priya"/>
    <s v="Bengaluru"/>
    <s v="Karnataka"/>
    <x v="1"/>
    <s v="P085"/>
    <s v="Chair 85"/>
    <x v="2"/>
    <s v="Chair"/>
    <n v="1"/>
    <n v="15765"/>
    <n v="15"/>
    <n v="13400.25"/>
    <n v="11597.36"/>
    <n v="1802.89"/>
    <s v="Cash"/>
    <s v="Offline"/>
    <s v="Cancelled"/>
    <n v="3"/>
    <s v="No"/>
  </r>
  <r>
    <s v="ORD0526"/>
    <x v="66"/>
    <s v="C1044"/>
    <s v="Neha"/>
    <s v="Mumbai"/>
    <s v="Maharashtra"/>
    <x v="0"/>
    <s v="P056"/>
    <s v="Shoes 56"/>
    <x v="0"/>
    <s v="Shoes"/>
    <n v="5"/>
    <n v="21708"/>
    <n v="10"/>
    <n v="97686"/>
    <n v="73954.460000000006"/>
    <n v="23731.54"/>
    <s v="Card"/>
    <s v="Offline"/>
    <s v="Cancelled"/>
    <n v="2"/>
    <s v="No"/>
  </r>
  <r>
    <s v="ORD0527"/>
    <x v="57"/>
    <s v="C1125"/>
    <s v="Priya"/>
    <s v="Delhi"/>
    <s v="Delhi"/>
    <x v="2"/>
    <s v="P035"/>
    <s v="Table 35"/>
    <x v="2"/>
    <s v="Table"/>
    <n v="4"/>
    <n v="12255"/>
    <n v="20"/>
    <n v="39216"/>
    <n v="33621.07"/>
    <n v="5594.93"/>
    <s v="Card"/>
    <s v="Offline"/>
    <s v="Delivered"/>
    <n v="3"/>
    <s v="No"/>
  </r>
  <r>
    <s v="ORD0528"/>
    <x v="1"/>
    <s v="C1042"/>
    <s v="Karan"/>
    <s v="Pune"/>
    <s v="Maharashtra"/>
    <x v="0"/>
    <s v="P034"/>
    <s v="Chair 34"/>
    <x v="2"/>
    <s v="Chair"/>
    <n v="3"/>
    <n v="2155"/>
    <n v="15"/>
    <n v="5495.25"/>
    <n v="4949.18"/>
    <n v="546.07000000000005"/>
    <s v="Cash"/>
    <s v="Offline"/>
    <s v="Delivered"/>
    <n v="4"/>
    <s v="Yes"/>
  </r>
  <r>
    <s v="ORD0529"/>
    <x v="115"/>
    <s v="C1031"/>
    <s v="Rahul"/>
    <s v="Chennai"/>
    <s v="Tamil Nadu"/>
    <x v="1"/>
    <s v="P019"/>
    <s v="Laptop 19"/>
    <x v="1"/>
    <s v="Laptop"/>
    <n v="3"/>
    <n v="78368"/>
    <n v="0"/>
    <n v="235104"/>
    <n v="192210.56"/>
    <n v="42893.440000000002"/>
    <s v="Card"/>
    <s v="Offline"/>
    <s v="Cancelled"/>
    <n v="1"/>
    <s v="No"/>
  </r>
  <r>
    <s v="ORD0530"/>
    <x v="157"/>
    <s v="C1105"/>
    <s v="Priya"/>
    <s v="Kolkata"/>
    <s v="West Bengal"/>
    <x v="3"/>
    <s v="P039"/>
    <s v="Shoes 39"/>
    <x v="0"/>
    <s v="Shoes"/>
    <n v="5"/>
    <n v="45873"/>
    <n v="5"/>
    <n v="217896.75"/>
    <n v="174220.88"/>
    <n v="43675.87"/>
    <s v="Cash"/>
    <s v="Online"/>
    <s v="Cancelled"/>
    <n v="4"/>
    <s v="No"/>
  </r>
  <r>
    <s v="ORD0531"/>
    <x v="169"/>
    <s v="C1068"/>
    <s v="Karan"/>
    <s v="Chennai"/>
    <s v="Tamil Nadu"/>
    <x v="1"/>
    <s v="P083"/>
    <s v="Table 83"/>
    <x v="2"/>
    <s v="Table"/>
    <n v="3"/>
    <n v="54066"/>
    <n v="5"/>
    <n v="154088.1"/>
    <n v="126670.65"/>
    <n v="27417.45"/>
    <s v="Cash"/>
    <s v="Offline"/>
    <s v="Delivered"/>
    <n v="5"/>
    <s v="Yes"/>
  </r>
  <r>
    <s v="ORD0532"/>
    <x v="2"/>
    <s v="C1183"/>
    <s v="Rahul"/>
    <s v="Pune"/>
    <s v="Maharashtra"/>
    <x v="0"/>
    <s v="P017"/>
    <s v="Shoes 17"/>
    <x v="0"/>
    <s v="Shoes"/>
    <n v="5"/>
    <n v="11241"/>
    <n v="10"/>
    <n v="50584.5"/>
    <n v="44539.75"/>
    <n v="6044.75"/>
    <s v="Cash"/>
    <s v="Online"/>
    <s v="Delivered"/>
    <n v="1"/>
    <s v="No"/>
  </r>
  <r>
    <s v="ORD0533"/>
    <x v="87"/>
    <s v="C1216"/>
    <s v="Anjali"/>
    <s v="Delhi"/>
    <s v="Delhi"/>
    <x v="2"/>
    <s v="P017"/>
    <s v="Shoes 17"/>
    <x v="0"/>
    <s v="Shoes"/>
    <n v="2"/>
    <n v="17787"/>
    <n v="15"/>
    <n v="30237.9"/>
    <n v="26984.2"/>
    <n v="3253.7"/>
    <s v="UPI"/>
    <s v="Online"/>
    <s v="Cancelled"/>
    <n v="1"/>
    <s v="Yes"/>
  </r>
  <r>
    <s v="ORD0534"/>
    <x v="68"/>
    <s v="C1266"/>
    <s v="Aman"/>
    <s v="Jaipur"/>
    <s v="Rajasthan"/>
    <x v="2"/>
    <s v="P087"/>
    <s v="Table 87"/>
    <x v="2"/>
    <s v="Table"/>
    <n v="2"/>
    <n v="2855"/>
    <n v="5"/>
    <n v="5424.5"/>
    <n v="4495.26"/>
    <n v="929.24"/>
    <s v="UPI"/>
    <s v="Online"/>
    <s v="Pending"/>
    <n v="4"/>
    <s v="No"/>
  </r>
  <r>
    <s v="ORD0535"/>
    <x v="122"/>
    <s v="C1050"/>
    <s v="Anjali"/>
    <s v="Bengaluru"/>
    <s v="Karnataka"/>
    <x v="1"/>
    <s v="P059"/>
    <s v="Laptop 59"/>
    <x v="1"/>
    <s v="Laptop"/>
    <n v="4"/>
    <n v="20297"/>
    <n v="0"/>
    <n v="81188"/>
    <n v="52055.69"/>
    <n v="29132.31"/>
    <s v="Card"/>
    <s v="Offline"/>
    <s v="Delivered"/>
    <n v="4"/>
    <s v="No"/>
  </r>
  <r>
    <s v="ORD0536"/>
    <x v="111"/>
    <s v="C1168"/>
    <s v="Aman"/>
    <s v="Bengaluru"/>
    <s v="Karnataka"/>
    <x v="1"/>
    <s v="P072"/>
    <s v="Laptop 72"/>
    <x v="1"/>
    <s v="Laptop"/>
    <n v="2"/>
    <n v="69455"/>
    <n v="5"/>
    <n v="131964.5"/>
    <n v="88748.25"/>
    <n v="43216.25"/>
    <s v="Card"/>
    <s v="Online"/>
    <s v="Cancelled"/>
    <n v="3"/>
    <s v="No"/>
  </r>
  <r>
    <s v="ORD0537"/>
    <x v="14"/>
    <s v="C1196"/>
    <s v="Vikas"/>
    <s v="Chennai"/>
    <s v="Tamil Nadu"/>
    <x v="1"/>
    <s v="P033"/>
    <s v="Mixer 33"/>
    <x v="3"/>
    <s v="Mixer"/>
    <n v="5"/>
    <n v="48093"/>
    <n v="20"/>
    <n v="192372"/>
    <n v="156869.74"/>
    <n v="35502.26"/>
    <s v="Cash"/>
    <s v="Online"/>
    <s v="Cancelled"/>
    <n v="2"/>
    <s v="No"/>
  </r>
  <r>
    <s v="ORD0538"/>
    <x v="23"/>
    <s v="C1126"/>
    <s v="Rahul"/>
    <s v="Delhi"/>
    <s v="Delhi"/>
    <x v="2"/>
    <s v="P071"/>
    <s v="Mobile 71"/>
    <x v="1"/>
    <s v="Mobile"/>
    <n v="2"/>
    <n v="79340"/>
    <n v="20"/>
    <n v="126944"/>
    <n v="118053.55"/>
    <n v="8890.4500000000007"/>
    <s v="Card"/>
    <s v="Online"/>
    <s v="Cancelled"/>
    <n v="3"/>
    <s v="Yes"/>
  </r>
  <r>
    <s v="ORD0539"/>
    <x v="29"/>
    <s v="C1292"/>
    <s v="Priya"/>
    <s v="Pune"/>
    <s v="Maharashtra"/>
    <x v="0"/>
    <s v="P008"/>
    <s v="Shoes 8"/>
    <x v="0"/>
    <s v="Shoes"/>
    <n v="2"/>
    <n v="63965"/>
    <n v="20"/>
    <n v="102344"/>
    <n v="89223.27"/>
    <n v="13120.73"/>
    <s v="UPI"/>
    <s v="Offline"/>
    <s v="Cancelled"/>
    <n v="3"/>
    <s v="No"/>
  </r>
  <r>
    <s v="ORD0540"/>
    <x v="116"/>
    <s v="C1275"/>
    <s v="Aman"/>
    <s v="Kolkata"/>
    <s v="West Bengal"/>
    <x v="3"/>
    <s v="P058"/>
    <s v="Mobile 58"/>
    <x v="1"/>
    <s v="Mobile"/>
    <n v="5"/>
    <n v="48403"/>
    <n v="20"/>
    <n v="193612"/>
    <n v="140549.24"/>
    <n v="53062.76"/>
    <s v="Card"/>
    <s v="Offline"/>
    <s v="Pending"/>
    <n v="1"/>
    <s v="Yes"/>
  </r>
  <r>
    <s v="ORD0541"/>
    <x v="41"/>
    <s v="C1194"/>
    <s v="Vikas"/>
    <s v="Bengaluru"/>
    <s v="Karnataka"/>
    <x v="1"/>
    <s v="P068"/>
    <s v="Mobile 68"/>
    <x v="1"/>
    <s v="Mobile"/>
    <n v="2"/>
    <n v="21901"/>
    <n v="0"/>
    <n v="43802"/>
    <n v="35149.449999999997"/>
    <n v="8652.5499999999993"/>
    <s v="Card"/>
    <s v="Offline"/>
    <s v="Delivered"/>
    <n v="4"/>
    <s v="No"/>
  </r>
  <r>
    <s v="ORD0542"/>
    <x v="102"/>
    <s v="C1187"/>
    <s v="Rohit"/>
    <s v="Mumbai"/>
    <s v="Maharashtra"/>
    <x v="0"/>
    <s v="P021"/>
    <s v="Mobile 21"/>
    <x v="1"/>
    <s v="Mobile"/>
    <n v="5"/>
    <n v="46680"/>
    <n v="10"/>
    <n v="210060"/>
    <n v="159620.15"/>
    <n v="50439.85"/>
    <s v="Card"/>
    <s v="Online"/>
    <s v="Cancelled"/>
    <n v="1"/>
    <s v="No"/>
  </r>
  <r>
    <s v="ORD0543"/>
    <x v="92"/>
    <s v="C1263"/>
    <s v="Rohit"/>
    <s v="Jaipur"/>
    <s v="Rajasthan"/>
    <x v="2"/>
    <s v="P033"/>
    <s v="Mixer 33"/>
    <x v="3"/>
    <s v="Mixer"/>
    <n v="3"/>
    <n v="77814"/>
    <n v="10"/>
    <n v="210097.8"/>
    <n v="176390.21"/>
    <n v="33707.589999999997"/>
    <s v="Card"/>
    <s v="Online"/>
    <s v="Cancelled"/>
    <n v="3"/>
    <s v="Yes"/>
  </r>
  <r>
    <s v="ORD0544"/>
    <x v="10"/>
    <s v="C1164"/>
    <s v="Aman"/>
    <s v="Chennai"/>
    <s v="Tamil Nadu"/>
    <x v="1"/>
    <s v="P029"/>
    <s v="Mixer 29"/>
    <x v="3"/>
    <s v="Mixer"/>
    <n v="4"/>
    <n v="33163"/>
    <n v="15"/>
    <n v="112754.2"/>
    <n v="105086.33"/>
    <n v="7667.87"/>
    <s v="Cash"/>
    <s v="Offline"/>
    <s v="Cancelled"/>
    <n v="3"/>
    <s v="No"/>
  </r>
  <r>
    <s v="ORD0545"/>
    <x v="37"/>
    <s v="C1111"/>
    <s v="Lakshay"/>
    <s v="Mumbai"/>
    <s v="Maharashtra"/>
    <x v="0"/>
    <s v="P040"/>
    <s v="Chair 40"/>
    <x v="2"/>
    <s v="Chair"/>
    <n v="1"/>
    <n v="41645"/>
    <n v="0"/>
    <n v="41645"/>
    <n v="28458.98"/>
    <n v="13186.02"/>
    <s v="Card"/>
    <s v="Offline"/>
    <s v="Cancelled"/>
    <n v="1"/>
    <s v="No"/>
  </r>
  <r>
    <s v="ORD0546"/>
    <x v="125"/>
    <s v="C1161"/>
    <s v="Sneha"/>
    <s v="Jaipur"/>
    <s v="Rajasthan"/>
    <x v="2"/>
    <s v="P006"/>
    <s v="Mobile 6"/>
    <x v="1"/>
    <s v="Mobile"/>
    <n v="2"/>
    <n v="12762"/>
    <n v="20"/>
    <n v="20419.2"/>
    <n v="20166.46"/>
    <n v="252.74"/>
    <s v="Cash"/>
    <s v="Offline"/>
    <s v="Pending"/>
    <n v="2"/>
    <s v="Yes"/>
  </r>
  <r>
    <s v="ORD0547"/>
    <x v="76"/>
    <s v="C1260"/>
    <s v="Vikas"/>
    <s v="Mumbai"/>
    <s v="Maharashtra"/>
    <x v="0"/>
    <s v="P009"/>
    <s v="Laptop 9"/>
    <x v="1"/>
    <s v="Laptop"/>
    <n v="2"/>
    <n v="31255"/>
    <n v="15"/>
    <n v="53133.5"/>
    <n v="38162.19"/>
    <n v="14971.31"/>
    <s v="UPI"/>
    <s v="Online"/>
    <s v="Cancelled"/>
    <n v="3"/>
    <s v="No"/>
  </r>
  <r>
    <s v="ORD0548"/>
    <x v="1"/>
    <s v="C1264"/>
    <s v="Lakshay"/>
    <s v="Jaipur"/>
    <s v="Rajasthan"/>
    <x v="2"/>
    <s v="P017"/>
    <s v="Shoes 17"/>
    <x v="0"/>
    <s v="Shoes"/>
    <n v="3"/>
    <n v="26422"/>
    <n v="20"/>
    <n v="63412.800000000003"/>
    <n v="52731.27"/>
    <n v="10681.53"/>
    <s v="UPI"/>
    <s v="Offline"/>
    <s v="Delivered"/>
    <n v="2"/>
    <s v="No"/>
  </r>
  <r>
    <s v="ORD0549"/>
    <x v="85"/>
    <s v="C1075"/>
    <s v="Priya"/>
    <s v="Pune"/>
    <s v="Maharashtra"/>
    <x v="0"/>
    <s v="P006"/>
    <s v="Mobile 6"/>
    <x v="1"/>
    <s v="Mobile"/>
    <n v="1"/>
    <n v="74612"/>
    <n v="15"/>
    <n v="63420.2"/>
    <n v="42331.360000000001"/>
    <n v="21088.84"/>
    <s v="Cash"/>
    <s v="Online"/>
    <s v="Pending"/>
    <n v="3"/>
    <s v="Yes"/>
  </r>
  <r>
    <s v="ORD0550"/>
    <x v="13"/>
    <s v="C1046"/>
    <s v="Karan"/>
    <s v="Mumbai"/>
    <s v="Maharashtra"/>
    <x v="0"/>
    <s v="P009"/>
    <s v="Laptop 9"/>
    <x v="1"/>
    <s v="Laptop"/>
    <n v="4"/>
    <n v="1623"/>
    <n v="0"/>
    <n v="6492"/>
    <n v="4247.03"/>
    <n v="2244.9699999999998"/>
    <s v="Card"/>
    <s v="Online"/>
    <s v="Pending"/>
    <n v="5"/>
    <s v="Yes"/>
  </r>
  <r>
    <s v="ORD0551"/>
    <x v="144"/>
    <s v="C1008"/>
    <s v="Priya"/>
    <s v="Pune"/>
    <s v="Maharashtra"/>
    <x v="0"/>
    <s v="P063"/>
    <s v="Shoes 63"/>
    <x v="0"/>
    <s v="Shoes"/>
    <n v="3"/>
    <n v="69039"/>
    <n v="10"/>
    <n v="186405.3"/>
    <n v="117976.27"/>
    <n v="68429.03"/>
    <s v="UPI"/>
    <s v="Offline"/>
    <s v="Cancelled"/>
    <n v="4"/>
    <s v="No"/>
  </r>
  <r>
    <s v="ORD0552"/>
    <x v="88"/>
    <s v="C1033"/>
    <s v="Aman"/>
    <s v="Delhi"/>
    <s v="Delhi"/>
    <x v="2"/>
    <s v="P001"/>
    <s v="Shoes 1"/>
    <x v="0"/>
    <s v="Shoes"/>
    <n v="1"/>
    <n v="65939"/>
    <n v="15"/>
    <n v="56048.15"/>
    <n v="40485.599999999999"/>
    <n v="15562.55"/>
    <s v="Card"/>
    <s v="Offline"/>
    <s v="Pending"/>
    <n v="5"/>
    <s v="No"/>
  </r>
  <r>
    <s v="ORD0553"/>
    <x v="52"/>
    <s v="C1178"/>
    <s v="Rohit"/>
    <s v="Kolkata"/>
    <s v="West Bengal"/>
    <x v="3"/>
    <s v="P058"/>
    <s v="Mobile 58"/>
    <x v="1"/>
    <s v="Mobile"/>
    <n v="2"/>
    <n v="7459"/>
    <n v="20"/>
    <n v="11934.4"/>
    <n v="10217.959999999999"/>
    <n v="1716.44"/>
    <s v="Card"/>
    <s v="Online"/>
    <s v="Cancelled"/>
    <n v="1"/>
    <s v="No"/>
  </r>
  <r>
    <s v="ORD0554"/>
    <x v="75"/>
    <s v="C1029"/>
    <s v="Karan"/>
    <s v="Kolkata"/>
    <s v="West Bengal"/>
    <x v="3"/>
    <s v="P039"/>
    <s v="Shoes 39"/>
    <x v="0"/>
    <s v="Shoes"/>
    <n v="3"/>
    <n v="24869"/>
    <n v="0"/>
    <n v="74607"/>
    <n v="59115.28"/>
    <n v="15491.72"/>
    <s v="Cash"/>
    <s v="Offline"/>
    <s v="Cancelled"/>
    <n v="5"/>
    <s v="No"/>
  </r>
  <r>
    <s v="ORD0555"/>
    <x v="170"/>
    <s v="C1300"/>
    <s v="Rohit"/>
    <s v="Bengaluru"/>
    <s v="Karnataka"/>
    <x v="1"/>
    <s v="P096"/>
    <s v="Chair 96"/>
    <x v="2"/>
    <s v="Chair"/>
    <n v="3"/>
    <n v="57041"/>
    <n v="0"/>
    <n v="171123"/>
    <n v="108745.74"/>
    <n v="62377.26"/>
    <s v="UPI"/>
    <s v="Offline"/>
    <s v="Cancelled"/>
    <n v="4"/>
    <s v="No"/>
  </r>
  <r>
    <s v="ORD0556"/>
    <x v="43"/>
    <s v="C1051"/>
    <s v="Rahul"/>
    <s v="Jaipur"/>
    <s v="Rajasthan"/>
    <x v="2"/>
    <s v="P060"/>
    <s v="Mixer 60"/>
    <x v="3"/>
    <s v="Mixer"/>
    <n v="5"/>
    <n v="18203"/>
    <n v="5"/>
    <n v="86464.25"/>
    <n v="55829.52"/>
    <n v="30634.73"/>
    <s v="UPI"/>
    <s v="Offline"/>
    <s v="Pending"/>
    <n v="5"/>
    <s v="No"/>
  </r>
  <r>
    <s v="ORD0557"/>
    <x v="64"/>
    <s v="C1077"/>
    <s v="Rahul"/>
    <s v="Mumbai"/>
    <s v="Maharashtra"/>
    <x v="0"/>
    <s v="P089"/>
    <s v="Laptop 89"/>
    <x v="1"/>
    <s v="Laptop"/>
    <n v="4"/>
    <n v="7387"/>
    <n v="10"/>
    <n v="26593.200000000001"/>
    <n v="21242.02"/>
    <n v="5351.18"/>
    <s v="UPI"/>
    <s v="Offline"/>
    <s v="Pending"/>
    <n v="3"/>
    <s v="Yes"/>
  </r>
  <r>
    <s v="ORD0558"/>
    <x v="116"/>
    <s v="C1077"/>
    <s v="Neha"/>
    <s v="Pune"/>
    <s v="Maharashtra"/>
    <x v="0"/>
    <s v="P027"/>
    <s v="Chair 27"/>
    <x v="2"/>
    <s v="Chair"/>
    <n v="2"/>
    <n v="14183"/>
    <n v="20"/>
    <n v="22692.799999999999"/>
    <n v="18165.759999999998"/>
    <n v="4527.04"/>
    <s v="Card"/>
    <s v="Offline"/>
    <s v="Pending"/>
    <n v="2"/>
    <s v="No"/>
  </r>
  <r>
    <s v="ORD0559"/>
    <x v="79"/>
    <s v="C1280"/>
    <s v="Rohit"/>
    <s v="Kolkata"/>
    <s v="West Bengal"/>
    <x v="3"/>
    <s v="P052"/>
    <s v="Laptop 52"/>
    <x v="1"/>
    <s v="Laptop"/>
    <n v="2"/>
    <n v="45298"/>
    <n v="20"/>
    <n v="72476.800000000003"/>
    <n v="71700.5"/>
    <n v="776.3"/>
    <s v="UPI"/>
    <s v="Online"/>
    <s v="Delivered"/>
    <n v="1"/>
    <s v="No"/>
  </r>
  <r>
    <s v="ORD0560"/>
    <x v="80"/>
    <s v="C1248"/>
    <s v="Priya"/>
    <s v="Delhi"/>
    <s v="Delhi"/>
    <x v="2"/>
    <s v="P053"/>
    <s v="Laptop 53"/>
    <x v="1"/>
    <s v="Laptop"/>
    <n v="2"/>
    <n v="63932"/>
    <n v="5"/>
    <n v="121470.8"/>
    <n v="80399.03"/>
    <n v="41071.769999999997"/>
    <s v="Cash"/>
    <s v="Offline"/>
    <s v="Cancelled"/>
    <n v="5"/>
    <s v="Yes"/>
  </r>
  <r>
    <s v="ORD0561"/>
    <x v="44"/>
    <s v="C1283"/>
    <s v="Aman"/>
    <s v="Delhi"/>
    <s v="Delhi"/>
    <x v="2"/>
    <s v="P003"/>
    <s v="Mixer 3"/>
    <x v="3"/>
    <s v="Mixer"/>
    <n v="2"/>
    <n v="51632"/>
    <n v="5"/>
    <n v="98100.800000000003"/>
    <n v="80294.820000000007"/>
    <n v="17805.98"/>
    <s v="Cash"/>
    <s v="Online"/>
    <s v="Delivered"/>
    <n v="3"/>
    <s v="No"/>
  </r>
  <r>
    <s v="ORD0562"/>
    <x v="25"/>
    <s v="C1237"/>
    <s v="Neha"/>
    <s v="Delhi"/>
    <s v="Delhi"/>
    <x v="2"/>
    <s v="P096"/>
    <s v="Chair 96"/>
    <x v="2"/>
    <s v="Chair"/>
    <n v="5"/>
    <n v="32603"/>
    <n v="20"/>
    <n v="130412"/>
    <n v="127876.27"/>
    <n v="2535.73"/>
    <s v="UPI"/>
    <s v="Online"/>
    <s v="Cancelled"/>
    <n v="5"/>
    <s v="No"/>
  </r>
  <r>
    <s v="ORD0563"/>
    <x v="59"/>
    <s v="C1297"/>
    <s v="Priya"/>
    <s v="Bengaluru"/>
    <s v="Karnataka"/>
    <x v="1"/>
    <s v="P043"/>
    <s v="Mobile 43"/>
    <x v="1"/>
    <s v="Mobile"/>
    <n v="3"/>
    <n v="60117"/>
    <n v="5"/>
    <n v="171333.45"/>
    <n v="108920.61"/>
    <n v="62412.84"/>
    <s v="Card"/>
    <s v="Offline"/>
    <s v="Delivered"/>
    <n v="2"/>
    <s v="Yes"/>
  </r>
  <r>
    <s v="ORD0564"/>
    <x v="14"/>
    <s v="C1226"/>
    <s v="Sneha"/>
    <s v="Delhi"/>
    <s v="Delhi"/>
    <x v="2"/>
    <s v="P037"/>
    <s v="Mixer 37"/>
    <x v="3"/>
    <s v="Mixer"/>
    <n v="5"/>
    <n v="68161"/>
    <n v="20"/>
    <n v="272644"/>
    <n v="238176.15"/>
    <n v="34467.85"/>
    <s v="Card"/>
    <s v="Online"/>
    <s v="Delivered"/>
    <n v="1"/>
    <s v="Yes"/>
  </r>
  <r>
    <s v="ORD0565"/>
    <x v="78"/>
    <s v="C1186"/>
    <s v="Anjali"/>
    <s v="Delhi"/>
    <s v="Delhi"/>
    <x v="2"/>
    <s v="P056"/>
    <s v="Shoes 56"/>
    <x v="0"/>
    <s v="Shoes"/>
    <n v="1"/>
    <n v="73353"/>
    <n v="15"/>
    <n v="62350.05"/>
    <n v="47921.15"/>
    <n v="14428.9"/>
    <s v="UPI"/>
    <s v="Offline"/>
    <s v="Pending"/>
    <n v="4"/>
    <s v="Yes"/>
  </r>
  <r>
    <s v="ORD0566"/>
    <x v="72"/>
    <s v="C1267"/>
    <s v="Priya"/>
    <s v="Chennai"/>
    <s v="Tamil Nadu"/>
    <x v="1"/>
    <s v="P084"/>
    <s v="Laptop 84"/>
    <x v="1"/>
    <s v="Laptop"/>
    <n v="1"/>
    <n v="17310"/>
    <n v="5"/>
    <n v="16444.5"/>
    <n v="10228.19"/>
    <n v="6216.31"/>
    <s v="Cash"/>
    <s v="Online"/>
    <s v="Cancelled"/>
    <n v="4"/>
    <s v="No"/>
  </r>
  <r>
    <s v="ORD0567"/>
    <x v="66"/>
    <s v="C1166"/>
    <s v="Lakshay"/>
    <s v="Mumbai"/>
    <s v="Maharashtra"/>
    <x v="0"/>
    <s v="P007"/>
    <s v="Laptop 7"/>
    <x v="1"/>
    <s v="Laptop"/>
    <n v="3"/>
    <n v="13802"/>
    <n v="15"/>
    <n v="35195.1"/>
    <n v="32081.32"/>
    <n v="3113.78"/>
    <s v="UPI"/>
    <s v="Online"/>
    <s v="Delivered"/>
    <n v="1"/>
    <s v="No"/>
  </r>
  <r>
    <s v="ORD0568"/>
    <x v="91"/>
    <s v="C1042"/>
    <s v="Priya"/>
    <s v="Bengaluru"/>
    <s v="Karnataka"/>
    <x v="1"/>
    <s v="P034"/>
    <s v="Chair 34"/>
    <x v="2"/>
    <s v="Chair"/>
    <n v="5"/>
    <n v="64431"/>
    <n v="20"/>
    <n v="257724"/>
    <n v="266576.68"/>
    <n v="-8852.68"/>
    <s v="Card"/>
    <s v="Offline"/>
    <s v="Delivered"/>
    <n v="3"/>
    <s v="No"/>
  </r>
  <r>
    <s v="ORD0569"/>
    <x v="22"/>
    <s v="C1087"/>
    <s v="Lakshay"/>
    <s v="Kolkata"/>
    <s v="West Bengal"/>
    <x v="3"/>
    <s v="P094"/>
    <s v="Table 94"/>
    <x v="2"/>
    <s v="Table"/>
    <n v="1"/>
    <n v="10852"/>
    <n v="15"/>
    <n v="9224.2000000000007"/>
    <n v="6066.35"/>
    <n v="3157.85"/>
    <s v="Cash"/>
    <s v="Online"/>
    <s v="Delivered"/>
    <n v="4"/>
    <s v="No"/>
  </r>
  <r>
    <s v="ORD0570"/>
    <x v="153"/>
    <s v="C1190"/>
    <s v="Vikas"/>
    <s v="Chennai"/>
    <s v="Tamil Nadu"/>
    <x v="1"/>
    <s v="P060"/>
    <s v="Mixer 60"/>
    <x v="3"/>
    <s v="Mixer"/>
    <n v="3"/>
    <n v="78370"/>
    <n v="0"/>
    <n v="235110"/>
    <n v="148182.88"/>
    <n v="86927.12"/>
    <s v="Card"/>
    <s v="Offline"/>
    <s v="Delivered"/>
    <n v="2"/>
    <s v="No"/>
  </r>
  <r>
    <s v="ORD0571"/>
    <x v="132"/>
    <s v="C1034"/>
    <s v="Vikas"/>
    <s v="Delhi"/>
    <s v="Delhi"/>
    <x v="2"/>
    <s v="P071"/>
    <s v="Mobile 71"/>
    <x v="1"/>
    <s v="Mobile"/>
    <n v="1"/>
    <n v="18454"/>
    <n v="0"/>
    <n v="18454"/>
    <n v="14617.3"/>
    <n v="3836.7"/>
    <s v="UPI"/>
    <s v="Online"/>
    <s v="Pending"/>
    <n v="1"/>
    <s v="Yes"/>
  </r>
  <r>
    <s v="ORD0572"/>
    <x v="25"/>
    <s v="C1143"/>
    <s v="Aman"/>
    <s v="Chennai"/>
    <s v="Tamil Nadu"/>
    <x v="1"/>
    <s v="P074"/>
    <s v="Mixer 74"/>
    <x v="3"/>
    <s v="Mixer"/>
    <n v="3"/>
    <n v="39176"/>
    <n v="0"/>
    <n v="117528"/>
    <n v="93647.61"/>
    <n v="23880.39"/>
    <s v="Cash"/>
    <s v="Offline"/>
    <s v="Cancelled"/>
    <n v="3"/>
    <s v="No"/>
  </r>
  <r>
    <s v="ORD0573"/>
    <x v="53"/>
    <s v="C1210"/>
    <s v="Lakshay"/>
    <s v="Pune"/>
    <s v="Maharashtra"/>
    <x v="0"/>
    <s v="P066"/>
    <s v="Mobile 66"/>
    <x v="1"/>
    <s v="Mobile"/>
    <n v="5"/>
    <n v="64678"/>
    <n v="10"/>
    <n v="291051"/>
    <n v="243763.13"/>
    <n v="47287.87"/>
    <s v="Cash"/>
    <s v="Offline"/>
    <s v="Delivered"/>
    <n v="3"/>
    <s v="No"/>
  </r>
  <r>
    <s v="ORD0574"/>
    <x v="93"/>
    <s v="C1151"/>
    <s v="Lakshay"/>
    <s v="Bengaluru"/>
    <s v="Karnataka"/>
    <x v="1"/>
    <s v="P086"/>
    <s v="Mobile 86"/>
    <x v="1"/>
    <s v="Mobile"/>
    <n v="1"/>
    <n v="5802"/>
    <n v="15"/>
    <n v="4931.7"/>
    <n v="3191.75"/>
    <n v="1739.95"/>
    <s v="UPI"/>
    <s v="Offline"/>
    <s v="Pending"/>
    <n v="3"/>
    <s v="No"/>
  </r>
  <r>
    <s v="ORD0575"/>
    <x v="123"/>
    <s v="C1076"/>
    <s v="Lakshay"/>
    <s v="Delhi"/>
    <s v="Delhi"/>
    <x v="2"/>
    <s v="P018"/>
    <s v="Laptop 18"/>
    <x v="1"/>
    <s v="Laptop"/>
    <n v="3"/>
    <n v="67115"/>
    <n v="0"/>
    <n v="201345"/>
    <n v="169298.67"/>
    <n v="32046.33"/>
    <s v="Card"/>
    <s v="Offline"/>
    <s v="Delivered"/>
    <n v="5"/>
    <s v="No"/>
  </r>
  <r>
    <s v="ORD0576"/>
    <x v="105"/>
    <s v="C1235"/>
    <s v="Aman"/>
    <s v="Chennai"/>
    <s v="Tamil Nadu"/>
    <x v="1"/>
    <s v="P033"/>
    <s v="Mixer 33"/>
    <x v="3"/>
    <s v="Mixer"/>
    <n v="4"/>
    <n v="8816"/>
    <n v="20"/>
    <n v="28211.200000000001"/>
    <n v="26310.79"/>
    <n v="1900.41"/>
    <s v="UPI"/>
    <s v="Offline"/>
    <s v="Cancelled"/>
    <n v="3"/>
    <s v="Yes"/>
  </r>
  <r>
    <s v="ORD0577"/>
    <x v="31"/>
    <s v="C1141"/>
    <s v="Lakshay"/>
    <s v="Jaipur"/>
    <s v="Rajasthan"/>
    <x v="2"/>
    <s v="P081"/>
    <s v="Laptop 81"/>
    <x v="1"/>
    <s v="Laptop"/>
    <n v="2"/>
    <n v="44533"/>
    <n v="10"/>
    <n v="80159.399999999994"/>
    <n v="58877.31"/>
    <n v="21282.09"/>
    <s v="Cash"/>
    <s v="Online"/>
    <s v="Pending"/>
    <n v="3"/>
    <s v="No"/>
  </r>
  <r>
    <s v="ORD0578"/>
    <x v="15"/>
    <s v="C1093"/>
    <s v="Rahul"/>
    <s v="Pune"/>
    <s v="Maharashtra"/>
    <x v="0"/>
    <s v="P026"/>
    <s v="Table 26"/>
    <x v="2"/>
    <s v="Table"/>
    <n v="1"/>
    <n v="57938"/>
    <n v="0"/>
    <n v="57938"/>
    <n v="48805.06"/>
    <n v="9132.94"/>
    <s v="Card"/>
    <s v="Online"/>
    <s v="Cancelled"/>
    <n v="3"/>
    <s v="Yes"/>
  </r>
  <r>
    <s v="ORD0579"/>
    <x v="10"/>
    <s v="C1297"/>
    <s v="Karan"/>
    <s v="Jaipur"/>
    <s v="Rajasthan"/>
    <x v="2"/>
    <s v="P031"/>
    <s v="Table 31"/>
    <x v="2"/>
    <s v="Table"/>
    <n v="3"/>
    <n v="76072"/>
    <n v="5"/>
    <n v="216805.2"/>
    <n v="148301.54"/>
    <n v="68503.66"/>
    <s v="Cash"/>
    <s v="Offline"/>
    <s v="Delivered"/>
    <n v="3"/>
    <s v="Yes"/>
  </r>
  <r>
    <s v="ORD0580"/>
    <x v="114"/>
    <s v="C1276"/>
    <s v="Karan"/>
    <s v="Mumbai"/>
    <s v="Maharashtra"/>
    <x v="0"/>
    <s v="P039"/>
    <s v="Shoes 39"/>
    <x v="0"/>
    <s v="Shoes"/>
    <n v="1"/>
    <n v="28403"/>
    <n v="20"/>
    <n v="22722.400000000001"/>
    <n v="20513.14"/>
    <n v="2209.2600000000002"/>
    <s v="Card"/>
    <s v="Online"/>
    <s v="Delivered"/>
    <n v="3"/>
    <s v="No"/>
  </r>
  <r>
    <s v="ORD0581"/>
    <x v="64"/>
    <s v="C1112"/>
    <s v="Lakshay"/>
    <s v="Mumbai"/>
    <s v="Maharashtra"/>
    <x v="0"/>
    <s v="P018"/>
    <s v="Laptop 18"/>
    <x v="1"/>
    <s v="Laptop"/>
    <n v="3"/>
    <n v="77556"/>
    <n v="0"/>
    <n v="232668"/>
    <n v="164372.93"/>
    <n v="68295.070000000007"/>
    <s v="Card"/>
    <s v="Online"/>
    <s v="Cancelled"/>
    <n v="5"/>
    <s v="No"/>
  </r>
  <r>
    <s v="ORD0582"/>
    <x v="125"/>
    <s v="C1204"/>
    <s v="Neha"/>
    <s v="Delhi"/>
    <s v="Delhi"/>
    <x v="2"/>
    <s v="P037"/>
    <s v="Mixer 37"/>
    <x v="3"/>
    <s v="Mixer"/>
    <n v="4"/>
    <n v="77085"/>
    <n v="0"/>
    <n v="308340"/>
    <n v="214165.75"/>
    <n v="94174.25"/>
    <s v="UPI"/>
    <s v="Online"/>
    <s v="Delivered"/>
    <n v="3"/>
    <s v="Yes"/>
  </r>
  <r>
    <s v="ORD0583"/>
    <x v="59"/>
    <s v="C1297"/>
    <s v="Neha"/>
    <s v="Pune"/>
    <s v="Maharashtra"/>
    <x v="0"/>
    <s v="P018"/>
    <s v="Laptop 18"/>
    <x v="1"/>
    <s v="Laptop"/>
    <n v="5"/>
    <n v="38951"/>
    <n v="10"/>
    <n v="175279.5"/>
    <n v="131646.98000000001"/>
    <n v="43632.52"/>
    <s v="UPI"/>
    <s v="Offline"/>
    <s v="Delivered"/>
    <n v="4"/>
    <s v="Yes"/>
  </r>
  <r>
    <s v="ORD0584"/>
    <x v="26"/>
    <s v="C1293"/>
    <s v="Priya"/>
    <s v="Chennai"/>
    <s v="Tamil Nadu"/>
    <x v="1"/>
    <s v="P097"/>
    <s v="Mobile 97"/>
    <x v="1"/>
    <s v="Mobile"/>
    <n v="1"/>
    <n v="52279"/>
    <n v="15"/>
    <n v="44437.15"/>
    <n v="36997.21"/>
    <n v="7439.94"/>
    <s v="UPI"/>
    <s v="Offline"/>
    <s v="Cancelled"/>
    <n v="5"/>
    <s v="No"/>
  </r>
  <r>
    <s v="ORD0585"/>
    <x v="93"/>
    <s v="C1035"/>
    <s v="Lakshay"/>
    <s v="Chennai"/>
    <s v="Tamil Nadu"/>
    <x v="1"/>
    <s v="P082"/>
    <s v="Mobile 82"/>
    <x v="1"/>
    <s v="Mobile"/>
    <n v="5"/>
    <n v="65132"/>
    <n v="15"/>
    <n v="276811"/>
    <n v="275450.68"/>
    <n v="1360.32"/>
    <s v="Cash"/>
    <s v="Online"/>
    <s v="Cancelled"/>
    <n v="2"/>
    <s v="No"/>
  </r>
  <r>
    <s v="ORD0586"/>
    <x v="83"/>
    <s v="C1057"/>
    <s v="Sneha"/>
    <s v="Bengaluru"/>
    <s v="Karnataka"/>
    <x v="1"/>
    <s v="P010"/>
    <s v="Shoes 10"/>
    <x v="0"/>
    <s v="Shoes"/>
    <n v="2"/>
    <n v="67367"/>
    <n v="0"/>
    <n v="134734"/>
    <n v="101045.66"/>
    <n v="33688.339999999997"/>
    <s v="Card"/>
    <s v="Online"/>
    <s v="Cancelled"/>
    <n v="4"/>
    <s v="No"/>
  </r>
  <r>
    <s v="ORD0587"/>
    <x v="147"/>
    <s v="C1208"/>
    <s v="Rohit"/>
    <s v="Jaipur"/>
    <s v="Rajasthan"/>
    <x v="2"/>
    <s v="P008"/>
    <s v="Shoes 8"/>
    <x v="0"/>
    <s v="Shoes"/>
    <n v="3"/>
    <n v="46627"/>
    <n v="15"/>
    <n v="118898.85"/>
    <n v="113689.42"/>
    <n v="5209.43"/>
    <s v="Card"/>
    <s v="Offline"/>
    <s v="Pending"/>
    <n v="4"/>
    <s v="Yes"/>
  </r>
  <r>
    <s v="ORD0588"/>
    <x v="163"/>
    <s v="C1242"/>
    <s v="Rohit"/>
    <s v="Delhi"/>
    <s v="Delhi"/>
    <x v="2"/>
    <s v="P099"/>
    <s v="Chair 99"/>
    <x v="2"/>
    <s v="Chair"/>
    <n v="1"/>
    <n v="9370"/>
    <n v="10"/>
    <n v="8433"/>
    <n v="7475.84"/>
    <n v="957.16"/>
    <s v="Cash"/>
    <s v="Offline"/>
    <s v="Pending"/>
    <n v="4"/>
    <s v="Yes"/>
  </r>
  <r>
    <s v="ORD0589"/>
    <x v="89"/>
    <s v="C1178"/>
    <s v="Rohit"/>
    <s v="Chennai"/>
    <s v="Tamil Nadu"/>
    <x v="1"/>
    <s v="P012"/>
    <s v="Table 12"/>
    <x v="2"/>
    <s v="Table"/>
    <n v="3"/>
    <n v="35136"/>
    <n v="20"/>
    <n v="84326.399999999994"/>
    <n v="87238.96"/>
    <n v="-2912.56"/>
    <s v="UPI"/>
    <s v="Offline"/>
    <s v="Delivered"/>
    <n v="5"/>
    <s v="Yes"/>
  </r>
  <r>
    <s v="ORD0590"/>
    <x v="84"/>
    <s v="C1181"/>
    <s v="Vikas"/>
    <s v="Kolkata"/>
    <s v="West Bengal"/>
    <x v="3"/>
    <s v="P007"/>
    <s v="Laptop 7"/>
    <x v="1"/>
    <s v="Laptop"/>
    <n v="1"/>
    <n v="70815"/>
    <n v="15"/>
    <n v="60192.75"/>
    <n v="41453.58"/>
    <n v="18739.169999999998"/>
    <s v="Cash"/>
    <s v="Online"/>
    <s v="Cancelled"/>
    <n v="2"/>
    <s v="Yes"/>
  </r>
  <r>
    <s v="ORD0591"/>
    <x v="157"/>
    <s v="C1127"/>
    <s v="Anjali"/>
    <s v="Delhi"/>
    <s v="Delhi"/>
    <x v="2"/>
    <s v="P052"/>
    <s v="Laptop 52"/>
    <x v="1"/>
    <s v="Laptop"/>
    <n v="5"/>
    <n v="77696"/>
    <n v="0"/>
    <n v="388480"/>
    <n v="281458.67"/>
    <n v="107021.33"/>
    <s v="Card"/>
    <s v="Online"/>
    <s v="Pending"/>
    <n v="4"/>
    <s v="No"/>
  </r>
  <r>
    <s v="ORD0592"/>
    <x v="81"/>
    <s v="C1019"/>
    <s v="Rohit"/>
    <s v="Bengaluru"/>
    <s v="Karnataka"/>
    <x v="1"/>
    <s v="P065"/>
    <s v="Mobile 65"/>
    <x v="1"/>
    <s v="Mobile"/>
    <n v="3"/>
    <n v="72357"/>
    <n v="15"/>
    <n v="184510.35"/>
    <n v="135413.62"/>
    <n v="49096.73"/>
    <s v="Card"/>
    <s v="Online"/>
    <s v="Cancelled"/>
    <n v="2"/>
    <s v="Yes"/>
  </r>
  <r>
    <s v="ORD0593"/>
    <x v="164"/>
    <s v="C1074"/>
    <s v="Anjali"/>
    <s v="Chennai"/>
    <s v="Tamil Nadu"/>
    <x v="1"/>
    <s v="P073"/>
    <s v="Mixer 73"/>
    <x v="3"/>
    <s v="Mixer"/>
    <n v="3"/>
    <n v="63432"/>
    <n v="0"/>
    <n v="190296"/>
    <n v="151928.04"/>
    <n v="38367.96"/>
    <s v="UPI"/>
    <s v="Online"/>
    <s v="Delivered"/>
    <n v="3"/>
    <s v="Yes"/>
  </r>
  <r>
    <s v="ORD0594"/>
    <x v="71"/>
    <s v="C1143"/>
    <s v="Rohit"/>
    <s v="Pune"/>
    <s v="Maharashtra"/>
    <x v="0"/>
    <s v="P086"/>
    <s v="Mobile 86"/>
    <x v="1"/>
    <s v="Mobile"/>
    <n v="5"/>
    <n v="16147"/>
    <n v="5"/>
    <n v="76698.25"/>
    <n v="51006.57"/>
    <n v="25691.68"/>
    <s v="Cash"/>
    <s v="Offline"/>
    <s v="Delivered"/>
    <n v="4"/>
    <s v="No"/>
  </r>
  <r>
    <s v="ORD0595"/>
    <x v="26"/>
    <s v="C1109"/>
    <s v="Karan"/>
    <s v="Jaipur"/>
    <s v="Rajasthan"/>
    <x v="2"/>
    <s v="P006"/>
    <s v="Mobile 6"/>
    <x v="1"/>
    <s v="Mobile"/>
    <n v="4"/>
    <n v="30431"/>
    <n v="20"/>
    <n v="97379.199999999997"/>
    <n v="70778.52"/>
    <n v="26600.68"/>
    <s v="UPI"/>
    <s v="Online"/>
    <s v="Delivered"/>
    <n v="2"/>
    <s v="No"/>
  </r>
  <r>
    <s v="ORD0596"/>
    <x v="95"/>
    <s v="C1017"/>
    <s v="Rohit"/>
    <s v="Pune"/>
    <s v="Maharashtra"/>
    <x v="0"/>
    <s v="P048"/>
    <s v="Shoes 48"/>
    <x v="0"/>
    <s v="Shoes"/>
    <n v="5"/>
    <n v="66143"/>
    <n v="0"/>
    <n v="330715"/>
    <n v="232684.49"/>
    <n v="98030.51"/>
    <s v="Cash"/>
    <s v="Online"/>
    <s v="Delivered"/>
    <n v="5"/>
    <s v="No"/>
  </r>
  <r>
    <s v="ORD0597"/>
    <x v="105"/>
    <s v="C1029"/>
    <s v="Rohit"/>
    <s v="Pune"/>
    <s v="Maharashtra"/>
    <x v="0"/>
    <s v="P056"/>
    <s v="Shoes 56"/>
    <x v="0"/>
    <s v="Shoes"/>
    <n v="4"/>
    <n v="12431"/>
    <n v="20"/>
    <n v="39779.199999999997"/>
    <n v="35520.79"/>
    <n v="4258.41"/>
    <s v="Card"/>
    <s v="Offline"/>
    <s v="Pending"/>
    <n v="4"/>
    <s v="No"/>
  </r>
  <r>
    <s v="ORD0598"/>
    <x v="74"/>
    <s v="C1029"/>
    <s v="Anjali"/>
    <s v="Kolkata"/>
    <s v="West Bengal"/>
    <x v="3"/>
    <s v="P057"/>
    <s v="Shoes 57"/>
    <x v="0"/>
    <s v="Shoes"/>
    <n v="1"/>
    <n v="21038"/>
    <n v="15"/>
    <n v="17882.3"/>
    <n v="16558.150000000001"/>
    <n v="1324.15"/>
    <s v="Cash"/>
    <s v="Offline"/>
    <s v="Delivered"/>
    <n v="4"/>
    <s v="Yes"/>
  </r>
  <r>
    <s v="ORD0599"/>
    <x v="56"/>
    <s v="C1283"/>
    <s v="Vikas"/>
    <s v="Pune"/>
    <s v="Maharashtra"/>
    <x v="0"/>
    <s v="P085"/>
    <s v="Chair 85"/>
    <x v="2"/>
    <s v="Chair"/>
    <n v="3"/>
    <n v="62555"/>
    <n v="15"/>
    <n v="159515.25"/>
    <n v="142422.16"/>
    <n v="17093.09"/>
    <s v="UPI"/>
    <s v="Offline"/>
    <s v="Pending"/>
    <n v="4"/>
    <s v="Yes"/>
  </r>
  <r>
    <s v="ORD0600"/>
    <x v="37"/>
    <s v="C1112"/>
    <s v="Priya"/>
    <s v="Chennai"/>
    <s v="Tamil Nadu"/>
    <x v="1"/>
    <s v="P099"/>
    <s v="Chair 99"/>
    <x v="2"/>
    <s v="Chair"/>
    <n v="2"/>
    <n v="49283"/>
    <n v="5"/>
    <n v="93637.7"/>
    <n v="66340.009999999995"/>
    <n v="27297.69"/>
    <s v="Cash"/>
    <s v="Offline"/>
    <s v="Delivered"/>
    <n v="5"/>
    <s v="No"/>
  </r>
  <r>
    <s v="ORD0601"/>
    <x v="44"/>
    <s v="C1254"/>
    <s v="Vikas"/>
    <s v="Delhi"/>
    <s v="Delhi"/>
    <x v="2"/>
    <s v="P045"/>
    <s v="Chair 45"/>
    <x v="2"/>
    <s v="Chair"/>
    <n v="3"/>
    <n v="55226"/>
    <n v="10"/>
    <n v="149110.20000000001"/>
    <n v="108232.98"/>
    <n v="40877.22"/>
    <s v="Card"/>
    <s v="Offline"/>
    <s v="Pending"/>
    <n v="5"/>
    <s v="Yes"/>
  </r>
  <r>
    <s v="ORD0602"/>
    <x v="66"/>
    <s v="C1249"/>
    <s v="Rohit"/>
    <s v="Kolkata"/>
    <s v="West Bengal"/>
    <x v="3"/>
    <s v="P072"/>
    <s v="Laptop 72"/>
    <x v="1"/>
    <s v="Laptop"/>
    <n v="2"/>
    <n v="54135"/>
    <n v="20"/>
    <n v="86616"/>
    <n v="67561.850000000006"/>
    <n v="19054.150000000001"/>
    <s v="Cash"/>
    <s v="Online"/>
    <s v="Delivered"/>
    <n v="2"/>
    <s v="No"/>
  </r>
  <r>
    <s v="ORD0603"/>
    <x v="56"/>
    <s v="C1159"/>
    <s v="Priya"/>
    <s v="Pune"/>
    <s v="Maharashtra"/>
    <x v="0"/>
    <s v="P064"/>
    <s v="Table 64"/>
    <x v="2"/>
    <s v="Table"/>
    <n v="1"/>
    <n v="13639"/>
    <n v="15"/>
    <n v="11593.15"/>
    <n v="9044.18"/>
    <n v="2548.9699999999998"/>
    <s v="UPI"/>
    <s v="Offline"/>
    <s v="Pending"/>
    <n v="1"/>
    <s v="Yes"/>
  </r>
  <r>
    <s v="ORD0604"/>
    <x v="160"/>
    <s v="C1104"/>
    <s v="Vikas"/>
    <s v="Delhi"/>
    <s v="Delhi"/>
    <x v="2"/>
    <s v="P064"/>
    <s v="Table 64"/>
    <x v="2"/>
    <s v="Table"/>
    <n v="5"/>
    <n v="26446"/>
    <n v="10"/>
    <n v="119007"/>
    <n v="112104.83"/>
    <n v="6902.17"/>
    <s v="UPI"/>
    <s v="Online"/>
    <s v="Pending"/>
    <n v="3"/>
    <s v="Yes"/>
  </r>
  <r>
    <s v="ORD0605"/>
    <x v="22"/>
    <s v="C1115"/>
    <s v="Karan"/>
    <s v="Jaipur"/>
    <s v="Rajasthan"/>
    <x v="2"/>
    <s v="P058"/>
    <s v="Mobile 58"/>
    <x v="1"/>
    <s v="Mobile"/>
    <n v="1"/>
    <n v="40696"/>
    <n v="20"/>
    <n v="32556.799999999999"/>
    <n v="27929.3"/>
    <n v="4627.5"/>
    <s v="Card"/>
    <s v="Online"/>
    <s v="Delivered"/>
    <n v="1"/>
    <s v="Yes"/>
  </r>
  <r>
    <s v="ORD0606"/>
    <x v="69"/>
    <s v="C1110"/>
    <s v="Neha"/>
    <s v="Jaipur"/>
    <s v="Rajasthan"/>
    <x v="2"/>
    <s v="P046"/>
    <s v="Laptop 46"/>
    <x v="1"/>
    <s v="Laptop"/>
    <n v="4"/>
    <n v="47984"/>
    <n v="15"/>
    <n v="163145.60000000001"/>
    <n v="132666.22"/>
    <n v="30479.38"/>
    <s v="Card"/>
    <s v="Online"/>
    <s v="Delivered"/>
    <n v="2"/>
    <s v="No"/>
  </r>
  <r>
    <s v="ORD0607"/>
    <x v="65"/>
    <s v="C1077"/>
    <s v="Aman"/>
    <s v="Kolkata"/>
    <s v="West Bengal"/>
    <x v="3"/>
    <s v="P006"/>
    <s v="Mobile 6"/>
    <x v="1"/>
    <s v="Mobile"/>
    <n v="5"/>
    <n v="79898"/>
    <n v="5"/>
    <n v="379515.5"/>
    <n v="280415.49"/>
    <n v="99100.01"/>
    <s v="Card"/>
    <s v="Online"/>
    <s v="Cancelled"/>
    <n v="2"/>
    <s v="No"/>
  </r>
  <r>
    <s v="ORD0608"/>
    <x v="161"/>
    <s v="C1112"/>
    <s v="Sneha"/>
    <s v="Chennai"/>
    <s v="Tamil Nadu"/>
    <x v="1"/>
    <s v="P021"/>
    <s v="Mobile 21"/>
    <x v="1"/>
    <s v="Mobile"/>
    <n v="5"/>
    <n v="47877"/>
    <n v="5"/>
    <n v="227415.75"/>
    <n v="161751.65"/>
    <n v="65664.100000000006"/>
    <s v="Card"/>
    <s v="Online"/>
    <s v="Pending"/>
    <n v="3"/>
    <s v="No"/>
  </r>
  <r>
    <s v="ORD0609"/>
    <x v="39"/>
    <s v="C1151"/>
    <s v="Sneha"/>
    <s v="Bengaluru"/>
    <s v="Karnataka"/>
    <x v="1"/>
    <s v="P047"/>
    <s v="Table 47"/>
    <x v="2"/>
    <s v="Table"/>
    <n v="4"/>
    <n v="23578"/>
    <n v="20"/>
    <n v="75449.600000000006"/>
    <n v="59018.07"/>
    <n v="16431.53"/>
    <s v="Cash"/>
    <s v="Online"/>
    <s v="Cancelled"/>
    <n v="5"/>
    <s v="No"/>
  </r>
  <r>
    <s v="ORD0610"/>
    <x v="130"/>
    <s v="C1065"/>
    <s v="Sneha"/>
    <s v="Kolkata"/>
    <s v="West Bengal"/>
    <x v="3"/>
    <s v="P033"/>
    <s v="Mixer 33"/>
    <x v="3"/>
    <s v="Mixer"/>
    <n v="1"/>
    <n v="79494"/>
    <n v="0"/>
    <n v="79494"/>
    <n v="49593.21"/>
    <n v="29900.79"/>
    <s v="Cash"/>
    <s v="Online"/>
    <s v="Pending"/>
    <n v="2"/>
    <s v="Yes"/>
  </r>
  <r>
    <s v="ORD0611"/>
    <x v="9"/>
    <s v="C1255"/>
    <s v="Lakshay"/>
    <s v="Jaipur"/>
    <s v="Rajasthan"/>
    <x v="2"/>
    <s v="P035"/>
    <s v="Table 35"/>
    <x v="2"/>
    <s v="Table"/>
    <n v="3"/>
    <n v="65011"/>
    <n v="20"/>
    <n v="156026.4"/>
    <n v="125688.73"/>
    <n v="30337.67"/>
    <s v="UPI"/>
    <s v="Offline"/>
    <s v="Cancelled"/>
    <n v="4"/>
    <s v="No"/>
  </r>
  <r>
    <s v="ORD0612"/>
    <x v="157"/>
    <s v="C1204"/>
    <s v="Lakshay"/>
    <s v="Kolkata"/>
    <s v="West Bengal"/>
    <x v="3"/>
    <s v="P063"/>
    <s v="Shoes 63"/>
    <x v="0"/>
    <s v="Shoes"/>
    <n v="5"/>
    <n v="23291"/>
    <n v="20"/>
    <n v="93164"/>
    <n v="84073.49"/>
    <n v="9090.51"/>
    <s v="Card"/>
    <s v="Online"/>
    <s v="Delivered"/>
    <n v="3"/>
    <s v="Yes"/>
  </r>
  <r>
    <s v="ORD0613"/>
    <x v="132"/>
    <s v="C1149"/>
    <s v="Sneha"/>
    <s v="Bengaluru"/>
    <s v="Karnataka"/>
    <x v="1"/>
    <s v="P086"/>
    <s v="Mobile 86"/>
    <x v="1"/>
    <s v="Mobile"/>
    <n v="1"/>
    <n v="27465"/>
    <n v="20"/>
    <n v="21972"/>
    <n v="23297.09"/>
    <n v="-1325.09"/>
    <s v="UPI"/>
    <s v="Offline"/>
    <s v="Cancelled"/>
    <n v="1"/>
    <s v="No"/>
  </r>
  <r>
    <s v="ORD0614"/>
    <x v="25"/>
    <s v="C1204"/>
    <s v="Aman"/>
    <s v="Chennai"/>
    <s v="Tamil Nadu"/>
    <x v="1"/>
    <s v="P039"/>
    <s v="Shoes 39"/>
    <x v="0"/>
    <s v="Shoes"/>
    <n v="5"/>
    <n v="50776"/>
    <n v="15"/>
    <n v="215798"/>
    <n v="140460.46"/>
    <n v="75337.539999999994"/>
    <s v="UPI"/>
    <s v="Offline"/>
    <s v="Cancelled"/>
    <n v="2"/>
    <s v="Yes"/>
  </r>
  <r>
    <s v="ORD0615"/>
    <x v="102"/>
    <s v="C1061"/>
    <s v="Karan"/>
    <s v="Chennai"/>
    <s v="Tamil Nadu"/>
    <x v="1"/>
    <s v="P075"/>
    <s v="Mixer 75"/>
    <x v="3"/>
    <s v="Mixer"/>
    <n v="2"/>
    <n v="29886"/>
    <n v="15"/>
    <n v="50806.2"/>
    <n v="41981.18"/>
    <n v="8825.02"/>
    <s v="Cash"/>
    <s v="Online"/>
    <s v="Cancelled"/>
    <n v="5"/>
    <s v="No"/>
  </r>
  <r>
    <s v="ORD0616"/>
    <x v="16"/>
    <s v="C1016"/>
    <s v="Aman"/>
    <s v="Bengaluru"/>
    <s v="Karnataka"/>
    <x v="1"/>
    <s v="P008"/>
    <s v="Shoes 8"/>
    <x v="0"/>
    <s v="Shoes"/>
    <n v="3"/>
    <n v="43167"/>
    <n v="0"/>
    <n v="129501"/>
    <n v="74419.25"/>
    <n v="55081.75"/>
    <s v="Cash"/>
    <s v="Offline"/>
    <s v="Pending"/>
    <n v="1"/>
    <s v="No"/>
  </r>
  <r>
    <s v="ORD0617"/>
    <x v="167"/>
    <s v="C1058"/>
    <s v="Rahul"/>
    <s v="Chennai"/>
    <s v="Tamil Nadu"/>
    <x v="1"/>
    <s v="P007"/>
    <s v="Laptop 7"/>
    <x v="1"/>
    <s v="Laptop"/>
    <n v="3"/>
    <n v="60497"/>
    <n v="20"/>
    <n v="145192.79999999999"/>
    <n v="136033.72"/>
    <n v="9159.08"/>
    <s v="Card"/>
    <s v="Online"/>
    <s v="Cancelled"/>
    <n v="3"/>
    <s v="No"/>
  </r>
  <r>
    <s v="ORD0618"/>
    <x v="49"/>
    <s v="C1224"/>
    <s v="Sneha"/>
    <s v="Kolkata"/>
    <s v="West Bengal"/>
    <x v="3"/>
    <s v="P085"/>
    <s v="Chair 85"/>
    <x v="2"/>
    <s v="Chair"/>
    <n v="4"/>
    <n v="51383"/>
    <n v="15"/>
    <n v="174702.2"/>
    <n v="150009.32"/>
    <n v="24692.880000000001"/>
    <s v="Card"/>
    <s v="Offline"/>
    <s v="Pending"/>
    <n v="4"/>
    <s v="Yes"/>
  </r>
  <r>
    <s v="ORD0619"/>
    <x v="86"/>
    <s v="C1236"/>
    <s v="Rahul"/>
    <s v="Pune"/>
    <s v="Maharashtra"/>
    <x v="0"/>
    <s v="P093"/>
    <s v="Shoes 93"/>
    <x v="0"/>
    <s v="Shoes"/>
    <n v="3"/>
    <n v="4587"/>
    <n v="15"/>
    <n v="11696.85"/>
    <n v="10389.39"/>
    <n v="1307.46"/>
    <s v="Card"/>
    <s v="Online"/>
    <s v="Delivered"/>
    <n v="4"/>
    <s v="Yes"/>
  </r>
  <r>
    <s v="ORD0620"/>
    <x v="34"/>
    <s v="C1239"/>
    <s v="Priya"/>
    <s v="Pune"/>
    <s v="Maharashtra"/>
    <x v="0"/>
    <s v="P001"/>
    <s v="Shoes 1"/>
    <x v="0"/>
    <s v="Shoes"/>
    <n v="1"/>
    <n v="72106"/>
    <n v="5"/>
    <n v="68500.7"/>
    <n v="52557.69"/>
    <n v="15943.01"/>
    <s v="Cash"/>
    <s v="Offline"/>
    <s v="Cancelled"/>
    <n v="2"/>
    <s v="Yes"/>
  </r>
  <r>
    <s v="ORD0621"/>
    <x v="11"/>
    <s v="C1198"/>
    <s v="Vikas"/>
    <s v="Bengaluru"/>
    <s v="Karnataka"/>
    <x v="1"/>
    <s v="P094"/>
    <s v="Table 94"/>
    <x v="2"/>
    <s v="Table"/>
    <n v="3"/>
    <n v="52078"/>
    <n v="10"/>
    <n v="140610.6"/>
    <n v="121928.47"/>
    <n v="18682.13"/>
    <s v="UPI"/>
    <s v="Offline"/>
    <s v="Delivered"/>
    <n v="4"/>
    <s v="Yes"/>
  </r>
  <r>
    <s v="ORD0622"/>
    <x v="62"/>
    <s v="C1289"/>
    <s v="Sneha"/>
    <s v="Pune"/>
    <s v="Maharashtra"/>
    <x v="0"/>
    <s v="P021"/>
    <s v="Mobile 21"/>
    <x v="1"/>
    <s v="Mobile"/>
    <n v="3"/>
    <n v="78250"/>
    <n v="0"/>
    <n v="234750"/>
    <n v="135035.47"/>
    <n v="99714.53"/>
    <s v="Cash"/>
    <s v="Online"/>
    <s v="Cancelled"/>
    <n v="4"/>
    <s v="Yes"/>
  </r>
  <r>
    <s v="ORD0623"/>
    <x v="25"/>
    <s v="C1279"/>
    <s v="Sneha"/>
    <s v="Kolkata"/>
    <s v="West Bengal"/>
    <x v="3"/>
    <s v="P064"/>
    <s v="Table 64"/>
    <x v="2"/>
    <s v="Table"/>
    <n v="5"/>
    <n v="20490"/>
    <n v="5"/>
    <n v="97327.5"/>
    <n v="79388.33"/>
    <n v="17939.169999999998"/>
    <s v="Cash"/>
    <s v="Online"/>
    <s v="Delivered"/>
    <n v="4"/>
    <s v="No"/>
  </r>
  <r>
    <s v="ORD0624"/>
    <x v="116"/>
    <s v="C1248"/>
    <s v="Priya"/>
    <s v="Bengaluru"/>
    <s v="Karnataka"/>
    <x v="1"/>
    <s v="P027"/>
    <s v="Chair 27"/>
    <x v="2"/>
    <s v="Chair"/>
    <n v="4"/>
    <n v="60259"/>
    <n v="20"/>
    <n v="192828.79999999999"/>
    <n v="198030.83"/>
    <n v="-5202.03"/>
    <s v="Card"/>
    <s v="Online"/>
    <s v="Delivered"/>
    <n v="1"/>
    <s v="No"/>
  </r>
  <r>
    <s v="ORD0625"/>
    <x v="171"/>
    <s v="C1083"/>
    <s v="Karan"/>
    <s v="Kolkata"/>
    <s v="West Bengal"/>
    <x v="3"/>
    <s v="P044"/>
    <s v="Chair 44"/>
    <x v="2"/>
    <s v="Chair"/>
    <n v="2"/>
    <n v="33135"/>
    <n v="0"/>
    <n v="66270"/>
    <n v="45436.7"/>
    <n v="20833.3"/>
    <s v="Cash"/>
    <s v="Online"/>
    <s v="Delivered"/>
    <n v="5"/>
    <s v="Yes"/>
  </r>
  <r>
    <s v="ORD0626"/>
    <x v="172"/>
    <s v="C1133"/>
    <s v="Rahul"/>
    <s v="Kolkata"/>
    <s v="West Bengal"/>
    <x v="3"/>
    <s v="P033"/>
    <s v="Mixer 33"/>
    <x v="3"/>
    <s v="Mixer"/>
    <n v="4"/>
    <n v="52018"/>
    <n v="20"/>
    <n v="166457.60000000001"/>
    <n v="127220.73"/>
    <n v="39236.870000000003"/>
    <s v="Cash"/>
    <s v="Offline"/>
    <s v="Pending"/>
    <n v="3"/>
    <s v="No"/>
  </r>
  <r>
    <s v="ORD0627"/>
    <x v="136"/>
    <s v="C1068"/>
    <s v="Aman"/>
    <s v="Pune"/>
    <s v="Maharashtra"/>
    <x v="0"/>
    <s v="P070"/>
    <s v="Laptop 70"/>
    <x v="1"/>
    <s v="Laptop"/>
    <n v="2"/>
    <n v="26205"/>
    <n v="5"/>
    <n v="49789.5"/>
    <n v="42648.87"/>
    <n v="7140.63"/>
    <s v="Cash"/>
    <s v="Offline"/>
    <s v="Delivered"/>
    <n v="4"/>
    <s v="Yes"/>
  </r>
  <r>
    <s v="ORD0628"/>
    <x v="150"/>
    <s v="C1074"/>
    <s v="Rohit"/>
    <s v="Kolkata"/>
    <s v="West Bengal"/>
    <x v="3"/>
    <s v="P075"/>
    <s v="Mixer 75"/>
    <x v="3"/>
    <s v="Mixer"/>
    <n v="3"/>
    <n v="68027"/>
    <n v="15"/>
    <n v="173468.85"/>
    <n v="157984.4"/>
    <n v="15484.45"/>
    <s v="UPI"/>
    <s v="Offline"/>
    <s v="Cancelled"/>
    <n v="3"/>
    <s v="No"/>
  </r>
  <r>
    <s v="ORD0629"/>
    <x v="70"/>
    <s v="C1203"/>
    <s v="Sneha"/>
    <s v="Delhi"/>
    <s v="Delhi"/>
    <x v="2"/>
    <s v="P018"/>
    <s v="Laptop 18"/>
    <x v="1"/>
    <s v="Laptop"/>
    <n v="1"/>
    <n v="12507"/>
    <n v="20"/>
    <n v="10005.6"/>
    <n v="10559"/>
    <n v="-553.4"/>
    <s v="Cash"/>
    <s v="Online"/>
    <s v="Cancelled"/>
    <n v="2"/>
    <s v="No"/>
  </r>
  <r>
    <s v="ORD0630"/>
    <x v="173"/>
    <s v="C1223"/>
    <s v="Rohit"/>
    <s v="Jaipur"/>
    <s v="Rajasthan"/>
    <x v="2"/>
    <s v="P030"/>
    <s v="Mixer 30"/>
    <x v="3"/>
    <s v="Mixer"/>
    <n v="5"/>
    <n v="32813"/>
    <n v="5"/>
    <n v="155861.75"/>
    <n v="105986.11"/>
    <n v="49875.64"/>
    <s v="Cash"/>
    <s v="Offline"/>
    <s v="Pending"/>
    <n v="3"/>
    <s v="Yes"/>
  </r>
  <r>
    <s v="ORD0631"/>
    <x v="170"/>
    <s v="C1205"/>
    <s v="Lakshay"/>
    <s v="Kolkata"/>
    <s v="West Bengal"/>
    <x v="3"/>
    <s v="P084"/>
    <s v="Laptop 84"/>
    <x v="1"/>
    <s v="Laptop"/>
    <n v="5"/>
    <n v="6805"/>
    <n v="15"/>
    <n v="28921.25"/>
    <n v="26005.69"/>
    <n v="2915.56"/>
    <s v="Cash"/>
    <s v="Online"/>
    <s v="Cancelled"/>
    <n v="5"/>
    <s v="Yes"/>
  </r>
  <r>
    <s v="ORD0632"/>
    <x v="164"/>
    <s v="C1146"/>
    <s v="Anjali"/>
    <s v="Mumbai"/>
    <s v="Maharashtra"/>
    <x v="0"/>
    <s v="P083"/>
    <s v="Table 83"/>
    <x v="2"/>
    <s v="Table"/>
    <n v="2"/>
    <n v="72791"/>
    <n v="15"/>
    <n v="123744.7"/>
    <n v="96658.22"/>
    <n v="27086.48"/>
    <s v="Card"/>
    <s v="Offline"/>
    <s v="Delivered"/>
    <n v="1"/>
    <s v="No"/>
  </r>
  <r>
    <s v="ORD0633"/>
    <x v="148"/>
    <s v="C1094"/>
    <s v="Lakshay"/>
    <s v="Delhi"/>
    <s v="Delhi"/>
    <x v="2"/>
    <s v="P081"/>
    <s v="Laptop 81"/>
    <x v="1"/>
    <s v="Laptop"/>
    <n v="4"/>
    <n v="1751"/>
    <n v="15"/>
    <n v="5953.4"/>
    <n v="4087.38"/>
    <n v="1866.02"/>
    <s v="Cash"/>
    <s v="Online"/>
    <s v="Cancelled"/>
    <n v="1"/>
    <s v="Yes"/>
  </r>
  <r>
    <s v="ORD0634"/>
    <x v="21"/>
    <s v="C1101"/>
    <s v="Aman"/>
    <s v="Chennai"/>
    <s v="Tamil Nadu"/>
    <x v="1"/>
    <s v="P069"/>
    <s v="Chair 69"/>
    <x v="2"/>
    <s v="Chair"/>
    <n v="3"/>
    <n v="25648"/>
    <n v="15"/>
    <n v="65402.400000000001"/>
    <n v="54046.33"/>
    <n v="11356.07"/>
    <s v="Cash"/>
    <s v="Online"/>
    <s v="Cancelled"/>
    <n v="1"/>
    <s v="Yes"/>
  </r>
  <r>
    <s v="ORD0635"/>
    <x v="143"/>
    <s v="C1034"/>
    <s v="Anjali"/>
    <s v="Chennai"/>
    <s v="Tamil Nadu"/>
    <x v="1"/>
    <s v="P019"/>
    <s v="Laptop 19"/>
    <x v="1"/>
    <s v="Laptop"/>
    <n v="3"/>
    <n v="55524"/>
    <n v="15"/>
    <n v="141586.20000000001"/>
    <n v="99215.39"/>
    <n v="42370.81"/>
    <s v="Card"/>
    <s v="Offline"/>
    <s v="Delivered"/>
    <n v="3"/>
    <s v="No"/>
  </r>
  <r>
    <s v="ORD0636"/>
    <x v="64"/>
    <s v="C1284"/>
    <s v="Lakshay"/>
    <s v="Pune"/>
    <s v="Maharashtra"/>
    <x v="0"/>
    <s v="P081"/>
    <s v="Laptop 81"/>
    <x v="1"/>
    <s v="Laptop"/>
    <n v="3"/>
    <n v="14353"/>
    <n v="0"/>
    <n v="43059"/>
    <n v="27794.9"/>
    <n v="15264.1"/>
    <s v="UPI"/>
    <s v="Online"/>
    <s v="Pending"/>
    <n v="4"/>
    <s v="Yes"/>
  </r>
  <r>
    <s v="ORD0637"/>
    <x v="174"/>
    <s v="C1156"/>
    <s v="Vikas"/>
    <s v="Bengaluru"/>
    <s v="Karnataka"/>
    <x v="1"/>
    <s v="P051"/>
    <s v="Shoes 51"/>
    <x v="0"/>
    <s v="Shoes"/>
    <n v="4"/>
    <n v="15484"/>
    <n v="15"/>
    <n v="52645.599999999999"/>
    <n v="51650.44"/>
    <n v="995.16"/>
    <s v="UPI"/>
    <s v="Online"/>
    <s v="Pending"/>
    <n v="1"/>
    <s v="No"/>
  </r>
  <r>
    <s v="ORD0638"/>
    <x v="162"/>
    <s v="C1028"/>
    <s v="Anjali"/>
    <s v="Kolkata"/>
    <s v="West Bengal"/>
    <x v="3"/>
    <s v="P015"/>
    <s v="Table 15"/>
    <x v="2"/>
    <s v="Table"/>
    <n v="4"/>
    <n v="67196"/>
    <n v="20"/>
    <n v="215027.20000000001"/>
    <n v="180866.77"/>
    <n v="34160.43"/>
    <s v="Card"/>
    <s v="Online"/>
    <s v="Pending"/>
    <n v="4"/>
    <s v="Yes"/>
  </r>
  <r>
    <s v="ORD0639"/>
    <x v="19"/>
    <s v="C1041"/>
    <s v="Anjali"/>
    <s v="Delhi"/>
    <s v="Delhi"/>
    <x v="2"/>
    <s v="P052"/>
    <s v="Laptop 52"/>
    <x v="1"/>
    <s v="Laptop"/>
    <n v="3"/>
    <n v="28682"/>
    <n v="20"/>
    <n v="68836.800000000003"/>
    <n v="49857.16"/>
    <n v="18979.64"/>
    <s v="Card"/>
    <s v="Online"/>
    <s v="Pending"/>
    <n v="4"/>
    <s v="Yes"/>
  </r>
  <r>
    <s v="ORD0640"/>
    <x v="81"/>
    <s v="C1165"/>
    <s v="Sneha"/>
    <s v="Delhi"/>
    <s v="Delhi"/>
    <x v="2"/>
    <s v="P028"/>
    <s v="Shoes 28"/>
    <x v="0"/>
    <s v="Shoes"/>
    <n v="5"/>
    <n v="5322"/>
    <n v="15"/>
    <n v="22618.5"/>
    <n v="19323.36"/>
    <n v="3295.14"/>
    <s v="Cash"/>
    <s v="Online"/>
    <s v="Pending"/>
    <n v="1"/>
    <s v="Yes"/>
  </r>
  <r>
    <s v="ORD0641"/>
    <x v="147"/>
    <s v="C1109"/>
    <s v="Karan"/>
    <s v="Mumbai"/>
    <s v="Maharashtra"/>
    <x v="0"/>
    <s v="P009"/>
    <s v="Laptop 9"/>
    <x v="1"/>
    <s v="Laptop"/>
    <n v="4"/>
    <n v="27264"/>
    <n v="0"/>
    <n v="109056"/>
    <n v="75264.89"/>
    <n v="33791.11"/>
    <s v="Cash"/>
    <s v="Offline"/>
    <s v="Cancelled"/>
    <n v="1"/>
    <s v="No"/>
  </r>
  <r>
    <s v="ORD0642"/>
    <x v="153"/>
    <s v="C1082"/>
    <s v="Rohit"/>
    <s v="Kolkata"/>
    <s v="West Bengal"/>
    <x v="3"/>
    <s v="P093"/>
    <s v="Shoes 93"/>
    <x v="0"/>
    <s v="Shoes"/>
    <n v="2"/>
    <n v="14540"/>
    <n v="15"/>
    <n v="24718"/>
    <n v="19324.419999999998"/>
    <n v="5393.58"/>
    <s v="Card"/>
    <s v="Offline"/>
    <s v="Delivered"/>
    <n v="5"/>
    <s v="No"/>
  </r>
  <r>
    <s v="ORD0643"/>
    <x v="71"/>
    <s v="C1255"/>
    <s v="Vikas"/>
    <s v="Bengaluru"/>
    <s v="Karnataka"/>
    <x v="1"/>
    <s v="P044"/>
    <s v="Chair 44"/>
    <x v="2"/>
    <s v="Chair"/>
    <n v="2"/>
    <n v="50674"/>
    <n v="0"/>
    <n v="101348"/>
    <n v="84302.96"/>
    <n v="17045.04"/>
    <s v="Card"/>
    <s v="Offline"/>
    <s v="Cancelled"/>
    <n v="2"/>
    <s v="No"/>
  </r>
  <r>
    <s v="ORD0644"/>
    <x v="149"/>
    <s v="C1053"/>
    <s v="Rohit"/>
    <s v="Jaipur"/>
    <s v="Rajasthan"/>
    <x v="2"/>
    <s v="P046"/>
    <s v="Laptop 46"/>
    <x v="1"/>
    <s v="Laptop"/>
    <n v="5"/>
    <n v="57254"/>
    <n v="20"/>
    <n v="229016"/>
    <n v="230625.12"/>
    <n v="-1609.12"/>
    <s v="Card"/>
    <s v="Online"/>
    <s v="Cancelled"/>
    <n v="4"/>
    <s v="Yes"/>
  </r>
  <r>
    <s v="ORD0645"/>
    <x v="150"/>
    <s v="C1199"/>
    <s v="Sneha"/>
    <s v="Kolkata"/>
    <s v="West Bengal"/>
    <x v="3"/>
    <s v="P095"/>
    <s v="Mobile 95"/>
    <x v="1"/>
    <s v="Mobile"/>
    <n v="1"/>
    <n v="72007"/>
    <n v="15"/>
    <n v="61205.95"/>
    <n v="41894.15"/>
    <n v="19311.8"/>
    <s v="Cash"/>
    <s v="Offline"/>
    <s v="Pending"/>
    <n v="1"/>
    <s v="Yes"/>
  </r>
  <r>
    <s v="ORD0646"/>
    <x v="46"/>
    <s v="C1124"/>
    <s v="Lakshay"/>
    <s v="Chennai"/>
    <s v="Tamil Nadu"/>
    <x v="1"/>
    <s v="P075"/>
    <s v="Mixer 75"/>
    <x v="3"/>
    <s v="Mixer"/>
    <n v="1"/>
    <n v="18534"/>
    <n v="10"/>
    <n v="16680.599999999999"/>
    <n v="13643.94"/>
    <n v="3036.66"/>
    <s v="Card"/>
    <s v="Online"/>
    <s v="Pending"/>
    <n v="2"/>
    <s v="Yes"/>
  </r>
  <r>
    <s v="ORD0647"/>
    <x v="147"/>
    <s v="C1256"/>
    <s v="Neha"/>
    <s v="Pune"/>
    <s v="Maharashtra"/>
    <x v="0"/>
    <s v="P025"/>
    <s v="Shoes 25"/>
    <x v="0"/>
    <s v="Shoes"/>
    <n v="1"/>
    <n v="55428"/>
    <n v="20"/>
    <n v="44342.400000000001"/>
    <n v="31997.24"/>
    <n v="12345.16"/>
    <s v="Cash"/>
    <s v="Online"/>
    <s v="Pending"/>
    <n v="2"/>
    <s v="Yes"/>
  </r>
  <r>
    <s v="ORD0648"/>
    <x v="21"/>
    <s v="C1173"/>
    <s v="Rahul"/>
    <s v="Chennai"/>
    <s v="Tamil Nadu"/>
    <x v="1"/>
    <s v="P034"/>
    <s v="Chair 34"/>
    <x v="2"/>
    <s v="Chair"/>
    <n v="4"/>
    <n v="68943"/>
    <n v="5"/>
    <n v="261983.4"/>
    <n v="206686.34"/>
    <n v="55297.06"/>
    <s v="Cash"/>
    <s v="Offline"/>
    <s v="Delivered"/>
    <n v="5"/>
    <s v="Yes"/>
  </r>
  <r>
    <s v="ORD0649"/>
    <x v="27"/>
    <s v="C1183"/>
    <s v="Anjali"/>
    <s v="Kolkata"/>
    <s v="West Bengal"/>
    <x v="3"/>
    <s v="P017"/>
    <s v="Shoes 17"/>
    <x v="0"/>
    <s v="Shoes"/>
    <n v="2"/>
    <n v="53906"/>
    <n v="20"/>
    <n v="86249.600000000006"/>
    <n v="74911.850000000006"/>
    <n v="11337.75"/>
    <s v="UPI"/>
    <s v="Offline"/>
    <s v="Pending"/>
    <n v="5"/>
    <s v="Yes"/>
  </r>
  <r>
    <s v="ORD0650"/>
    <x v="59"/>
    <s v="C1287"/>
    <s v="Rahul"/>
    <s v="Mumbai"/>
    <s v="Maharashtra"/>
    <x v="0"/>
    <s v="P085"/>
    <s v="Chair 85"/>
    <x v="2"/>
    <s v="Chair"/>
    <n v="3"/>
    <n v="72861"/>
    <n v="20"/>
    <n v="174866.4"/>
    <n v="169198.23"/>
    <n v="5668.17"/>
    <s v="UPI"/>
    <s v="Offline"/>
    <s v="Pending"/>
    <n v="2"/>
    <s v="No"/>
  </r>
  <r>
    <s v="ORD0651"/>
    <x v="113"/>
    <s v="C1205"/>
    <s v="Vikas"/>
    <s v="Pune"/>
    <s v="Maharashtra"/>
    <x v="0"/>
    <s v="P007"/>
    <s v="Laptop 7"/>
    <x v="1"/>
    <s v="Laptop"/>
    <n v="1"/>
    <n v="23494"/>
    <n v="5"/>
    <n v="22319.3"/>
    <n v="16057.57"/>
    <n v="6261.73"/>
    <s v="Card"/>
    <s v="Offline"/>
    <s v="Cancelled"/>
    <n v="1"/>
    <s v="Yes"/>
  </r>
  <r>
    <s v="ORD0652"/>
    <x v="12"/>
    <s v="C1243"/>
    <s v="Vikas"/>
    <s v="Jaipur"/>
    <s v="Rajasthan"/>
    <x v="2"/>
    <s v="P061"/>
    <s v="Mobile 61"/>
    <x v="1"/>
    <s v="Mobile"/>
    <n v="5"/>
    <n v="28482"/>
    <n v="10"/>
    <n v="128169"/>
    <n v="95093.93"/>
    <n v="33075.07"/>
    <s v="Card"/>
    <s v="Online"/>
    <s v="Pending"/>
    <n v="1"/>
    <s v="Yes"/>
  </r>
  <r>
    <s v="ORD0653"/>
    <x v="78"/>
    <s v="C1224"/>
    <s v="Anjali"/>
    <s v="Mumbai"/>
    <s v="Maharashtra"/>
    <x v="0"/>
    <s v="P032"/>
    <s v="Chair 32"/>
    <x v="2"/>
    <s v="Chair"/>
    <n v="2"/>
    <n v="62132"/>
    <n v="20"/>
    <n v="99411.199999999997"/>
    <n v="91646.33"/>
    <n v="7764.87"/>
    <s v="Cash"/>
    <s v="Online"/>
    <s v="Pending"/>
    <n v="5"/>
    <s v="No"/>
  </r>
  <r>
    <s v="ORD0654"/>
    <x v="117"/>
    <s v="C1171"/>
    <s v="Vikas"/>
    <s v="Jaipur"/>
    <s v="Rajasthan"/>
    <x v="2"/>
    <s v="P063"/>
    <s v="Shoes 63"/>
    <x v="0"/>
    <s v="Shoes"/>
    <n v="3"/>
    <n v="61507"/>
    <n v="10"/>
    <n v="166068.9"/>
    <n v="129002"/>
    <n v="37066.9"/>
    <s v="UPI"/>
    <s v="Offline"/>
    <s v="Pending"/>
    <n v="4"/>
    <s v="Yes"/>
  </r>
  <r>
    <s v="ORD0655"/>
    <x v="25"/>
    <s v="C1299"/>
    <s v="Neha"/>
    <s v="Bengaluru"/>
    <s v="Karnataka"/>
    <x v="1"/>
    <s v="P076"/>
    <s v="Mixer 76"/>
    <x v="3"/>
    <s v="Mixer"/>
    <n v="1"/>
    <n v="44481"/>
    <n v="15"/>
    <n v="37808.85"/>
    <n v="35552.160000000003"/>
    <n v="2256.69"/>
    <s v="Cash"/>
    <s v="Online"/>
    <s v="Cancelled"/>
    <n v="2"/>
    <s v="No"/>
  </r>
  <r>
    <s v="ORD0656"/>
    <x v="23"/>
    <s v="C1245"/>
    <s v="Priya"/>
    <s v="Chennai"/>
    <s v="Tamil Nadu"/>
    <x v="1"/>
    <s v="P055"/>
    <s v="Chair 55"/>
    <x v="2"/>
    <s v="Chair"/>
    <n v="5"/>
    <n v="26805"/>
    <n v="5"/>
    <n v="127323.75"/>
    <n v="107246.66"/>
    <n v="20077.09"/>
    <s v="UPI"/>
    <s v="Offline"/>
    <s v="Pending"/>
    <n v="2"/>
    <s v="Yes"/>
  </r>
  <r>
    <s v="ORD0657"/>
    <x v="165"/>
    <s v="C1246"/>
    <s v="Vikas"/>
    <s v="Bengaluru"/>
    <s v="Karnataka"/>
    <x v="1"/>
    <s v="P020"/>
    <s v="Shoes 20"/>
    <x v="0"/>
    <s v="Shoes"/>
    <n v="3"/>
    <n v="13828"/>
    <n v="15"/>
    <n v="35261.4"/>
    <n v="34486.71"/>
    <n v="774.69"/>
    <s v="Cash"/>
    <s v="Offline"/>
    <s v="Cancelled"/>
    <n v="4"/>
    <s v="Yes"/>
  </r>
  <r>
    <s v="ORD0658"/>
    <x v="17"/>
    <s v="C1291"/>
    <s v="Priya"/>
    <s v="Pune"/>
    <s v="Maharashtra"/>
    <x v="0"/>
    <s v="P088"/>
    <s v="Mobile 88"/>
    <x v="1"/>
    <s v="Mobile"/>
    <n v="1"/>
    <n v="32024"/>
    <n v="0"/>
    <n v="32024"/>
    <n v="21517.4"/>
    <n v="10506.6"/>
    <s v="UPI"/>
    <s v="Offline"/>
    <s v="Delivered"/>
    <n v="4"/>
    <s v="No"/>
  </r>
  <r>
    <s v="ORD0659"/>
    <x v="140"/>
    <s v="C1095"/>
    <s v="Lakshay"/>
    <s v="Mumbai"/>
    <s v="Maharashtra"/>
    <x v="0"/>
    <s v="P065"/>
    <s v="Mobile 65"/>
    <x v="1"/>
    <s v="Mobile"/>
    <n v="3"/>
    <n v="62236"/>
    <n v="5"/>
    <n v="177372.6"/>
    <n v="103794.69"/>
    <n v="73577.91"/>
    <s v="Card"/>
    <s v="Offline"/>
    <s v="Cancelled"/>
    <n v="3"/>
    <s v="No"/>
  </r>
  <r>
    <s v="ORD0660"/>
    <x v="83"/>
    <s v="C1184"/>
    <s v="Neha"/>
    <s v="Kolkata"/>
    <s v="West Bengal"/>
    <x v="3"/>
    <s v="P048"/>
    <s v="Shoes 48"/>
    <x v="0"/>
    <s v="Shoes"/>
    <n v="4"/>
    <n v="48582"/>
    <n v="5"/>
    <n v="184611.6"/>
    <n v="141518.65"/>
    <n v="43092.95"/>
    <s v="Cash"/>
    <s v="Online"/>
    <s v="Cancelled"/>
    <n v="1"/>
    <s v="Yes"/>
  </r>
  <r>
    <s v="ORD0661"/>
    <x v="136"/>
    <s v="C1088"/>
    <s v="Vikas"/>
    <s v="Bengaluru"/>
    <s v="Karnataka"/>
    <x v="1"/>
    <s v="P097"/>
    <s v="Mobile 97"/>
    <x v="1"/>
    <s v="Mobile"/>
    <n v="1"/>
    <n v="64934"/>
    <n v="10"/>
    <n v="58440.6"/>
    <n v="51814.06"/>
    <n v="6626.54"/>
    <s v="Card"/>
    <s v="Offline"/>
    <s v="Delivered"/>
    <n v="5"/>
    <s v="Yes"/>
  </r>
  <r>
    <s v="ORD0662"/>
    <x v="14"/>
    <s v="C1027"/>
    <s v="Karan"/>
    <s v="Mumbai"/>
    <s v="Maharashtra"/>
    <x v="0"/>
    <s v="P078"/>
    <s v="Chair 78"/>
    <x v="2"/>
    <s v="Chair"/>
    <n v="4"/>
    <n v="24160"/>
    <n v="5"/>
    <n v="91808"/>
    <n v="69191.33"/>
    <n v="22616.67"/>
    <s v="Card"/>
    <s v="Online"/>
    <s v="Pending"/>
    <n v="1"/>
    <s v="Yes"/>
  </r>
  <r>
    <s v="ORD0663"/>
    <x v="129"/>
    <s v="C1036"/>
    <s v="Rohit"/>
    <s v="Bengaluru"/>
    <s v="Karnataka"/>
    <x v="1"/>
    <s v="P008"/>
    <s v="Shoes 8"/>
    <x v="0"/>
    <s v="Shoes"/>
    <n v="5"/>
    <n v="34813"/>
    <n v="20"/>
    <n v="139252"/>
    <n v="135699.51"/>
    <n v="3552.49"/>
    <s v="UPI"/>
    <s v="Offline"/>
    <s v="Delivered"/>
    <n v="4"/>
    <s v="No"/>
  </r>
  <r>
    <s v="ORD0664"/>
    <x v="164"/>
    <s v="C1175"/>
    <s v="Aman"/>
    <s v="Chennai"/>
    <s v="Tamil Nadu"/>
    <x v="1"/>
    <s v="P096"/>
    <s v="Chair 96"/>
    <x v="2"/>
    <s v="Chair"/>
    <n v="3"/>
    <n v="32477"/>
    <n v="20"/>
    <n v="77944.800000000003"/>
    <n v="61482.38"/>
    <n v="16462.419999999998"/>
    <s v="Cash"/>
    <s v="Online"/>
    <s v="Pending"/>
    <n v="3"/>
    <s v="Yes"/>
  </r>
  <r>
    <s v="ORD0665"/>
    <x v="79"/>
    <s v="C1177"/>
    <s v="Lakshay"/>
    <s v="Delhi"/>
    <s v="Delhi"/>
    <x v="2"/>
    <s v="P047"/>
    <s v="Table 47"/>
    <x v="2"/>
    <s v="Table"/>
    <n v="4"/>
    <n v="42437"/>
    <n v="15"/>
    <n v="144285.79999999999"/>
    <n v="131527.94"/>
    <n v="12757.86"/>
    <s v="Card"/>
    <s v="Online"/>
    <s v="Cancelled"/>
    <n v="2"/>
    <s v="No"/>
  </r>
  <r>
    <s v="ORD0666"/>
    <x v="42"/>
    <s v="C1041"/>
    <s v="Aman"/>
    <s v="Pune"/>
    <s v="Maharashtra"/>
    <x v="0"/>
    <s v="P080"/>
    <s v="Shoes 80"/>
    <x v="0"/>
    <s v="Shoes"/>
    <n v="1"/>
    <n v="73618"/>
    <n v="5"/>
    <n v="69937.100000000006"/>
    <n v="55513.24"/>
    <n v="14423.86"/>
    <s v="Card"/>
    <s v="Online"/>
    <s v="Delivered"/>
    <n v="5"/>
    <s v="No"/>
  </r>
  <r>
    <s v="ORD0667"/>
    <x v="60"/>
    <s v="C1005"/>
    <s v="Neha"/>
    <s v="Chennai"/>
    <s v="Tamil Nadu"/>
    <x v="1"/>
    <s v="P094"/>
    <s v="Table 94"/>
    <x v="2"/>
    <s v="Table"/>
    <n v="1"/>
    <n v="43200"/>
    <n v="10"/>
    <n v="38880"/>
    <n v="29847.63"/>
    <n v="9032.3700000000008"/>
    <s v="Card"/>
    <s v="Offline"/>
    <s v="Pending"/>
    <n v="4"/>
    <s v="Yes"/>
  </r>
  <r>
    <s v="ORD0668"/>
    <x v="175"/>
    <s v="C1241"/>
    <s v="Karan"/>
    <s v="Jaipur"/>
    <s v="Rajasthan"/>
    <x v="2"/>
    <s v="P082"/>
    <s v="Mobile 82"/>
    <x v="1"/>
    <s v="Mobile"/>
    <n v="2"/>
    <n v="47249"/>
    <n v="10"/>
    <n v="85048.2"/>
    <n v="61191.77"/>
    <n v="23856.43"/>
    <s v="UPI"/>
    <s v="Online"/>
    <s v="Delivered"/>
    <n v="3"/>
    <s v="Yes"/>
  </r>
  <r>
    <s v="ORD0669"/>
    <x v="122"/>
    <s v="C1076"/>
    <s v="Neha"/>
    <s v="Pune"/>
    <s v="Maharashtra"/>
    <x v="0"/>
    <s v="P081"/>
    <s v="Laptop 81"/>
    <x v="1"/>
    <s v="Laptop"/>
    <n v="2"/>
    <n v="44675"/>
    <n v="5"/>
    <n v="84882.5"/>
    <n v="66617.23"/>
    <n v="18265.27"/>
    <s v="UPI"/>
    <s v="Online"/>
    <s v="Pending"/>
    <n v="3"/>
    <s v="No"/>
  </r>
  <r>
    <s v="ORD0670"/>
    <x v="173"/>
    <s v="C1034"/>
    <s v="Vikas"/>
    <s v="Pune"/>
    <s v="Maharashtra"/>
    <x v="0"/>
    <s v="P089"/>
    <s v="Laptop 89"/>
    <x v="1"/>
    <s v="Laptop"/>
    <n v="1"/>
    <n v="8770"/>
    <n v="5"/>
    <n v="8331.5"/>
    <n v="6856.51"/>
    <n v="1474.99"/>
    <s v="UPI"/>
    <s v="Offline"/>
    <s v="Delivered"/>
    <n v="3"/>
    <s v="Yes"/>
  </r>
  <r>
    <s v="ORD0671"/>
    <x v="14"/>
    <s v="C1132"/>
    <s v="Rohit"/>
    <s v="Bengaluru"/>
    <s v="Karnataka"/>
    <x v="1"/>
    <s v="P029"/>
    <s v="Mixer 29"/>
    <x v="3"/>
    <s v="Mixer"/>
    <n v="3"/>
    <n v="33358"/>
    <n v="15"/>
    <n v="85062.9"/>
    <n v="82295.25"/>
    <n v="2767.65"/>
    <s v="Card"/>
    <s v="Offline"/>
    <s v="Pending"/>
    <n v="4"/>
    <s v="Yes"/>
  </r>
  <r>
    <s v="ORD0672"/>
    <x v="80"/>
    <s v="C1288"/>
    <s v="Lakshay"/>
    <s v="Jaipur"/>
    <s v="Rajasthan"/>
    <x v="2"/>
    <s v="P028"/>
    <s v="Shoes 28"/>
    <x v="0"/>
    <s v="Shoes"/>
    <n v="3"/>
    <n v="21566"/>
    <n v="0"/>
    <n v="64698"/>
    <n v="50586.63"/>
    <n v="14111.37"/>
    <s v="Card"/>
    <s v="Offline"/>
    <s v="Pending"/>
    <n v="4"/>
    <s v="No"/>
  </r>
  <r>
    <s v="ORD0673"/>
    <x v="14"/>
    <s v="C1204"/>
    <s v="Karan"/>
    <s v="Jaipur"/>
    <s v="Rajasthan"/>
    <x v="2"/>
    <s v="P036"/>
    <s v="Shoes 36"/>
    <x v="0"/>
    <s v="Shoes"/>
    <n v="3"/>
    <n v="25557"/>
    <n v="20"/>
    <n v="61336.800000000003"/>
    <n v="55691.88"/>
    <n v="5644.92"/>
    <s v="Card"/>
    <s v="Online"/>
    <s v="Delivered"/>
    <n v="1"/>
    <s v="No"/>
  </r>
  <r>
    <s v="ORD0674"/>
    <x v="83"/>
    <s v="C1249"/>
    <s v="Anjali"/>
    <s v="Pune"/>
    <s v="Maharashtra"/>
    <x v="0"/>
    <s v="P062"/>
    <s v="Mixer 62"/>
    <x v="3"/>
    <s v="Mixer"/>
    <n v="4"/>
    <n v="19266"/>
    <n v="5"/>
    <n v="73210.8"/>
    <n v="45659.37"/>
    <n v="27551.43"/>
    <s v="UPI"/>
    <s v="Online"/>
    <s v="Pending"/>
    <n v="3"/>
    <s v="Yes"/>
  </r>
  <r>
    <s v="ORD0675"/>
    <x v="18"/>
    <s v="C1243"/>
    <s v="Aman"/>
    <s v="Kolkata"/>
    <s v="West Bengal"/>
    <x v="3"/>
    <s v="P088"/>
    <s v="Mobile 88"/>
    <x v="1"/>
    <s v="Mobile"/>
    <n v="2"/>
    <n v="50134"/>
    <n v="10"/>
    <n v="90241.2"/>
    <n v="81549.5"/>
    <n v="8691.7000000000007"/>
    <s v="Cash"/>
    <s v="Offline"/>
    <s v="Cancelled"/>
    <n v="5"/>
    <s v="No"/>
  </r>
  <r>
    <s v="ORD0676"/>
    <x v="1"/>
    <s v="C1055"/>
    <s v="Karan"/>
    <s v="Pune"/>
    <s v="Maharashtra"/>
    <x v="0"/>
    <s v="P007"/>
    <s v="Laptop 7"/>
    <x v="1"/>
    <s v="Laptop"/>
    <n v="4"/>
    <n v="79628"/>
    <n v="5"/>
    <n v="302586.40000000002"/>
    <n v="226939.1"/>
    <n v="75647.3"/>
    <s v="UPI"/>
    <s v="Offline"/>
    <s v="Delivered"/>
    <n v="4"/>
    <s v="Yes"/>
  </r>
  <r>
    <s v="ORD0677"/>
    <x v="2"/>
    <s v="C1118"/>
    <s v="Priya"/>
    <s v="Pune"/>
    <s v="Maharashtra"/>
    <x v="0"/>
    <s v="P085"/>
    <s v="Chair 85"/>
    <x v="2"/>
    <s v="Chair"/>
    <n v="2"/>
    <n v="4798"/>
    <n v="0"/>
    <n v="9596"/>
    <n v="6007.29"/>
    <n v="3588.71"/>
    <s v="Cash"/>
    <s v="Offline"/>
    <s v="Pending"/>
    <n v="5"/>
    <s v="No"/>
  </r>
  <r>
    <s v="ORD0678"/>
    <x v="35"/>
    <s v="C1071"/>
    <s v="Rahul"/>
    <s v="Kolkata"/>
    <s v="West Bengal"/>
    <x v="3"/>
    <s v="P080"/>
    <s v="Shoes 80"/>
    <x v="0"/>
    <s v="Shoes"/>
    <n v="2"/>
    <n v="65432"/>
    <n v="20"/>
    <n v="104691.2"/>
    <n v="72717.84"/>
    <n v="31973.360000000001"/>
    <s v="UPI"/>
    <s v="Online"/>
    <s v="Delivered"/>
    <n v="5"/>
    <s v="Yes"/>
  </r>
  <r>
    <s v="ORD0679"/>
    <x v="91"/>
    <s v="C1269"/>
    <s v="Rohit"/>
    <s v="Bengaluru"/>
    <s v="Karnataka"/>
    <x v="1"/>
    <s v="P031"/>
    <s v="Table 31"/>
    <x v="2"/>
    <s v="Table"/>
    <n v="1"/>
    <n v="23213"/>
    <n v="15"/>
    <n v="19731.05"/>
    <n v="14373.8"/>
    <n v="5357.25"/>
    <s v="Card"/>
    <s v="Online"/>
    <s v="Pending"/>
    <n v="2"/>
    <s v="No"/>
  </r>
  <r>
    <s v="ORD0680"/>
    <x v="148"/>
    <s v="C1255"/>
    <s v="Priya"/>
    <s v="Bengaluru"/>
    <s v="Karnataka"/>
    <x v="1"/>
    <s v="P054"/>
    <s v="Mixer 54"/>
    <x v="3"/>
    <s v="Mixer"/>
    <n v="1"/>
    <n v="59089"/>
    <n v="0"/>
    <n v="59089"/>
    <n v="46707.3"/>
    <n v="12381.7"/>
    <s v="UPI"/>
    <s v="Offline"/>
    <s v="Cancelled"/>
    <n v="2"/>
    <s v="No"/>
  </r>
  <r>
    <s v="ORD0681"/>
    <x v="36"/>
    <s v="C1058"/>
    <s v="Rahul"/>
    <s v="Pune"/>
    <s v="Maharashtra"/>
    <x v="0"/>
    <s v="P092"/>
    <s v="Laptop 92"/>
    <x v="1"/>
    <s v="Laptop"/>
    <n v="1"/>
    <n v="16688"/>
    <n v="5"/>
    <n v="15853.6"/>
    <n v="12903.85"/>
    <n v="2949.75"/>
    <s v="Cash"/>
    <s v="Offline"/>
    <s v="Pending"/>
    <n v="3"/>
    <s v="Yes"/>
  </r>
  <r>
    <s v="ORD0682"/>
    <x v="176"/>
    <s v="C1115"/>
    <s v="Neha"/>
    <s v="Bengaluru"/>
    <s v="Karnataka"/>
    <x v="1"/>
    <s v="P047"/>
    <s v="Table 47"/>
    <x v="2"/>
    <s v="Table"/>
    <n v="3"/>
    <n v="77469"/>
    <n v="20"/>
    <n v="185925.6"/>
    <n v="192303.07"/>
    <n v="-6377.47"/>
    <s v="Card"/>
    <s v="Online"/>
    <s v="Cancelled"/>
    <n v="2"/>
    <s v="No"/>
  </r>
  <r>
    <s v="ORD0683"/>
    <x v="156"/>
    <s v="C1260"/>
    <s v="Rohit"/>
    <s v="Kolkata"/>
    <s v="West Bengal"/>
    <x v="3"/>
    <s v="P036"/>
    <s v="Shoes 36"/>
    <x v="0"/>
    <s v="Shoes"/>
    <n v="1"/>
    <n v="30921"/>
    <n v="20"/>
    <n v="24736.799999999999"/>
    <n v="26067.97"/>
    <n v="-1331.17"/>
    <s v="Cash"/>
    <s v="Online"/>
    <s v="Cancelled"/>
    <n v="2"/>
    <s v="Yes"/>
  </r>
  <r>
    <s v="ORD0684"/>
    <x v="144"/>
    <s v="C1032"/>
    <s v="Rahul"/>
    <s v="Kolkata"/>
    <s v="West Bengal"/>
    <x v="3"/>
    <s v="P095"/>
    <s v="Mobile 95"/>
    <x v="1"/>
    <s v="Mobile"/>
    <n v="3"/>
    <n v="64569"/>
    <n v="15"/>
    <n v="164650.95000000001"/>
    <n v="129651.33"/>
    <n v="34999.620000000003"/>
    <s v="Card"/>
    <s v="Offline"/>
    <s v="Pending"/>
    <n v="1"/>
    <s v="No"/>
  </r>
  <r>
    <s v="ORD0685"/>
    <x v="135"/>
    <s v="C1165"/>
    <s v="Vikas"/>
    <s v="Bengaluru"/>
    <s v="Karnataka"/>
    <x v="1"/>
    <s v="P074"/>
    <s v="Mixer 74"/>
    <x v="3"/>
    <s v="Mixer"/>
    <n v="4"/>
    <n v="24659"/>
    <n v="20"/>
    <n v="78908.800000000003"/>
    <n v="80528.490000000005"/>
    <n v="-1619.69"/>
    <s v="UPI"/>
    <s v="Offline"/>
    <s v="Delivered"/>
    <n v="4"/>
    <s v="No"/>
  </r>
  <r>
    <s v="ORD0686"/>
    <x v="99"/>
    <s v="C1126"/>
    <s v="Priya"/>
    <s v="Kolkata"/>
    <s v="West Bengal"/>
    <x v="3"/>
    <s v="P059"/>
    <s v="Laptop 59"/>
    <x v="1"/>
    <s v="Laptop"/>
    <n v="4"/>
    <n v="10814"/>
    <n v="0"/>
    <n v="43256"/>
    <n v="25785.3"/>
    <n v="17470.7"/>
    <s v="UPI"/>
    <s v="Offline"/>
    <s v="Delivered"/>
    <n v="4"/>
    <s v="Yes"/>
  </r>
  <r>
    <s v="ORD0687"/>
    <x v="49"/>
    <s v="C1255"/>
    <s v="Karan"/>
    <s v="Pune"/>
    <s v="Maharashtra"/>
    <x v="0"/>
    <s v="P082"/>
    <s v="Mobile 82"/>
    <x v="1"/>
    <s v="Mobile"/>
    <n v="5"/>
    <n v="75427"/>
    <n v="10"/>
    <n v="339421.5"/>
    <n v="271399.98"/>
    <n v="68021.52"/>
    <s v="UPI"/>
    <s v="Offline"/>
    <s v="Cancelled"/>
    <n v="1"/>
    <s v="No"/>
  </r>
  <r>
    <s v="ORD0688"/>
    <x v="110"/>
    <s v="C1135"/>
    <s v="Vikas"/>
    <s v="Bengaluru"/>
    <s v="Karnataka"/>
    <x v="1"/>
    <s v="P005"/>
    <s v="Chair 5"/>
    <x v="2"/>
    <s v="Chair"/>
    <n v="4"/>
    <n v="79248"/>
    <n v="5"/>
    <n v="301142.40000000002"/>
    <n v="234549.31"/>
    <n v="66593.09"/>
    <s v="UPI"/>
    <s v="Offline"/>
    <s v="Pending"/>
    <n v="2"/>
    <s v="Yes"/>
  </r>
  <r>
    <s v="ORD0689"/>
    <x v="89"/>
    <s v="C1248"/>
    <s v="Anjali"/>
    <s v="Kolkata"/>
    <s v="West Bengal"/>
    <x v="3"/>
    <s v="P076"/>
    <s v="Mixer 76"/>
    <x v="3"/>
    <s v="Mixer"/>
    <n v="3"/>
    <n v="67874"/>
    <n v="15"/>
    <n v="173078.7"/>
    <n v="136367.01"/>
    <n v="36711.69"/>
    <s v="Cash"/>
    <s v="Online"/>
    <s v="Delivered"/>
    <n v="3"/>
    <s v="No"/>
  </r>
  <r>
    <s v="ORD0690"/>
    <x v="58"/>
    <s v="C1156"/>
    <s v="Vikas"/>
    <s v="Mumbai"/>
    <s v="Maharashtra"/>
    <x v="0"/>
    <s v="P053"/>
    <s v="Laptop 53"/>
    <x v="1"/>
    <s v="Laptop"/>
    <n v="3"/>
    <n v="43432"/>
    <n v="20"/>
    <n v="104236.8"/>
    <n v="110709.67"/>
    <n v="-6472.87"/>
    <s v="Card"/>
    <s v="Offline"/>
    <s v="Pending"/>
    <n v="2"/>
    <s v="No"/>
  </r>
  <r>
    <s v="ORD0691"/>
    <x v="23"/>
    <s v="C1246"/>
    <s v="Priya"/>
    <s v="Bengaluru"/>
    <s v="Karnataka"/>
    <x v="1"/>
    <s v="P013"/>
    <s v="Chair 13"/>
    <x v="2"/>
    <s v="Chair"/>
    <n v="1"/>
    <n v="33319"/>
    <n v="0"/>
    <n v="33319"/>
    <n v="18770.84"/>
    <n v="14548.16"/>
    <s v="UPI"/>
    <s v="Online"/>
    <s v="Cancelled"/>
    <n v="3"/>
    <s v="Yes"/>
  </r>
  <r>
    <s v="ORD0692"/>
    <x v="157"/>
    <s v="C1259"/>
    <s v="Lakshay"/>
    <s v="Chennai"/>
    <s v="Tamil Nadu"/>
    <x v="1"/>
    <s v="P086"/>
    <s v="Mobile 86"/>
    <x v="1"/>
    <s v="Mobile"/>
    <n v="2"/>
    <n v="63899"/>
    <n v="10"/>
    <n v="115018.2"/>
    <n v="88779.77"/>
    <n v="26238.43"/>
    <s v="Cash"/>
    <s v="Offline"/>
    <s v="Cancelled"/>
    <n v="5"/>
    <s v="Yes"/>
  </r>
  <r>
    <s v="ORD0693"/>
    <x v="3"/>
    <s v="C1260"/>
    <s v="Rahul"/>
    <s v="Bengaluru"/>
    <s v="Karnataka"/>
    <x v="1"/>
    <s v="P015"/>
    <s v="Table 15"/>
    <x v="2"/>
    <s v="Table"/>
    <n v="4"/>
    <n v="43697"/>
    <n v="5"/>
    <n v="166048.6"/>
    <n v="107368.28"/>
    <n v="58680.32"/>
    <s v="Card"/>
    <s v="Offline"/>
    <s v="Cancelled"/>
    <n v="5"/>
    <s v="No"/>
  </r>
  <r>
    <s v="ORD0694"/>
    <x v="152"/>
    <s v="C1048"/>
    <s v="Lakshay"/>
    <s v="Jaipur"/>
    <s v="Rajasthan"/>
    <x v="2"/>
    <s v="P043"/>
    <s v="Mobile 43"/>
    <x v="1"/>
    <s v="Mobile"/>
    <n v="3"/>
    <n v="32709"/>
    <n v="5"/>
    <n v="93220.65"/>
    <n v="72970.240000000005"/>
    <n v="20250.41"/>
    <s v="Cash"/>
    <s v="Online"/>
    <s v="Pending"/>
    <n v="3"/>
    <s v="Yes"/>
  </r>
  <r>
    <s v="ORD0695"/>
    <x v="158"/>
    <s v="C1082"/>
    <s v="Rohit"/>
    <s v="Kolkata"/>
    <s v="West Bengal"/>
    <x v="3"/>
    <s v="P002"/>
    <s v="Laptop 2"/>
    <x v="1"/>
    <s v="Laptop"/>
    <n v="4"/>
    <n v="37517"/>
    <n v="10"/>
    <n v="135061.20000000001"/>
    <n v="114160.52"/>
    <n v="20900.68"/>
    <s v="Card"/>
    <s v="Online"/>
    <s v="Cancelled"/>
    <n v="4"/>
    <s v="Yes"/>
  </r>
  <r>
    <s v="ORD0696"/>
    <x v="3"/>
    <s v="C1267"/>
    <s v="Rahul"/>
    <s v="Mumbai"/>
    <s v="Maharashtra"/>
    <x v="0"/>
    <s v="P045"/>
    <s v="Chair 45"/>
    <x v="2"/>
    <s v="Chair"/>
    <n v="1"/>
    <n v="41037"/>
    <n v="10"/>
    <n v="36933.300000000003"/>
    <n v="28083.32"/>
    <n v="8849.98"/>
    <s v="UPI"/>
    <s v="Online"/>
    <s v="Delivered"/>
    <n v="3"/>
    <s v="No"/>
  </r>
  <r>
    <s v="ORD0697"/>
    <x v="26"/>
    <s v="C1102"/>
    <s v="Lakshay"/>
    <s v="Kolkata"/>
    <s v="West Bengal"/>
    <x v="3"/>
    <s v="P058"/>
    <s v="Mobile 58"/>
    <x v="1"/>
    <s v="Mobile"/>
    <n v="2"/>
    <n v="71218"/>
    <n v="5"/>
    <n v="135314.20000000001"/>
    <n v="91420.4"/>
    <n v="43893.8"/>
    <s v="Card"/>
    <s v="Offline"/>
    <s v="Delivered"/>
    <n v="1"/>
    <s v="Yes"/>
  </r>
  <r>
    <s v="ORD0698"/>
    <x v="33"/>
    <s v="C1245"/>
    <s v="Aman"/>
    <s v="Delhi"/>
    <s v="Delhi"/>
    <x v="2"/>
    <s v="P040"/>
    <s v="Chair 40"/>
    <x v="2"/>
    <s v="Chair"/>
    <n v="1"/>
    <n v="29078"/>
    <n v="20"/>
    <n v="23262.400000000001"/>
    <n v="16712.810000000001"/>
    <n v="6549.59"/>
    <s v="Cash"/>
    <s v="Online"/>
    <s v="Pending"/>
    <n v="5"/>
    <s v="No"/>
  </r>
  <r>
    <s v="ORD0699"/>
    <x v="167"/>
    <s v="C1091"/>
    <s v="Neha"/>
    <s v="Jaipur"/>
    <s v="Rajasthan"/>
    <x v="2"/>
    <s v="P011"/>
    <s v="Laptop 11"/>
    <x v="1"/>
    <s v="Laptop"/>
    <n v="4"/>
    <n v="70393"/>
    <n v="20"/>
    <n v="225257.60000000001"/>
    <n v="235894.59"/>
    <n v="-10636.99"/>
    <s v="UPI"/>
    <s v="Online"/>
    <s v="Cancelled"/>
    <n v="5"/>
    <s v="No"/>
  </r>
  <r>
    <s v="ORD0700"/>
    <x v="5"/>
    <s v="C1240"/>
    <s v="Rahul"/>
    <s v="Chennai"/>
    <s v="Tamil Nadu"/>
    <x v="1"/>
    <s v="P055"/>
    <s v="Chair 55"/>
    <x v="2"/>
    <s v="Chair"/>
    <n v="3"/>
    <n v="55381"/>
    <n v="5"/>
    <n v="157835.85"/>
    <n v="96970.97"/>
    <n v="60864.88"/>
    <s v="UPI"/>
    <s v="Offline"/>
    <s v="Cancelled"/>
    <n v="5"/>
    <s v="No"/>
  </r>
  <r>
    <s v="ORD0701"/>
    <x v="172"/>
    <s v="C1099"/>
    <s v="Rahul"/>
    <s v="Bengaluru"/>
    <s v="Karnataka"/>
    <x v="1"/>
    <s v="P044"/>
    <s v="Chair 44"/>
    <x v="2"/>
    <s v="Chair"/>
    <n v="4"/>
    <n v="44934"/>
    <n v="0"/>
    <n v="179736"/>
    <n v="133292.64000000001"/>
    <n v="46443.360000000001"/>
    <s v="Card"/>
    <s v="Offline"/>
    <s v="Delivered"/>
    <n v="4"/>
    <s v="No"/>
  </r>
  <r>
    <s v="ORD0702"/>
    <x v="72"/>
    <s v="C1177"/>
    <s v="Lakshay"/>
    <s v="Pune"/>
    <s v="Maharashtra"/>
    <x v="0"/>
    <s v="P008"/>
    <s v="Shoes 8"/>
    <x v="0"/>
    <s v="Shoes"/>
    <n v="1"/>
    <n v="76923"/>
    <n v="5"/>
    <n v="73076.850000000006"/>
    <n v="56583.12"/>
    <n v="16493.73"/>
    <s v="UPI"/>
    <s v="Offline"/>
    <s v="Delivered"/>
    <n v="4"/>
    <s v="Yes"/>
  </r>
  <r>
    <s v="ORD0703"/>
    <x v="158"/>
    <s v="C1265"/>
    <s v="Priya"/>
    <s v="Chennai"/>
    <s v="Tamil Nadu"/>
    <x v="1"/>
    <s v="P006"/>
    <s v="Mobile 6"/>
    <x v="1"/>
    <s v="Mobile"/>
    <n v="5"/>
    <n v="53659"/>
    <n v="10"/>
    <n v="241465.5"/>
    <n v="210567.43"/>
    <n v="30898.07"/>
    <s v="Cash"/>
    <s v="Offline"/>
    <s v="Pending"/>
    <n v="4"/>
    <s v="Yes"/>
  </r>
  <r>
    <s v="ORD0704"/>
    <x v="107"/>
    <s v="C1013"/>
    <s v="Aman"/>
    <s v="Mumbai"/>
    <s v="Maharashtra"/>
    <x v="0"/>
    <s v="P088"/>
    <s v="Mobile 88"/>
    <x v="1"/>
    <s v="Mobile"/>
    <n v="2"/>
    <n v="28510"/>
    <n v="0"/>
    <n v="57020"/>
    <n v="41435.85"/>
    <n v="15584.15"/>
    <s v="UPI"/>
    <s v="Online"/>
    <s v="Pending"/>
    <n v="2"/>
    <s v="No"/>
  </r>
  <r>
    <s v="ORD0705"/>
    <x v="33"/>
    <s v="C1270"/>
    <s v="Rahul"/>
    <s v="Bengaluru"/>
    <s v="Karnataka"/>
    <x v="1"/>
    <s v="P060"/>
    <s v="Mixer 60"/>
    <x v="3"/>
    <s v="Mixer"/>
    <n v="2"/>
    <n v="69368"/>
    <n v="20"/>
    <n v="110988.8"/>
    <n v="96548.89"/>
    <n v="14439.91"/>
    <s v="Card"/>
    <s v="Online"/>
    <s v="Pending"/>
    <n v="5"/>
    <s v="Yes"/>
  </r>
  <r>
    <s v="ORD0706"/>
    <x v="62"/>
    <s v="C1208"/>
    <s v="Karan"/>
    <s v="Delhi"/>
    <s v="Delhi"/>
    <x v="2"/>
    <s v="P068"/>
    <s v="Mobile 68"/>
    <x v="1"/>
    <s v="Mobile"/>
    <n v="5"/>
    <n v="55724"/>
    <n v="5"/>
    <n v="264689"/>
    <n v="216947.97"/>
    <n v="47741.03"/>
    <s v="Card"/>
    <s v="Offline"/>
    <s v="Pending"/>
    <n v="1"/>
    <s v="No"/>
  </r>
  <r>
    <s v="ORD0707"/>
    <x v="22"/>
    <s v="C1061"/>
    <s v="Rahul"/>
    <s v="Pune"/>
    <s v="Maharashtra"/>
    <x v="0"/>
    <s v="P015"/>
    <s v="Table 15"/>
    <x v="2"/>
    <s v="Table"/>
    <n v="5"/>
    <n v="4239"/>
    <n v="10"/>
    <n v="19075.5"/>
    <n v="13808.99"/>
    <n v="5266.51"/>
    <s v="UPI"/>
    <s v="Offline"/>
    <s v="Delivered"/>
    <n v="2"/>
    <s v="Yes"/>
  </r>
  <r>
    <s v="ORD0708"/>
    <x v="177"/>
    <s v="C1014"/>
    <s v="Priya"/>
    <s v="Chennai"/>
    <s v="Tamil Nadu"/>
    <x v="1"/>
    <s v="P055"/>
    <s v="Chair 55"/>
    <x v="2"/>
    <s v="Chair"/>
    <n v="2"/>
    <n v="37766"/>
    <n v="15"/>
    <n v="64202.2"/>
    <n v="46149.5"/>
    <n v="18052.7"/>
    <s v="UPI"/>
    <s v="Offline"/>
    <s v="Delivered"/>
    <n v="3"/>
    <s v="No"/>
  </r>
  <r>
    <s v="ORD0709"/>
    <x v="77"/>
    <s v="C1124"/>
    <s v="Karan"/>
    <s v="Mumbai"/>
    <s v="Maharashtra"/>
    <x v="0"/>
    <s v="P088"/>
    <s v="Mobile 88"/>
    <x v="1"/>
    <s v="Mobile"/>
    <n v="4"/>
    <n v="2233"/>
    <n v="5"/>
    <n v="8485.4"/>
    <n v="5734.21"/>
    <n v="2751.19"/>
    <s v="UPI"/>
    <s v="Offline"/>
    <s v="Pending"/>
    <n v="4"/>
    <s v="No"/>
  </r>
  <r>
    <s v="ORD0710"/>
    <x v="171"/>
    <s v="C1064"/>
    <s v="Anjali"/>
    <s v="Kolkata"/>
    <s v="West Bengal"/>
    <x v="3"/>
    <s v="P095"/>
    <s v="Mobile 95"/>
    <x v="1"/>
    <s v="Mobile"/>
    <n v="4"/>
    <n v="79672"/>
    <n v="10"/>
    <n v="286819.20000000001"/>
    <n v="206671.9"/>
    <n v="80147.3"/>
    <s v="UPI"/>
    <s v="Offline"/>
    <s v="Pending"/>
    <n v="1"/>
    <s v="No"/>
  </r>
  <r>
    <s v="ORD0711"/>
    <x v="146"/>
    <s v="C1140"/>
    <s v="Rahul"/>
    <s v="Pune"/>
    <s v="Maharashtra"/>
    <x v="0"/>
    <s v="P017"/>
    <s v="Shoes 17"/>
    <x v="0"/>
    <s v="Shoes"/>
    <n v="5"/>
    <n v="19763"/>
    <n v="15"/>
    <n v="83992.75"/>
    <n v="65630.559999999998"/>
    <n v="18362.189999999999"/>
    <s v="Card"/>
    <s v="Online"/>
    <s v="Delivered"/>
    <n v="4"/>
    <s v="No"/>
  </r>
  <r>
    <s v="ORD0712"/>
    <x v="49"/>
    <s v="C1193"/>
    <s v="Rahul"/>
    <s v="Mumbai"/>
    <s v="Maharashtra"/>
    <x v="0"/>
    <s v="P036"/>
    <s v="Shoes 36"/>
    <x v="0"/>
    <s v="Shoes"/>
    <n v="5"/>
    <n v="49910"/>
    <n v="0"/>
    <n v="249550"/>
    <n v="168234.58"/>
    <n v="81315.42"/>
    <s v="Card"/>
    <s v="Offline"/>
    <s v="Pending"/>
    <n v="4"/>
    <s v="Yes"/>
  </r>
  <r>
    <s v="ORD0713"/>
    <x v="37"/>
    <s v="C1214"/>
    <s v="Lakshay"/>
    <s v="Bengaluru"/>
    <s v="Karnataka"/>
    <x v="1"/>
    <s v="P034"/>
    <s v="Chair 34"/>
    <x v="2"/>
    <s v="Chair"/>
    <n v="3"/>
    <n v="999"/>
    <n v="20"/>
    <n v="2397.6"/>
    <n v="1846.16"/>
    <n v="551.44000000000005"/>
    <s v="UPI"/>
    <s v="Online"/>
    <s v="Delivered"/>
    <n v="3"/>
    <s v="Yes"/>
  </r>
  <r>
    <s v="ORD0714"/>
    <x v="134"/>
    <s v="C1014"/>
    <s v="Neha"/>
    <s v="Chennai"/>
    <s v="Tamil Nadu"/>
    <x v="1"/>
    <s v="P018"/>
    <s v="Laptop 18"/>
    <x v="1"/>
    <s v="Laptop"/>
    <n v="1"/>
    <n v="12091"/>
    <n v="5"/>
    <n v="11486.45"/>
    <n v="9649.23"/>
    <n v="1837.22"/>
    <s v="Cash"/>
    <s v="Offline"/>
    <s v="Delivered"/>
    <n v="1"/>
    <s v="No"/>
  </r>
  <r>
    <s v="ORD0715"/>
    <x v="118"/>
    <s v="C1176"/>
    <s v="Anjali"/>
    <s v="Pune"/>
    <s v="Maharashtra"/>
    <x v="0"/>
    <s v="P083"/>
    <s v="Table 83"/>
    <x v="2"/>
    <s v="Table"/>
    <n v="1"/>
    <n v="59049"/>
    <n v="15"/>
    <n v="50191.65"/>
    <n v="39777.730000000003"/>
    <n v="10413.92"/>
    <s v="Cash"/>
    <s v="Online"/>
    <s v="Cancelled"/>
    <n v="2"/>
    <s v="Yes"/>
  </r>
  <r>
    <s v="ORD0716"/>
    <x v="145"/>
    <s v="C1195"/>
    <s v="Neha"/>
    <s v="Kolkata"/>
    <s v="West Bengal"/>
    <x v="3"/>
    <s v="P053"/>
    <s v="Laptop 53"/>
    <x v="1"/>
    <s v="Laptop"/>
    <n v="4"/>
    <n v="70791"/>
    <n v="0"/>
    <n v="283164"/>
    <n v="221152.03"/>
    <n v="62011.97"/>
    <s v="Cash"/>
    <s v="Offline"/>
    <s v="Cancelled"/>
    <n v="3"/>
    <s v="No"/>
  </r>
  <r>
    <s v="ORD0717"/>
    <x v="72"/>
    <s v="C1248"/>
    <s v="Priya"/>
    <s v="Bengaluru"/>
    <s v="Karnataka"/>
    <x v="1"/>
    <s v="P098"/>
    <s v="Mobile 98"/>
    <x v="1"/>
    <s v="Mobile"/>
    <n v="2"/>
    <n v="18285"/>
    <n v="15"/>
    <n v="31084.5"/>
    <n v="23584.61"/>
    <n v="7499.89"/>
    <s v="Card"/>
    <s v="Offline"/>
    <s v="Cancelled"/>
    <n v="4"/>
    <s v="No"/>
  </r>
  <r>
    <s v="ORD0718"/>
    <x v="129"/>
    <s v="C1207"/>
    <s v="Rohit"/>
    <s v="Bengaluru"/>
    <s v="Karnataka"/>
    <x v="1"/>
    <s v="P023"/>
    <s v="Mobile 23"/>
    <x v="1"/>
    <s v="Mobile"/>
    <n v="4"/>
    <n v="55816"/>
    <n v="10"/>
    <n v="200937.60000000001"/>
    <n v="173836.96"/>
    <n v="27100.639999999999"/>
    <s v="UPI"/>
    <s v="Online"/>
    <s v="Cancelled"/>
    <n v="4"/>
    <s v="No"/>
  </r>
  <r>
    <s v="ORD0719"/>
    <x v="28"/>
    <s v="C1147"/>
    <s v="Sneha"/>
    <s v="Bengaluru"/>
    <s v="Karnataka"/>
    <x v="1"/>
    <s v="P071"/>
    <s v="Mobile 71"/>
    <x v="1"/>
    <s v="Mobile"/>
    <n v="1"/>
    <n v="10954"/>
    <n v="5"/>
    <n v="10406.299999999999"/>
    <n v="6877.65"/>
    <n v="3528.65"/>
    <s v="Card"/>
    <s v="Offline"/>
    <s v="Cancelled"/>
    <n v="2"/>
    <s v="Yes"/>
  </r>
  <r>
    <s v="ORD0720"/>
    <x v="164"/>
    <s v="C1299"/>
    <s v="Rohit"/>
    <s v="Kolkata"/>
    <s v="West Bengal"/>
    <x v="3"/>
    <s v="P096"/>
    <s v="Chair 96"/>
    <x v="2"/>
    <s v="Chair"/>
    <n v="3"/>
    <n v="54392"/>
    <n v="20"/>
    <n v="130540.8"/>
    <n v="93562.46"/>
    <n v="36978.339999999997"/>
    <s v="UPI"/>
    <s v="Offline"/>
    <s v="Delivered"/>
    <n v="2"/>
    <s v="Yes"/>
  </r>
  <r>
    <s v="ORD0721"/>
    <x v="71"/>
    <s v="C1002"/>
    <s v="Anjali"/>
    <s v="Bengaluru"/>
    <s v="Karnataka"/>
    <x v="1"/>
    <s v="P080"/>
    <s v="Shoes 80"/>
    <x v="0"/>
    <s v="Shoes"/>
    <n v="4"/>
    <n v="51582"/>
    <n v="20"/>
    <n v="165062.39999999999"/>
    <n v="168869.1"/>
    <n v="-3806.7"/>
    <s v="UPI"/>
    <s v="Offline"/>
    <s v="Cancelled"/>
    <n v="5"/>
    <s v="No"/>
  </r>
  <r>
    <s v="ORD0722"/>
    <x v="161"/>
    <s v="C1169"/>
    <s v="Rohit"/>
    <s v="Jaipur"/>
    <s v="Rajasthan"/>
    <x v="2"/>
    <s v="P091"/>
    <s v="Laptop 91"/>
    <x v="1"/>
    <s v="Laptop"/>
    <n v="4"/>
    <n v="71593"/>
    <n v="0"/>
    <n v="286372"/>
    <n v="210146.3"/>
    <n v="76225.7"/>
    <s v="UPI"/>
    <s v="Offline"/>
    <s v="Delivered"/>
    <n v="4"/>
    <s v="No"/>
  </r>
  <r>
    <s v="ORD0723"/>
    <x v="38"/>
    <s v="C1255"/>
    <s v="Sneha"/>
    <s v="Delhi"/>
    <s v="Delhi"/>
    <x v="2"/>
    <s v="P016"/>
    <s v="Chair 16"/>
    <x v="2"/>
    <s v="Chair"/>
    <n v="4"/>
    <n v="50576"/>
    <n v="0"/>
    <n v="202304"/>
    <n v="159892.81"/>
    <n v="42411.19"/>
    <s v="UPI"/>
    <s v="Online"/>
    <s v="Delivered"/>
    <n v="3"/>
    <s v="No"/>
  </r>
  <r>
    <s v="ORD0724"/>
    <x v="41"/>
    <s v="C1080"/>
    <s v="Lakshay"/>
    <s v="Pune"/>
    <s v="Maharashtra"/>
    <x v="0"/>
    <s v="P063"/>
    <s v="Shoes 63"/>
    <x v="0"/>
    <s v="Shoes"/>
    <n v="2"/>
    <n v="47474"/>
    <n v="15"/>
    <n v="80705.8"/>
    <n v="77567.67"/>
    <n v="3138.13"/>
    <s v="UPI"/>
    <s v="Online"/>
    <s v="Pending"/>
    <n v="2"/>
    <s v="No"/>
  </r>
  <r>
    <s v="ORD0725"/>
    <x v="71"/>
    <s v="C1199"/>
    <s v="Vikas"/>
    <s v="Jaipur"/>
    <s v="Rajasthan"/>
    <x v="2"/>
    <s v="P052"/>
    <s v="Laptop 52"/>
    <x v="1"/>
    <s v="Laptop"/>
    <n v="4"/>
    <n v="42786"/>
    <n v="20"/>
    <n v="136915.20000000001"/>
    <n v="107113.1"/>
    <n v="29802.1"/>
    <s v="Cash"/>
    <s v="Offline"/>
    <s v="Pending"/>
    <n v="5"/>
    <s v="No"/>
  </r>
  <r>
    <s v="ORD0726"/>
    <x v="127"/>
    <s v="C1280"/>
    <s v="Rahul"/>
    <s v="Mumbai"/>
    <s v="Maharashtra"/>
    <x v="0"/>
    <s v="P068"/>
    <s v="Mobile 68"/>
    <x v="1"/>
    <s v="Mobile"/>
    <n v="1"/>
    <n v="12258"/>
    <n v="20"/>
    <n v="9806.4"/>
    <n v="9173.7000000000007"/>
    <n v="632.70000000000005"/>
    <s v="Cash"/>
    <s v="Offline"/>
    <s v="Delivered"/>
    <n v="1"/>
    <s v="Yes"/>
  </r>
  <r>
    <s v="ORD0727"/>
    <x v="35"/>
    <s v="C1195"/>
    <s v="Lakshay"/>
    <s v="Bengaluru"/>
    <s v="Karnataka"/>
    <x v="1"/>
    <s v="P051"/>
    <s v="Shoes 51"/>
    <x v="0"/>
    <s v="Shoes"/>
    <n v="4"/>
    <n v="17995"/>
    <n v="5"/>
    <n v="68381"/>
    <n v="55319.87"/>
    <n v="13061.13"/>
    <s v="UPI"/>
    <s v="Offline"/>
    <s v="Delivered"/>
    <n v="5"/>
    <s v="Yes"/>
  </r>
  <r>
    <s v="ORD0728"/>
    <x v="70"/>
    <s v="C1275"/>
    <s v="Sneha"/>
    <s v="Delhi"/>
    <s v="Delhi"/>
    <x v="2"/>
    <s v="P085"/>
    <s v="Chair 85"/>
    <x v="2"/>
    <s v="Chair"/>
    <n v="3"/>
    <n v="55068"/>
    <n v="20"/>
    <n v="132163.20000000001"/>
    <n v="104682.52"/>
    <n v="27480.68"/>
    <s v="UPI"/>
    <s v="Offline"/>
    <s v="Cancelled"/>
    <n v="4"/>
    <s v="No"/>
  </r>
  <r>
    <s v="ORD0729"/>
    <x v="89"/>
    <s v="C1066"/>
    <s v="Rohit"/>
    <s v="Pune"/>
    <s v="Maharashtra"/>
    <x v="0"/>
    <s v="P043"/>
    <s v="Mobile 43"/>
    <x v="1"/>
    <s v="Mobile"/>
    <n v="2"/>
    <n v="56169"/>
    <n v="20"/>
    <n v="89870.399999999994"/>
    <n v="62923.57"/>
    <n v="26946.83"/>
    <s v="UPI"/>
    <s v="Offline"/>
    <s v="Delivered"/>
    <n v="4"/>
    <s v="No"/>
  </r>
  <r>
    <s v="ORD0730"/>
    <x v="72"/>
    <s v="C1279"/>
    <s v="Priya"/>
    <s v="Pune"/>
    <s v="Maharashtra"/>
    <x v="0"/>
    <s v="P039"/>
    <s v="Shoes 39"/>
    <x v="0"/>
    <s v="Shoes"/>
    <n v="4"/>
    <n v="12408"/>
    <n v="0"/>
    <n v="49632"/>
    <n v="41627.050000000003"/>
    <n v="8004.95"/>
    <s v="UPI"/>
    <s v="Offline"/>
    <s v="Delivered"/>
    <n v="4"/>
    <s v="Yes"/>
  </r>
  <r>
    <s v="ORD0731"/>
    <x v="4"/>
    <s v="C1033"/>
    <s v="Lakshay"/>
    <s v="Kolkata"/>
    <s v="West Bengal"/>
    <x v="3"/>
    <s v="P073"/>
    <s v="Mixer 73"/>
    <x v="3"/>
    <s v="Mixer"/>
    <n v="1"/>
    <n v="49878"/>
    <n v="15"/>
    <n v="42396.3"/>
    <n v="36946.29"/>
    <n v="5450.01"/>
    <s v="Cash"/>
    <s v="Offline"/>
    <s v="Pending"/>
    <n v="3"/>
    <s v="Yes"/>
  </r>
  <r>
    <s v="ORD0732"/>
    <x v="39"/>
    <s v="C1143"/>
    <s v="Karan"/>
    <s v="Delhi"/>
    <s v="Delhi"/>
    <x v="2"/>
    <s v="P086"/>
    <s v="Mobile 86"/>
    <x v="1"/>
    <s v="Mobile"/>
    <n v="1"/>
    <n v="62609"/>
    <n v="15"/>
    <n v="53217.65"/>
    <n v="52709.04"/>
    <n v="508.61"/>
    <s v="Card"/>
    <s v="Online"/>
    <s v="Cancelled"/>
    <n v="5"/>
    <s v="Yes"/>
  </r>
  <r>
    <s v="ORD0733"/>
    <x v="108"/>
    <s v="C1202"/>
    <s v="Lakshay"/>
    <s v="Chennai"/>
    <s v="Tamil Nadu"/>
    <x v="1"/>
    <s v="P033"/>
    <s v="Mixer 33"/>
    <x v="3"/>
    <s v="Mixer"/>
    <n v="5"/>
    <n v="73013"/>
    <n v="10"/>
    <n v="328558.5"/>
    <n v="252084.69"/>
    <n v="76473.81"/>
    <s v="UPI"/>
    <s v="Offline"/>
    <s v="Delivered"/>
    <n v="4"/>
    <s v="No"/>
  </r>
  <r>
    <s v="ORD0734"/>
    <x v="129"/>
    <s v="C1197"/>
    <s v="Vikas"/>
    <s v="Kolkata"/>
    <s v="West Bengal"/>
    <x v="3"/>
    <s v="P005"/>
    <s v="Chair 5"/>
    <x v="2"/>
    <s v="Chair"/>
    <n v="3"/>
    <n v="31404"/>
    <n v="5"/>
    <n v="89501.4"/>
    <n v="53212.17"/>
    <n v="36289.230000000003"/>
    <s v="Card"/>
    <s v="Online"/>
    <s v="Delivered"/>
    <n v="2"/>
    <s v="No"/>
  </r>
  <r>
    <s v="ORD0735"/>
    <x v="70"/>
    <s v="C1175"/>
    <s v="Vikas"/>
    <s v="Mumbai"/>
    <s v="Maharashtra"/>
    <x v="0"/>
    <s v="P096"/>
    <s v="Chair 96"/>
    <x v="2"/>
    <s v="Chair"/>
    <n v="5"/>
    <n v="71820"/>
    <n v="20"/>
    <n v="287280"/>
    <n v="223633.59"/>
    <n v="63646.41"/>
    <s v="UPI"/>
    <s v="Offline"/>
    <s v="Pending"/>
    <n v="3"/>
    <s v="No"/>
  </r>
  <r>
    <s v="ORD0736"/>
    <x v="170"/>
    <s v="C1008"/>
    <s v="Karan"/>
    <s v="Jaipur"/>
    <s v="Rajasthan"/>
    <x v="2"/>
    <s v="P047"/>
    <s v="Table 47"/>
    <x v="2"/>
    <s v="Table"/>
    <n v="5"/>
    <n v="44020"/>
    <n v="0"/>
    <n v="220100"/>
    <n v="128105.11"/>
    <n v="91994.89"/>
    <s v="UPI"/>
    <s v="Online"/>
    <s v="Delivered"/>
    <n v="2"/>
    <s v="Yes"/>
  </r>
  <r>
    <s v="ORD0737"/>
    <x v="72"/>
    <s v="C1295"/>
    <s v="Neha"/>
    <s v="Mumbai"/>
    <s v="Maharashtra"/>
    <x v="0"/>
    <s v="P058"/>
    <s v="Mobile 58"/>
    <x v="1"/>
    <s v="Mobile"/>
    <n v="1"/>
    <n v="20176"/>
    <n v="15"/>
    <n v="17149.599999999999"/>
    <n v="13507.75"/>
    <n v="3641.85"/>
    <s v="Card"/>
    <s v="Offline"/>
    <s v="Cancelled"/>
    <n v="1"/>
    <s v="Yes"/>
  </r>
  <r>
    <s v="ORD0738"/>
    <x v="163"/>
    <s v="C1086"/>
    <s v="Aman"/>
    <s v="Bengaluru"/>
    <s v="Karnataka"/>
    <x v="1"/>
    <s v="P037"/>
    <s v="Mixer 37"/>
    <x v="3"/>
    <s v="Mixer"/>
    <n v="1"/>
    <n v="69355"/>
    <n v="10"/>
    <n v="62419.5"/>
    <n v="45130.37"/>
    <n v="17289.13"/>
    <s v="Card"/>
    <s v="Offline"/>
    <s v="Cancelled"/>
    <n v="1"/>
    <s v="Yes"/>
  </r>
  <r>
    <s v="ORD0739"/>
    <x v="162"/>
    <s v="C1230"/>
    <s v="Vikas"/>
    <s v="Jaipur"/>
    <s v="Rajasthan"/>
    <x v="2"/>
    <s v="P084"/>
    <s v="Laptop 84"/>
    <x v="1"/>
    <s v="Laptop"/>
    <n v="3"/>
    <n v="29717"/>
    <n v="15"/>
    <n v="75778.350000000006"/>
    <n v="75739.72"/>
    <n v="38.630000000000003"/>
    <s v="UPI"/>
    <s v="Offline"/>
    <s v="Delivered"/>
    <n v="4"/>
    <s v="Yes"/>
  </r>
  <r>
    <s v="ORD0740"/>
    <x v="73"/>
    <s v="C1179"/>
    <s v="Karan"/>
    <s v="Jaipur"/>
    <s v="Rajasthan"/>
    <x v="2"/>
    <s v="P099"/>
    <s v="Chair 99"/>
    <x v="2"/>
    <s v="Chair"/>
    <n v="3"/>
    <n v="66767"/>
    <n v="5"/>
    <n v="190285.95"/>
    <n v="165437.6"/>
    <n v="24848.35"/>
    <s v="UPI"/>
    <s v="Offline"/>
    <s v="Cancelled"/>
    <n v="4"/>
    <s v="Yes"/>
  </r>
  <r>
    <s v="ORD0741"/>
    <x v="79"/>
    <s v="C1265"/>
    <s v="Aman"/>
    <s v="Mumbai"/>
    <s v="Maharashtra"/>
    <x v="0"/>
    <s v="P080"/>
    <s v="Shoes 80"/>
    <x v="0"/>
    <s v="Shoes"/>
    <n v="2"/>
    <n v="52599"/>
    <n v="15"/>
    <n v="89418.3"/>
    <n v="74921.399999999994"/>
    <n v="14496.9"/>
    <s v="Cash"/>
    <s v="Offline"/>
    <s v="Delivered"/>
    <n v="2"/>
    <s v="Yes"/>
  </r>
  <r>
    <s v="ORD0742"/>
    <x v="135"/>
    <s v="C1087"/>
    <s v="Neha"/>
    <s v="Chennai"/>
    <s v="Tamil Nadu"/>
    <x v="1"/>
    <s v="P082"/>
    <s v="Mobile 82"/>
    <x v="1"/>
    <s v="Mobile"/>
    <n v="1"/>
    <n v="52144"/>
    <n v="20"/>
    <n v="41715.199999999997"/>
    <n v="43901.31"/>
    <n v="-2186.11"/>
    <s v="Card"/>
    <s v="Online"/>
    <s v="Pending"/>
    <n v="3"/>
    <s v="Yes"/>
  </r>
  <r>
    <s v="ORD0743"/>
    <x v="116"/>
    <s v="C1221"/>
    <s v="Neha"/>
    <s v="Kolkata"/>
    <s v="West Bengal"/>
    <x v="3"/>
    <s v="P040"/>
    <s v="Chair 40"/>
    <x v="2"/>
    <s v="Chair"/>
    <n v="3"/>
    <n v="21467"/>
    <n v="0"/>
    <n v="64401"/>
    <n v="53870.05"/>
    <n v="10530.95"/>
    <s v="Card"/>
    <s v="Online"/>
    <s v="Pending"/>
    <n v="1"/>
    <s v="Yes"/>
  </r>
  <r>
    <s v="ORD0744"/>
    <x v="0"/>
    <s v="C1269"/>
    <s v="Sneha"/>
    <s v="Chennai"/>
    <s v="Tamil Nadu"/>
    <x v="1"/>
    <s v="P010"/>
    <s v="Shoes 10"/>
    <x v="0"/>
    <s v="Shoes"/>
    <n v="5"/>
    <n v="44429"/>
    <n v="10"/>
    <n v="199930.5"/>
    <n v="139352.94"/>
    <n v="60577.56"/>
    <s v="Cash"/>
    <s v="Online"/>
    <s v="Delivered"/>
    <n v="5"/>
    <s v="Yes"/>
  </r>
  <r>
    <s v="ORD0745"/>
    <x v="54"/>
    <s v="C1118"/>
    <s v="Anjali"/>
    <s v="Delhi"/>
    <s v="Delhi"/>
    <x v="2"/>
    <s v="P098"/>
    <s v="Mobile 98"/>
    <x v="1"/>
    <s v="Mobile"/>
    <n v="1"/>
    <n v="647"/>
    <n v="15"/>
    <n v="549.95000000000005"/>
    <n v="474.98"/>
    <n v="74.97"/>
    <s v="Cash"/>
    <s v="Online"/>
    <s v="Pending"/>
    <n v="3"/>
    <s v="Yes"/>
  </r>
  <r>
    <s v="ORD0746"/>
    <x v="161"/>
    <s v="C1243"/>
    <s v="Rohit"/>
    <s v="Chennai"/>
    <s v="Tamil Nadu"/>
    <x v="1"/>
    <s v="P028"/>
    <s v="Shoes 28"/>
    <x v="0"/>
    <s v="Shoes"/>
    <n v="4"/>
    <n v="19074"/>
    <n v="20"/>
    <n v="61036.800000000003"/>
    <n v="44626.16"/>
    <n v="16410.64"/>
    <s v="Cash"/>
    <s v="Offline"/>
    <s v="Delivered"/>
    <n v="3"/>
    <s v="Yes"/>
  </r>
  <r>
    <s v="ORD0747"/>
    <x v="73"/>
    <s v="C1109"/>
    <s v="Anjali"/>
    <s v="Delhi"/>
    <s v="Delhi"/>
    <x v="2"/>
    <s v="P052"/>
    <s v="Laptop 52"/>
    <x v="1"/>
    <s v="Laptop"/>
    <n v="3"/>
    <n v="41739"/>
    <n v="0"/>
    <n v="125217"/>
    <n v="72635.929999999993"/>
    <n v="52581.07"/>
    <s v="UPI"/>
    <s v="Offline"/>
    <s v="Delivered"/>
    <n v="1"/>
    <s v="Yes"/>
  </r>
  <r>
    <s v="ORD0748"/>
    <x v="17"/>
    <s v="C1034"/>
    <s v="Rohit"/>
    <s v="Chennai"/>
    <s v="Tamil Nadu"/>
    <x v="1"/>
    <s v="P002"/>
    <s v="Laptop 2"/>
    <x v="1"/>
    <s v="Laptop"/>
    <n v="2"/>
    <n v="53095"/>
    <n v="20"/>
    <n v="84952"/>
    <n v="64089.440000000002"/>
    <n v="20862.560000000001"/>
    <s v="Card"/>
    <s v="Online"/>
    <s v="Cancelled"/>
    <n v="3"/>
    <s v="Yes"/>
  </r>
  <r>
    <s v="ORD0749"/>
    <x v="62"/>
    <s v="C1150"/>
    <s v="Vikas"/>
    <s v="Delhi"/>
    <s v="Delhi"/>
    <x v="2"/>
    <s v="P057"/>
    <s v="Shoes 57"/>
    <x v="0"/>
    <s v="Shoes"/>
    <n v="1"/>
    <n v="18382"/>
    <n v="5"/>
    <n v="17462.900000000001"/>
    <n v="13758.63"/>
    <n v="3704.27"/>
    <s v="Card"/>
    <s v="Online"/>
    <s v="Pending"/>
    <n v="3"/>
    <s v="No"/>
  </r>
  <r>
    <s v="ORD0750"/>
    <x v="144"/>
    <s v="C1295"/>
    <s v="Sneha"/>
    <s v="Pune"/>
    <s v="Maharashtra"/>
    <x v="0"/>
    <s v="P019"/>
    <s v="Laptop 19"/>
    <x v="1"/>
    <s v="Laptop"/>
    <n v="3"/>
    <n v="60553"/>
    <n v="0"/>
    <n v="181659"/>
    <n v="129234.11"/>
    <n v="52424.89"/>
    <s v="Card"/>
    <s v="Offline"/>
    <s v="Pending"/>
    <n v="3"/>
    <s v="No"/>
  </r>
  <r>
    <s v="ORD0751"/>
    <x v="7"/>
    <s v="C1018"/>
    <s v="Aman"/>
    <s v="Chennai"/>
    <s v="Tamil Nadu"/>
    <x v="1"/>
    <s v="P047"/>
    <s v="Table 47"/>
    <x v="2"/>
    <s v="Table"/>
    <n v="1"/>
    <n v="60165"/>
    <n v="20"/>
    <n v="48132"/>
    <n v="47353.2"/>
    <n v="778.8"/>
    <s v="UPI"/>
    <s v="Online"/>
    <s v="Pending"/>
    <n v="3"/>
    <s v="Yes"/>
  </r>
  <r>
    <s v="ORD0752"/>
    <x v="39"/>
    <s v="C1282"/>
    <s v="Aman"/>
    <s v="Delhi"/>
    <s v="Delhi"/>
    <x v="2"/>
    <s v="P033"/>
    <s v="Mixer 33"/>
    <x v="3"/>
    <s v="Mixer"/>
    <n v="5"/>
    <n v="63505"/>
    <n v="10"/>
    <n v="285772.5"/>
    <n v="236941.46"/>
    <n v="48831.040000000001"/>
    <s v="Card"/>
    <s v="Online"/>
    <s v="Cancelled"/>
    <n v="5"/>
    <s v="Yes"/>
  </r>
  <r>
    <s v="ORD0753"/>
    <x v="161"/>
    <s v="C1118"/>
    <s v="Lakshay"/>
    <s v="Kolkata"/>
    <s v="West Bengal"/>
    <x v="3"/>
    <s v="P007"/>
    <s v="Laptop 7"/>
    <x v="1"/>
    <s v="Laptop"/>
    <n v="5"/>
    <n v="37043"/>
    <n v="0"/>
    <n v="185215"/>
    <n v="114472.63"/>
    <n v="70742.37"/>
    <s v="UPI"/>
    <s v="Online"/>
    <s v="Cancelled"/>
    <n v="1"/>
    <s v="Yes"/>
  </r>
  <r>
    <s v="ORD0754"/>
    <x v="153"/>
    <s v="C1136"/>
    <s v="Rahul"/>
    <s v="Jaipur"/>
    <s v="Rajasthan"/>
    <x v="2"/>
    <s v="P001"/>
    <s v="Shoes 1"/>
    <x v="0"/>
    <s v="Shoes"/>
    <n v="1"/>
    <n v="48490"/>
    <n v="0"/>
    <n v="48490"/>
    <n v="32338.71"/>
    <n v="16151.29"/>
    <s v="UPI"/>
    <s v="Online"/>
    <s v="Pending"/>
    <n v="3"/>
    <s v="Yes"/>
  </r>
  <r>
    <s v="ORD0755"/>
    <x v="99"/>
    <s v="C1065"/>
    <s v="Aman"/>
    <s v="Jaipur"/>
    <s v="Rajasthan"/>
    <x v="2"/>
    <s v="P073"/>
    <s v="Mixer 73"/>
    <x v="3"/>
    <s v="Mixer"/>
    <n v="2"/>
    <n v="74023"/>
    <n v="5"/>
    <n v="140643.70000000001"/>
    <n v="96493.67"/>
    <n v="44150.03"/>
    <s v="UPI"/>
    <s v="Online"/>
    <s v="Pending"/>
    <n v="5"/>
    <s v="Yes"/>
  </r>
  <r>
    <s v="ORD0756"/>
    <x v="13"/>
    <s v="C1063"/>
    <s v="Karan"/>
    <s v="Delhi"/>
    <s v="Delhi"/>
    <x v="2"/>
    <s v="P090"/>
    <s v="Mixer 90"/>
    <x v="3"/>
    <s v="Mixer"/>
    <n v="1"/>
    <n v="31488"/>
    <n v="0"/>
    <n v="31488"/>
    <n v="26109.91"/>
    <n v="5378.09"/>
    <s v="Card"/>
    <s v="Online"/>
    <s v="Pending"/>
    <n v="2"/>
    <s v="No"/>
  </r>
  <r>
    <s v="ORD0757"/>
    <x v="104"/>
    <s v="C1095"/>
    <s v="Lakshay"/>
    <s v="Delhi"/>
    <s v="Delhi"/>
    <x v="2"/>
    <s v="P055"/>
    <s v="Chair 55"/>
    <x v="2"/>
    <s v="Chair"/>
    <n v="1"/>
    <n v="72134"/>
    <n v="20"/>
    <n v="57707.199999999997"/>
    <n v="47975.58"/>
    <n v="9731.6200000000008"/>
    <s v="UPI"/>
    <s v="Offline"/>
    <s v="Delivered"/>
    <n v="2"/>
    <s v="No"/>
  </r>
  <r>
    <s v="ORD0758"/>
    <x v="127"/>
    <s v="C1042"/>
    <s v="Rahul"/>
    <s v="Pune"/>
    <s v="Maharashtra"/>
    <x v="0"/>
    <s v="P025"/>
    <s v="Shoes 25"/>
    <x v="0"/>
    <s v="Shoes"/>
    <n v="5"/>
    <n v="24252"/>
    <n v="20"/>
    <n v="97008"/>
    <n v="88056.05"/>
    <n v="8951.9500000000007"/>
    <s v="UPI"/>
    <s v="Offline"/>
    <s v="Pending"/>
    <n v="5"/>
    <s v="No"/>
  </r>
  <r>
    <s v="ORD0759"/>
    <x v="67"/>
    <s v="C1273"/>
    <s v="Karan"/>
    <s v="Bengaluru"/>
    <s v="Karnataka"/>
    <x v="1"/>
    <s v="P039"/>
    <s v="Shoes 39"/>
    <x v="0"/>
    <s v="Shoes"/>
    <n v="5"/>
    <n v="52518"/>
    <n v="0"/>
    <n v="262590"/>
    <n v="168016.45"/>
    <n v="94573.55"/>
    <s v="Cash"/>
    <s v="Online"/>
    <s v="Delivered"/>
    <n v="2"/>
    <s v="No"/>
  </r>
  <r>
    <s v="ORD0760"/>
    <x v="70"/>
    <s v="C1027"/>
    <s v="Vikas"/>
    <s v="Kolkata"/>
    <s v="West Bengal"/>
    <x v="3"/>
    <s v="P072"/>
    <s v="Laptop 72"/>
    <x v="1"/>
    <s v="Laptop"/>
    <n v="3"/>
    <n v="13452"/>
    <n v="20"/>
    <n v="32284.799999999999"/>
    <n v="26970.18"/>
    <n v="5314.62"/>
    <s v="UPI"/>
    <s v="Offline"/>
    <s v="Pending"/>
    <n v="2"/>
    <s v="Yes"/>
  </r>
  <r>
    <s v="ORD0761"/>
    <x v="26"/>
    <s v="C1178"/>
    <s v="Vikas"/>
    <s v="Bengaluru"/>
    <s v="Karnataka"/>
    <x v="1"/>
    <s v="P060"/>
    <s v="Mixer 60"/>
    <x v="3"/>
    <s v="Mixer"/>
    <n v="1"/>
    <n v="24566"/>
    <n v="15"/>
    <n v="20881.099999999999"/>
    <n v="14916"/>
    <n v="5965.1"/>
    <s v="Card"/>
    <s v="Online"/>
    <s v="Cancelled"/>
    <n v="2"/>
    <s v="Yes"/>
  </r>
  <r>
    <s v="ORD0762"/>
    <x v="51"/>
    <s v="C1063"/>
    <s v="Aman"/>
    <s v="Delhi"/>
    <s v="Delhi"/>
    <x v="2"/>
    <s v="P047"/>
    <s v="Table 47"/>
    <x v="2"/>
    <s v="Table"/>
    <n v="4"/>
    <n v="17355"/>
    <n v="0"/>
    <n v="69420"/>
    <n v="42309.53"/>
    <n v="27110.47"/>
    <s v="UPI"/>
    <s v="Offline"/>
    <s v="Delivered"/>
    <n v="3"/>
    <s v="No"/>
  </r>
  <r>
    <s v="ORD0763"/>
    <x v="12"/>
    <s v="C1154"/>
    <s v="Anjali"/>
    <s v="Bengaluru"/>
    <s v="Karnataka"/>
    <x v="1"/>
    <s v="P025"/>
    <s v="Shoes 25"/>
    <x v="0"/>
    <s v="Shoes"/>
    <n v="5"/>
    <n v="49630"/>
    <n v="10"/>
    <n v="223335"/>
    <n v="204629.42"/>
    <n v="18705.580000000002"/>
    <s v="Card"/>
    <s v="Offline"/>
    <s v="Delivered"/>
    <n v="3"/>
    <s v="Yes"/>
  </r>
  <r>
    <s v="ORD0764"/>
    <x v="138"/>
    <s v="C1173"/>
    <s v="Karan"/>
    <s v="Chennai"/>
    <s v="Tamil Nadu"/>
    <x v="1"/>
    <s v="P003"/>
    <s v="Mixer 3"/>
    <x v="3"/>
    <s v="Mixer"/>
    <n v="1"/>
    <n v="71590"/>
    <n v="20"/>
    <n v="57272"/>
    <n v="56322.11"/>
    <n v="949.89"/>
    <s v="UPI"/>
    <s v="Offline"/>
    <s v="Cancelled"/>
    <n v="4"/>
    <s v="Yes"/>
  </r>
  <r>
    <s v="ORD0765"/>
    <x v="169"/>
    <s v="C1099"/>
    <s v="Rahul"/>
    <s v="Jaipur"/>
    <s v="Rajasthan"/>
    <x v="2"/>
    <s v="P084"/>
    <s v="Laptop 84"/>
    <x v="1"/>
    <s v="Laptop"/>
    <n v="4"/>
    <n v="14313"/>
    <n v="15"/>
    <n v="48664.2"/>
    <n v="36896.870000000003"/>
    <n v="11767.33"/>
    <s v="UPI"/>
    <s v="Online"/>
    <s v="Delivered"/>
    <n v="1"/>
    <s v="No"/>
  </r>
  <r>
    <s v="ORD0766"/>
    <x v="173"/>
    <s v="C1201"/>
    <s v="Vikas"/>
    <s v="Chennai"/>
    <s v="Tamil Nadu"/>
    <x v="1"/>
    <s v="P089"/>
    <s v="Laptop 89"/>
    <x v="1"/>
    <s v="Laptop"/>
    <n v="2"/>
    <n v="4026"/>
    <n v="20"/>
    <n v="6441.6"/>
    <n v="6378.23"/>
    <n v="63.37"/>
    <s v="Cash"/>
    <s v="Offline"/>
    <s v="Cancelled"/>
    <n v="4"/>
    <s v="Yes"/>
  </r>
  <r>
    <s v="ORD0767"/>
    <x v="75"/>
    <s v="C1255"/>
    <s v="Neha"/>
    <s v="Mumbai"/>
    <s v="Maharashtra"/>
    <x v="0"/>
    <s v="P091"/>
    <s v="Laptop 91"/>
    <x v="1"/>
    <s v="Laptop"/>
    <n v="4"/>
    <n v="74029"/>
    <n v="20"/>
    <n v="236892.79999999999"/>
    <n v="191574.88"/>
    <n v="45317.919999999998"/>
    <s v="UPI"/>
    <s v="Offline"/>
    <s v="Pending"/>
    <n v="1"/>
    <s v="No"/>
  </r>
  <r>
    <s v="ORD0768"/>
    <x v="39"/>
    <s v="C1181"/>
    <s v="Rahul"/>
    <s v="Bengaluru"/>
    <s v="Karnataka"/>
    <x v="1"/>
    <s v="P069"/>
    <s v="Chair 69"/>
    <x v="2"/>
    <s v="Chair"/>
    <n v="5"/>
    <n v="14937"/>
    <n v="0"/>
    <n v="74685"/>
    <n v="50282.11"/>
    <n v="24402.89"/>
    <s v="Cash"/>
    <s v="Offline"/>
    <s v="Pending"/>
    <n v="1"/>
    <s v="Yes"/>
  </r>
  <r>
    <s v="ORD0769"/>
    <x v="145"/>
    <s v="C1180"/>
    <s v="Vikas"/>
    <s v="Pune"/>
    <s v="Maharashtra"/>
    <x v="0"/>
    <s v="P023"/>
    <s v="Mobile 23"/>
    <x v="1"/>
    <s v="Mobile"/>
    <n v="2"/>
    <n v="56615"/>
    <n v="10"/>
    <n v="101907"/>
    <n v="78039.16"/>
    <n v="23867.84"/>
    <s v="UPI"/>
    <s v="Online"/>
    <s v="Pending"/>
    <n v="2"/>
    <s v="No"/>
  </r>
  <r>
    <s v="ORD0770"/>
    <x v="142"/>
    <s v="C1253"/>
    <s v="Sneha"/>
    <s v="Mumbai"/>
    <s v="Maharashtra"/>
    <x v="0"/>
    <s v="P085"/>
    <s v="Chair 85"/>
    <x v="2"/>
    <s v="Chair"/>
    <n v="3"/>
    <n v="6205"/>
    <n v="20"/>
    <n v="14892"/>
    <n v="12638.49"/>
    <n v="2253.5100000000002"/>
    <s v="Card"/>
    <s v="Offline"/>
    <s v="Pending"/>
    <n v="1"/>
    <s v="Yes"/>
  </r>
  <r>
    <s v="ORD0771"/>
    <x v="8"/>
    <s v="C1035"/>
    <s v="Lakshay"/>
    <s v="Bengaluru"/>
    <s v="Karnataka"/>
    <x v="1"/>
    <s v="P066"/>
    <s v="Mobile 66"/>
    <x v="1"/>
    <s v="Mobile"/>
    <n v="5"/>
    <n v="60819"/>
    <n v="5"/>
    <n v="288890.25"/>
    <n v="206088.37"/>
    <n v="82801.88"/>
    <s v="Cash"/>
    <s v="Online"/>
    <s v="Pending"/>
    <n v="3"/>
    <s v="Yes"/>
  </r>
  <r>
    <s v="ORD0772"/>
    <x v="33"/>
    <s v="C1075"/>
    <s v="Neha"/>
    <s v="Chennai"/>
    <s v="Tamil Nadu"/>
    <x v="1"/>
    <s v="P020"/>
    <s v="Shoes 20"/>
    <x v="0"/>
    <s v="Shoes"/>
    <n v="1"/>
    <n v="62933"/>
    <n v="0"/>
    <n v="62933"/>
    <n v="45098.720000000001"/>
    <n v="17834.28"/>
    <s v="Card"/>
    <s v="Offline"/>
    <s v="Cancelled"/>
    <n v="3"/>
    <s v="Yes"/>
  </r>
  <r>
    <s v="ORD0773"/>
    <x v="75"/>
    <s v="C1149"/>
    <s v="Lakshay"/>
    <s v="Mumbai"/>
    <s v="Maharashtra"/>
    <x v="0"/>
    <s v="P011"/>
    <s v="Laptop 11"/>
    <x v="1"/>
    <s v="Laptop"/>
    <n v="4"/>
    <n v="44455"/>
    <n v="5"/>
    <n v="168929"/>
    <n v="145921.62"/>
    <n v="23007.38"/>
    <s v="UPI"/>
    <s v="Offline"/>
    <s v="Delivered"/>
    <n v="3"/>
    <s v="No"/>
  </r>
  <r>
    <s v="ORD0774"/>
    <x v="11"/>
    <s v="C1182"/>
    <s v="Sneha"/>
    <s v="Pune"/>
    <s v="Maharashtra"/>
    <x v="0"/>
    <s v="P013"/>
    <s v="Chair 13"/>
    <x v="2"/>
    <s v="Chair"/>
    <n v="5"/>
    <n v="21577"/>
    <n v="0"/>
    <n v="107885"/>
    <n v="88742.69"/>
    <n v="19142.310000000001"/>
    <s v="UPI"/>
    <s v="Online"/>
    <s v="Cancelled"/>
    <n v="3"/>
    <s v="Yes"/>
  </r>
  <r>
    <s v="ORD0775"/>
    <x v="129"/>
    <s v="C1119"/>
    <s v="Neha"/>
    <s v="Pune"/>
    <s v="Maharashtra"/>
    <x v="0"/>
    <s v="P040"/>
    <s v="Chair 40"/>
    <x v="2"/>
    <s v="Chair"/>
    <n v="1"/>
    <n v="25248"/>
    <n v="0"/>
    <n v="25248"/>
    <n v="14217.53"/>
    <n v="11030.47"/>
    <s v="Cash"/>
    <s v="Online"/>
    <s v="Delivered"/>
    <n v="1"/>
    <s v="Yes"/>
  </r>
  <r>
    <s v="ORD0776"/>
    <x v="152"/>
    <s v="C1223"/>
    <s v="Vikas"/>
    <s v="Kolkata"/>
    <s v="West Bengal"/>
    <x v="3"/>
    <s v="P049"/>
    <s v="Shoes 49"/>
    <x v="0"/>
    <s v="Shoes"/>
    <n v="5"/>
    <n v="47233"/>
    <n v="0"/>
    <n v="236165"/>
    <n v="144476.9"/>
    <n v="91688.1"/>
    <s v="Card"/>
    <s v="Online"/>
    <s v="Cancelled"/>
    <n v="2"/>
    <s v="Yes"/>
  </r>
  <r>
    <s v="ORD0777"/>
    <x v="141"/>
    <s v="C1044"/>
    <s v="Sneha"/>
    <s v="Delhi"/>
    <s v="Delhi"/>
    <x v="2"/>
    <s v="P029"/>
    <s v="Mixer 29"/>
    <x v="3"/>
    <s v="Mixer"/>
    <n v="3"/>
    <n v="9741"/>
    <n v="0"/>
    <n v="29223"/>
    <n v="20700.09"/>
    <n v="8522.91"/>
    <s v="Cash"/>
    <s v="Online"/>
    <s v="Pending"/>
    <n v="3"/>
    <s v="Yes"/>
  </r>
  <r>
    <s v="ORD0778"/>
    <x v="154"/>
    <s v="C1256"/>
    <s v="Priya"/>
    <s v="Kolkata"/>
    <s v="West Bengal"/>
    <x v="3"/>
    <s v="P020"/>
    <s v="Shoes 20"/>
    <x v="0"/>
    <s v="Shoes"/>
    <n v="2"/>
    <n v="75143"/>
    <n v="0"/>
    <n v="150286"/>
    <n v="103459.27"/>
    <n v="46826.73"/>
    <s v="Card"/>
    <s v="Offline"/>
    <s v="Cancelled"/>
    <n v="5"/>
    <s v="Yes"/>
  </r>
  <r>
    <s v="ORD0779"/>
    <x v="37"/>
    <s v="C1260"/>
    <s v="Rohit"/>
    <s v="Bengaluru"/>
    <s v="Karnataka"/>
    <x v="1"/>
    <s v="P058"/>
    <s v="Mobile 58"/>
    <x v="1"/>
    <s v="Mobile"/>
    <n v="2"/>
    <n v="28371"/>
    <n v="10"/>
    <n v="51067.8"/>
    <n v="38428.22"/>
    <n v="12639.58"/>
    <s v="Card"/>
    <s v="Offline"/>
    <s v="Delivered"/>
    <n v="4"/>
    <s v="No"/>
  </r>
  <r>
    <s v="ORD0780"/>
    <x v="2"/>
    <s v="C1207"/>
    <s v="Sneha"/>
    <s v="Pune"/>
    <s v="Maharashtra"/>
    <x v="0"/>
    <s v="P033"/>
    <s v="Mixer 33"/>
    <x v="3"/>
    <s v="Mixer"/>
    <n v="3"/>
    <n v="40128"/>
    <n v="5"/>
    <n v="114364.8"/>
    <n v="94348.31"/>
    <n v="20016.490000000002"/>
    <s v="Card"/>
    <s v="Online"/>
    <s v="Delivered"/>
    <n v="2"/>
    <s v="No"/>
  </r>
  <r>
    <s v="ORD0781"/>
    <x v="129"/>
    <s v="C1105"/>
    <s v="Neha"/>
    <s v="Chennai"/>
    <s v="Tamil Nadu"/>
    <x v="1"/>
    <s v="P059"/>
    <s v="Laptop 59"/>
    <x v="1"/>
    <s v="Laptop"/>
    <n v="3"/>
    <n v="15435"/>
    <n v="5"/>
    <n v="43989.75"/>
    <n v="39000.949999999997"/>
    <n v="4988.8"/>
    <s v="UPI"/>
    <s v="Offline"/>
    <s v="Cancelled"/>
    <n v="4"/>
    <s v="Yes"/>
  </r>
  <r>
    <s v="ORD0782"/>
    <x v="175"/>
    <s v="C1109"/>
    <s v="Karan"/>
    <s v="Jaipur"/>
    <s v="Rajasthan"/>
    <x v="2"/>
    <s v="P024"/>
    <s v="Laptop 24"/>
    <x v="1"/>
    <s v="Laptop"/>
    <n v="3"/>
    <n v="25536"/>
    <n v="0"/>
    <n v="76608"/>
    <n v="57030.82"/>
    <n v="19577.18"/>
    <s v="UPI"/>
    <s v="Offline"/>
    <s v="Pending"/>
    <n v="4"/>
    <s v="No"/>
  </r>
  <r>
    <s v="ORD0783"/>
    <x v="22"/>
    <s v="C1271"/>
    <s v="Sneha"/>
    <s v="Mumbai"/>
    <s v="Maharashtra"/>
    <x v="0"/>
    <s v="P043"/>
    <s v="Mobile 43"/>
    <x v="1"/>
    <s v="Mobile"/>
    <n v="1"/>
    <n v="25986"/>
    <n v="5"/>
    <n v="24686.7"/>
    <n v="19142.46"/>
    <n v="5544.24"/>
    <s v="Card"/>
    <s v="Offline"/>
    <s v="Delivered"/>
    <n v="4"/>
    <s v="Yes"/>
  </r>
  <r>
    <s v="ORD0784"/>
    <x v="54"/>
    <s v="C1258"/>
    <s v="Lakshay"/>
    <s v="Chennai"/>
    <s v="Tamil Nadu"/>
    <x v="1"/>
    <s v="P090"/>
    <s v="Mixer 90"/>
    <x v="3"/>
    <s v="Mixer"/>
    <n v="2"/>
    <n v="32685"/>
    <n v="5"/>
    <n v="62101.5"/>
    <n v="45850.84"/>
    <n v="16250.66"/>
    <s v="Cash"/>
    <s v="Offline"/>
    <s v="Delivered"/>
    <n v="4"/>
    <s v="Yes"/>
  </r>
  <r>
    <s v="ORD0785"/>
    <x v="26"/>
    <s v="C1086"/>
    <s v="Priya"/>
    <s v="Jaipur"/>
    <s v="Rajasthan"/>
    <x v="2"/>
    <s v="P058"/>
    <s v="Mobile 58"/>
    <x v="1"/>
    <s v="Mobile"/>
    <n v="2"/>
    <n v="58397"/>
    <n v="5"/>
    <n v="110954.3"/>
    <n v="84618.07"/>
    <n v="26336.23"/>
    <s v="Card"/>
    <s v="Offline"/>
    <s v="Cancelled"/>
    <n v="3"/>
    <s v="Yes"/>
  </r>
  <r>
    <s v="ORD0786"/>
    <x v="5"/>
    <s v="C1055"/>
    <s v="Sneha"/>
    <s v="Kolkata"/>
    <s v="West Bengal"/>
    <x v="3"/>
    <s v="P012"/>
    <s v="Table 12"/>
    <x v="2"/>
    <s v="Table"/>
    <n v="5"/>
    <n v="43338"/>
    <n v="5"/>
    <n v="205855.5"/>
    <n v="177517.97"/>
    <n v="28337.53"/>
    <s v="Card"/>
    <s v="Online"/>
    <s v="Pending"/>
    <n v="1"/>
    <s v="Yes"/>
  </r>
  <r>
    <s v="ORD0787"/>
    <x v="51"/>
    <s v="C1087"/>
    <s v="Priya"/>
    <s v="Mumbai"/>
    <s v="Maharashtra"/>
    <x v="0"/>
    <s v="P066"/>
    <s v="Mobile 66"/>
    <x v="1"/>
    <s v="Mobile"/>
    <n v="5"/>
    <n v="9120"/>
    <n v="15"/>
    <n v="38760"/>
    <n v="30809.599999999999"/>
    <n v="7950.4"/>
    <s v="UPI"/>
    <s v="Offline"/>
    <s v="Cancelled"/>
    <n v="4"/>
    <s v="Yes"/>
  </r>
  <r>
    <s v="ORD0788"/>
    <x v="55"/>
    <s v="C1273"/>
    <s v="Rahul"/>
    <s v="Mumbai"/>
    <s v="Maharashtra"/>
    <x v="0"/>
    <s v="P050"/>
    <s v="Chair 50"/>
    <x v="2"/>
    <s v="Chair"/>
    <n v="1"/>
    <n v="59036"/>
    <n v="10"/>
    <n v="53132.4"/>
    <n v="45763.73"/>
    <n v="7368.67"/>
    <s v="Cash"/>
    <s v="Offline"/>
    <s v="Pending"/>
    <n v="3"/>
    <s v="Yes"/>
  </r>
  <r>
    <s v="ORD0789"/>
    <x v="149"/>
    <s v="C1225"/>
    <s v="Priya"/>
    <s v="Jaipur"/>
    <s v="Rajasthan"/>
    <x v="2"/>
    <s v="P031"/>
    <s v="Table 31"/>
    <x v="2"/>
    <s v="Table"/>
    <n v="2"/>
    <n v="23738"/>
    <n v="0"/>
    <n v="47476"/>
    <n v="30978.639999999999"/>
    <n v="16497.36"/>
    <s v="Card"/>
    <s v="Online"/>
    <s v="Delivered"/>
    <n v="1"/>
    <s v="No"/>
  </r>
  <r>
    <s v="ORD0790"/>
    <x v="59"/>
    <s v="C1272"/>
    <s v="Anjali"/>
    <s v="Jaipur"/>
    <s v="Rajasthan"/>
    <x v="2"/>
    <s v="P089"/>
    <s v="Laptop 89"/>
    <x v="1"/>
    <s v="Laptop"/>
    <n v="3"/>
    <n v="33136"/>
    <n v="15"/>
    <n v="84496.8"/>
    <n v="61406.55"/>
    <n v="23090.25"/>
    <s v="Card"/>
    <s v="Online"/>
    <s v="Delivered"/>
    <n v="4"/>
    <s v="Yes"/>
  </r>
  <r>
    <s v="ORD0791"/>
    <x v="171"/>
    <s v="C1220"/>
    <s v="Karan"/>
    <s v="Bengaluru"/>
    <s v="Karnataka"/>
    <x v="1"/>
    <s v="P059"/>
    <s v="Laptop 59"/>
    <x v="1"/>
    <s v="Laptop"/>
    <n v="1"/>
    <n v="17016"/>
    <n v="20"/>
    <n v="13612.8"/>
    <n v="12242.41"/>
    <n v="1370.39"/>
    <s v="UPI"/>
    <s v="Offline"/>
    <s v="Cancelled"/>
    <n v="3"/>
    <s v="No"/>
  </r>
  <r>
    <s v="ORD0792"/>
    <x v="65"/>
    <s v="C1105"/>
    <s v="Neha"/>
    <s v="Jaipur"/>
    <s v="Rajasthan"/>
    <x v="2"/>
    <s v="P072"/>
    <s v="Laptop 72"/>
    <x v="1"/>
    <s v="Laptop"/>
    <n v="5"/>
    <n v="71283"/>
    <n v="15"/>
    <n v="302952.75"/>
    <n v="299497.43"/>
    <n v="3455.32"/>
    <s v="Card"/>
    <s v="Offline"/>
    <s v="Delivered"/>
    <n v="4"/>
    <s v="No"/>
  </r>
  <r>
    <s v="ORD0793"/>
    <x v="137"/>
    <s v="C1025"/>
    <s v="Anjali"/>
    <s v="Chennai"/>
    <s v="Tamil Nadu"/>
    <x v="1"/>
    <s v="P050"/>
    <s v="Chair 50"/>
    <x v="2"/>
    <s v="Chair"/>
    <n v="3"/>
    <n v="58746"/>
    <n v="20"/>
    <n v="140990.39999999999"/>
    <n v="123892.95"/>
    <n v="17097.45"/>
    <s v="UPI"/>
    <s v="Offline"/>
    <s v="Pending"/>
    <n v="5"/>
    <s v="No"/>
  </r>
  <r>
    <s v="ORD0794"/>
    <x v="93"/>
    <s v="C1049"/>
    <s v="Karan"/>
    <s v="Bengaluru"/>
    <s v="Karnataka"/>
    <x v="1"/>
    <s v="P084"/>
    <s v="Laptop 84"/>
    <x v="1"/>
    <s v="Laptop"/>
    <n v="2"/>
    <n v="9594"/>
    <n v="5"/>
    <n v="18228.599999999999"/>
    <n v="14216.8"/>
    <n v="4011.8"/>
    <s v="Card"/>
    <s v="Offline"/>
    <s v="Cancelled"/>
    <n v="5"/>
    <s v="Yes"/>
  </r>
  <r>
    <s v="ORD0795"/>
    <x v="88"/>
    <s v="C1028"/>
    <s v="Lakshay"/>
    <s v="Jaipur"/>
    <s v="Rajasthan"/>
    <x v="2"/>
    <s v="P097"/>
    <s v="Mobile 97"/>
    <x v="1"/>
    <s v="Mobile"/>
    <n v="4"/>
    <n v="47843"/>
    <n v="5"/>
    <n v="181803.4"/>
    <n v="109227.11"/>
    <n v="72576.289999999994"/>
    <s v="Cash"/>
    <s v="Online"/>
    <s v="Pending"/>
    <n v="1"/>
    <s v="Yes"/>
  </r>
  <r>
    <s v="ORD0796"/>
    <x v="58"/>
    <s v="C1178"/>
    <s v="Rohit"/>
    <s v="Delhi"/>
    <s v="Delhi"/>
    <x v="2"/>
    <s v="P035"/>
    <s v="Table 35"/>
    <x v="2"/>
    <s v="Table"/>
    <n v="5"/>
    <n v="42235"/>
    <n v="20"/>
    <n v="168940"/>
    <n v="138073.06"/>
    <n v="30866.94"/>
    <s v="Card"/>
    <s v="Offline"/>
    <s v="Pending"/>
    <n v="1"/>
    <s v="Yes"/>
  </r>
  <r>
    <s v="ORD0797"/>
    <x v="157"/>
    <s v="C1007"/>
    <s v="Priya"/>
    <s v="Delhi"/>
    <s v="Delhi"/>
    <x v="2"/>
    <s v="P025"/>
    <s v="Shoes 25"/>
    <x v="0"/>
    <s v="Shoes"/>
    <n v="4"/>
    <n v="77324"/>
    <n v="10"/>
    <n v="278366.40000000002"/>
    <n v="211948.2"/>
    <n v="66418.2"/>
    <s v="Cash"/>
    <s v="Offline"/>
    <s v="Cancelled"/>
    <n v="5"/>
    <s v="No"/>
  </r>
  <r>
    <s v="ORD0798"/>
    <x v="77"/>
    <s v="C1258"/>
    <s v="Anjali"/>
    <s v="Chennai"/>
    <s v="Tamil Nadu"/>
    <x v="1"/>
    <s v="P017"/>
    <s v="Shoes 17"/>
    <x v="0"/>
    <s v="Shoes"/>
    <n v="3"/>
    <n v="74657"/>
    <n v="20"/>
    <n v="179176.8"/>
    <n v="149060.32999999999"/>
    <n v="30116.47"/>
    <s v="Cash"/>
    <s v="Offline"/>
    <s v="Delivered"/>
    <n v="2"/>
    <s v="No"/>
  </r>
  <r>
    <s v="ORD0799"/>
    <x v="97"/>
    <s v="C1279"/>
    <s v="Priya"/>
    <s v="Chennai"/>
    <s v="Tamil Nadu"/>
    <x v="1"/>
    <s v="P061"/>
    <s v="Mobile 61"/>
    <x v="1"/>
    <s v="Mobile"/>
    <n v="5"/>
    <n v="61619"/>
    <n v="15"/>
    <n v="261880.75"/>
    <n v="222394.62"/>
    <n v="39486.129999999997"/>
    <s v="Card"/>
    <s v="Online"/>
    <s v="Pending"/>
    <n v="2"/>
    <s v="Yes"/>
  </r>
  <r>
    <s v="ORD0800"/>
    <x v="118"/>
    <s v="C1148"/>
    <s v="Vikas"/>
    <s v="Kolkata"/>
    <s v="West Bengal"/>
    <x v="3"/>
    <s v="P088"/>
    <s v="Mobile 88"/>
    <x v="1"/>
    <s v="Mobile"/>
    <n v="1"/>
    <n v="34659"/>
    <n v="20"/>
    <n v="27727.200000000001"/>
    <n v="26471.48"/>
    <n v="1255.72"/>
    <s v="Cash"/>
    <s v="Offline"/>
    <s v="Pending"/>
    <n v="3"/>
    <s v="Yes"/>
  </r>
  <r>
    <s v="ORD0801"/>
    <x v="20"/>
    <s v="C1193"/>
    <s v="Sneha"/>
    <s v="Jaipur"/>
    <s v="Rajasthan"/>
    <x v="2"/>
    <s v="P080"/>
    <s v="Shoes 80"/>
    <x v="0"/>
    <s v="Shoes"/>
    <n v="1"/>
    <n v="38933"/>
    <n v="5"/>
    <n v="36986.35"/>
    <n v="32237.95"/>
    <n v="4748.3999999999996"/>
    <s v="Card"/>
    <s v="Online"/>
    <s v="Cancelled"/>
    <n v="5"/>
    <s v="Yes"/>
  </r>
  <r>
    <s v="ORD0802"/>
    <x v="162"/>
    <s v="C1268"/>
    <s v="Sneha"/>
    <s v="Delhi"/>
    <s v="Delhi"/>
    <x v="2"/>
    <s v="P058"/>
    <s v="Mobile 58"/>
    <x v="1"/>
    <s v="Mobile"/>
    <n v="2"/>
    <n v="10802"/>
    <n v="10"/>
    <n v="19443.599999999999"/>
    <n v="13613.5"/>
    <n v="5830.1"/>
    <s v="UPI"/>
    <s v="Online"/>
    <s v="Pending"/>
    <n v="5"/>
    <s v="Yes"/>
  </r>
  <r>
    <s v="ORD0803"/>
    <x v="129"/>
    <s v="C1287"/>
    <s v="Anjali"/>
    <s v="Mumbai"/>
    <s v="Maharashtra"/>
    <x v="0"/>
    <s v="P023"/>
    <s v="Mobile 23"/>
    <x v="1"/>
    <s v="Mobile"/>
    <n v="1"/>
    <n v="40462"/>
    <n v="10"/>
    <n v="36415.800000000003"/>
    <n v="28814.04"/>
    <n v="7601.76"/>
    <s v="Card"/>
    <s v="Online"/>
    <s v="Pending"/>
    <n v="3"/>
    <s v="No"/>
  </r>
  <r>
    <s v="ORD0804"/>
    <x v="126"/>
    <s v="C1246"/>
    <s v="Karan"/>
    <s v="Kolkata"/>
    <s v="West Bengal"/>
    <x v="3"/>
    <s v="P084"/>
    <s v="Laptop 84"/>
    <x v="1"/>
    <s v="Laptop"/>
    <n v="5"/>
    <n v="20724"/>
    <n v="5"/>
    <n v="98439"/>
    <n v="62929.2"/>
    <n v="35509.800000000003"/>
    <s v="UPI"/>
    <s v="Offline"/>
    <s v="Delivered"/>
    <n v="3"/>
    <s v="Yes"/>
  </r>
  <r>
    <s v="ORD0805"/>
    <x v="152"/>
    <s v="C1280"/>
    <s v="Karan"/>
    <s v="Bengaluru"/>
    <s v="Karnataka"/>
    <x v="1"/>
    <s v="P058"/>
    <s v="Mobile 58"/>
    <x v="1"/>
    <s v="Mobile"/>
    <n v="2"/>
    <n v="25994"/>
    <n v="0"/>
    <n v="51988"/>
    <n v="36097.57"/>
    <n v="15890.43"/>
    <s v="UPI"/>
    <s v="Online"/>
    <s v="Cancelled"/>
    <n v="1"/>
    <s v="Yes"/>
  </r>
  <r>
    <s v="ORD0806"/>
    <x v="105"/>
    <s v="C1027"/>
    <s v="Rohit"/>
    <s v="Bengaluru"/>
    <s v="Karnataka"/>
    <x v="1"/>
    <s v="P087"/>
    <s v="Table 87"/>
    <x v="2"/>
    <s v="Table"/>
    <n v="5"/>
    <n v="20639"/>
    <n v="0"/>
    <n v="103195"/>
    <n v="83213.490000000005"/>
    <n v="19981.509999999998"/>
    <s v="Card"/>
    <s v="Offline"/>
    <s v="Delivered"/>
    <n v="3"/>
    <s v="No"/>
  </r>
  <r>
    <s v="ORD0807"/>
    <x v="141"/>
    <s v="C1184"/>
    <s v="Rohit"/>
    <s v="Kolkata"/>
    <s v="West Bengal"/>
    <x v="3"/>
    <s v="P047"/>
    <s v="Table 47"/>
    <x v="2"/>
    <s v="Table"/>
    <n v="3"/>
    <n v="34990"/>
    <n v="15"/>
    <n v="89224.5"/>
    <n v="66639.59"/>
    <n v="22584.91"/>
    <s v="UPI"/>
    <s v="Online"/>
    <s v="Cancelled"/>
    <n v="2"/>
    <s v="Yes"/>
  </r>
  <r>
    <s v="ORD0808"/>
    <x v="102"/>
    <s v="C1275"/>
    <s v="Neha"/>
    <s v="Kolkata"/>
    <s v="West Bengal"/>
    <x v="3"/>
    <s v="P052"/>
    <s v="Laptop 52"/>
    <x v="1"/>
    <s v="Laptop"/>
    <n v="5"/>
    <n v="70590"/>
    <n v="10"/>
    <n v="317655"/>
    <n v="254808.63"/>
    <n v="62846.37"/>
    <s v="Card"/>
    <s v="Offline"/>
    <s v="Pending"/>
    <n v="1"/>
    <s v="No"/>
  </r>
  <r>
    <s v="ORD0809"/>
    <x v="73"/>
    <s v="C1023"/>
    <s v="Neha"/>
    <s v="Jaipur"/>
    <s v="Rajasthan"/>
    <x v="2"/>
    <s v="P086"/>
    <s v="Mobile 86"/>
    <x v="1"/>
    <s v="Mobile"/>
    <n v="5"/>
    <n v="61931"/>
    <n v="20"/>
    <n v="247724"/>
    <n v="192262.14"/>
    <n v="55461.86"/>
    <s v="Card"/>
    <s v="Online"/>
    <s v="Cancelled"/>
    <n v="5"/>
    <s v="Yes"/>
  </r>
  <r>
    <s v="ORD0810"/>
    <x v="44"/>
    <s v="C1079"/>
    <s v="Neha"/>
    <s v="Jaipur"/>
    <s v="Rajasthan"/>
    <x v="2"/>
    <s v="P012"/>
    <s v="Table 12"/>
    <x v="2"/>
    <s v="Table"/>
    <n v="2"/>
    <n v="69435"/>
    <n v="5"/>
    <n v="131926.5"/>
    <n v="90270.44"/>
    <n v="41656.06"/>
    <s v="UPI"/>
    <s v="Online"/>
    <s v="Delivered"/>
    <n v="3"/>
    <s v="Yes"/>
  </r>
  <r>
    <s v="ORD0811"/>
    <x v="75"/>
    <s v="C1220"/>
    <s v="Priya"/>
    <s v="Delhi"/>
    <s v="Delhi"/>
    <x v="2"/>
    <s v="P091"/>
    <s v="Laptop 91"/>
    <x v="1"/>
    <s v="Laptop"/>
    <n v="4"/>
    <n v="79488"/>
    <n v="0"/>
    <n v="317952"/>
    <n v="198569.92"/>
    <n v="119382.08"/>
    <s v="UPI"/>
    <s v="Offline"/>
    <s v="Delivered"/>
    <n v="5"/>
    <s v="Yes"/>
  </r>
  <r>
    <s v="ORD0812"/>
    <x v="79"/>
    <s v="C1001"/>
    <s v="Sneha"/>
    <s v="Delhi"/>
    <s v="Delhi"/>
    <x v="2"/>
    <s v="P006"/>
    <s v="Mobile 6"/>
    <x v="1"/>
    <s v="Mobile"/>
    <n v="5"/>
    <n v="65747"/>
    <n v="15"/>
    <n v="279424.75"/>
    <n v="222727.41"/>
    <n v="56697.34"/>
    <s v="Card"/>
    <s v="Offline"/>
    <s v="Pending"/>
    <n v="2"/>
    <s v="No"/>
  </r>
  <r>
    <s v="ORD0813"/>
    <x v="170"/>
    <s v="C1052"/>
    <s v="Lakshay"/>
    <s v="Mumbai"/>
    <s v="Maharashtra"/>
    <x v="0"/>
    <s v="P031"/>
    <s v="Table 31"/>
    <x v="2"/>
    <s v="Table"/>
    <n v="5"/>
    <n v="78215"/>
    <n v="20"/>
    <n v="312860"/>
    <n v="289660.34999999998"/>
    <n v="23199.65"/>
    <s v="UPI"/>
    <s v="Offline"/>
    <s v="Delivered"/>
    <n v="3"/>
    <s v="No"/>
  </r>
  <r>
    <s v="ORD0814"/>
    <x v="30"/>
    <s v="C1210"/>
    <s v="Priya"/>
    <s v="Bengaluru"/>
    <s v="Karnataka"/>
    <x v="1"/>
    <s v="P089"/>
    <s v="Laptop 89"/>
    <x v="1"/>
    <s v="Laptop"/>
    <n v="2"/>
    <n v="36896"/>
    <n v="15"/>
    <n v="62723.199999999997"/>
    <n v="59260.39"/>
    <n v="3462.81"/>
    <s v="UPI"/>
    <s v="Online"/>
    <s v="Delivered"/>
    <n v="2"/>
    <s v="Yes"/>
  </r>
  <r>
    <s v="ORD0815"/>
    <x v="27"/>
    <s v="C1178"/>
    <s v="Sneha"/>
    <s v="Jaipur"/>
    <s v="Rajasthan"/>
    <x v="2"/>
    <s v="P008"/>
    <s v="Shoes 8"/>
    <x v="0"/>
    <s v="Shoes"/>
    <n v="5"/>
    <n v="59769"/>
    <n v="15"/>
    <n v="254018.25"/>
    <n v="213128.31"/>
    <n v="40889.94"/>
    <s v="Card"/>
    <s v="Online"/>
    <s v="Delivered"/>
    <n v="1"/>
    <s v="Yes"/>
  </r>
  <r>
    <s v="ORD0816"/>
    <x v="14"/>
    <s v="C1109"/>
    <s v="Karan"/>
    <s v="Mumbai"/>
    <s v="Maharashtra"/>
    <x v="0"/>
    <s v="P048"/>
    <s v="Shoes 48"/>
    <x v="0"/>
    <s v="Shoes"/>
    <n v="4"/>
    <n v="55362"/>
    <n v="10"/>
    <n v="199303.2"/>
    <n v="127678.3"/>
    <n v="71624.899999999994"/>
    <s v="Cash"/>
    <s v="Offline"/>
    <s v="Cancelled"/>
    <n v="4"/>
    <s v="Yes"/>
  </r>
  <r>
    <s v="ORD0817"/>
    <x v="35"/>
    <s v="C1077"/>
    <s v="Neha"/>
    <s v="Kolkata"/>
    <s v="West Bengal"/>
    <x v="3"/>
    <s v="P078"/>
    <s v="Chair 78"/>
    <x v="2"/>
    <s v="Chair"/>
    <n v="2"/>
    <n v="8429"/>
    <n v="5"/>
    <n v="16015.1"/>
    <n v="11456.11"/>
    <n v="4558.99"/>
    <s v="UPI"/>
    <s v="Online"/>
    <s v="Pending"/>
    <n v="1"/>
    <s v="No"/>
  </r>
  <r>
    <s v="ORD0818"/>
    <x v="76"/>
    <s v="C1235"/>
    <s v="Priya"/>
    <s v="Delhi"/>
    <s v="Delhi"/>
    <x v="2"/>
    <s v="P064"/>
    <s v="Table 64"/>
    <x v="2"/>
    <s v="Table"/>
    <n v="1"/>
    <n v="7264"/>
    <n v="15"/>
    <n v="6174.4"/>
    <n v="5970.14"/>
    <n v="204.26"/>
    <s v="UPI"/>
    <s v="Offline"/>
    <s v="Pending"/>
    <n v="4"/>
    <s v="Yes"/>
  </r>
  <r>
    <s v="ORD0819"/>
    <x v="79"/>
    <s v="C1151"/>
    <s v="Vikas"/>
    <s v="Pune"/>
    <s v="Maharashtra"/>
    <x v="0"/>
    <s v="P075"/>
    <s v="Mixer 75"/>
    <x v="3"/>
    <s v="Mixer"/>
    <n v="2"/>
    <n v="24699"/>
    <n v="5"/>
    <n v="46928.1"/>
    <n v="29602.93"/>
    <n v="17325.169999999998"/>
    <s v="Cash"/>
    <s v="Online"/>
    <s v="Pending"/>
    <n v="5"/>
    <s v="Yes"/>
  </r>
  <r>
    <s v="ORD0820"/>
    <x v="173"/>
    <s v="C1036"/>
    <s v="Rahul"/>
    <s v="Pune"/>
    <s v="Maharashtra"/>
    <x v="0"/>
    <s v="P022"/>
    <s v="Table 22"/>
    <x v="2"/>
    <s v="Table"/>
    <n v="4"/>
    <n v="68116"/>
    <n v="10"/>
    <n v="245217.6"/>
    <n v="190634.02"/>
    <n v="54583.58"/>
    <s v="UPI"/>
    <s v="Offline"/>
    <s v="Cancelled"/>
    <n v="5"/>
    <s v="Yes"/>
  </r>
  <r>
    <s v="ORD0821"/>
    <x v="25"/>
    <s v="C1187"/>
    <s v="Aman"/>
    <s v="Pune"/>
    <s v="Maharashtra"/>
    <x v="0"/>
    <s v="P092"/>
    <s v="Laptop 92"/>
    <x v="1"/>
    <s v="Laptop"/>
    <n v="1"/>
    <n v="13159"/>
    <n v="0"/>
    <n v="13159"/>
    <n v="7917.43"/>
    <n v="5241.57"/>
    <s v="Card"/>
    <s v="Online"/>
    <s v="Pending"/>
    <n v="5"/>
    <s v="Yes"/>
  </r>
  <r>
    <s v="ORD0822"/>
    <x v="116"/>
    <s v="C1290"/>
    <s v="Vikas"/>
    <s v="Mumbai"/>
    <s v="Maharashtra"/>
    <x v="0"/>
    <s v="P032"/>
    <s v="Chair 32"/>
    <x v="2"/>
    <s v="Chair"/>
    <n v="1"/>
    <n v="21056"/>
    <n v="5"/>
    <n v="20003.2"/>
    <n v="17435.62"/>
    <n v="2567.58"/>
    <s v="UPI"/>
    <s v="Offline"/>
    <s v="Delivered"/>
    <n v="5"/>
    <s v="Yes"/>
  </r>
  <r>
    <s v="ORD0823"/>
    <x v="36"/>
    <s v="C1098"/>
    <s v="Sneha"/>
    <s v="Delhi"/>
    <s v="Delhi"/>
    <x v="2"/>
    <s v="P100"/>
    <s v="Mobile 100"/>
    <x v="1"/>
    <s v="Mobile"/>
    <n v="5"/>
    <n v="38097"/>
    <n v="0"/>
    <n v="190485"/>
    <n v="140348.45000000001"/>
    <n v="50136.55"/>
    <s v="Card"/>
    <s v="Offline"/>
    <s v="Pending"/>
    <n v="2"/>
    <s v="Yes"/>
  </r>
  <r>
    <s v="ORD0824"/>
    <x v="85"/>
    <s v="C1295"/>
    <s v="Priya"/>
    <s v="Pune"/>
    <s v="Maharashtra"/>
    <x v="0"/>
    <s v="P023"/>
    <s v="Mobile 23"/>
    <x v="1"/>
    <s v="Mobile"/>
    <n v="5"/>
    <n v="22400"/>
    <n v="10"/>
    <n v="100800"/>
    <n v="89029.04"/>
    <n v="11770.96"/>
    <s v="Cash"/>
    <s v="Online"/>
    <s v="Delivered"/>
    <n v="3"/>
    <s v="Yes"/>
  </r>
  <r>
    <s v="ORD0825"/>
    <x v="67"/>
    <s v="C1163"/>
    <s v="Rahul"/>
    <s v="Bengaluru"/>
    <s v="Karnataka"/>
    <x v="1"/>
    <s v="P018"/>
    <s v="Laptop 18"/>
    <x v="1"/>
    <s v="Laptop"/>
    <n v="1"/>
    <n v="12850"/>
    <n v="20"/>
    <n v="10280"/>
    <n v="7962.51"/>
    <n v="2317.4899999999998"/>
    <s v="Card"/>
    <s v="Online"/>
    <s v="Cancelled"/>
    <n v="1"/>
    <s v="No"/>
  </r>
  <r>
    <s v="ORD0826"/>
    <x v="117"/>
    <s v="C1143"/>
    <s v="Rahul"/>
    <s v="Delhi"/>
    <s v="Delhi"/>
    <x v="2"/>
    <s v="P051"/>
    <s v="Shoes 51"/>
    <x v="0"/>
    <s v="Shoes"/>
    <n v="4"/>
    <n v="8694"/>
    <n v="5"/>
    <n v="33037.199999999997"/>
    <n v="19206.099999999999"/>
    <n v="13831.1"/>
    <s v="Cash"/>
    <s v="Offline"/>
    <s v="Pending"/>
    <n v="3"/>
    <s v="Yes"/>
  </r>
  <r>
    <s v="ORD0827"/>
    <x v="11"/>
    <s v="C1106"/>
    <s v="Rohit"/>
    <s v="Bengaluru"/>
    <s v="Karnataka"/>
    <x v="1"/>
    <s v="P060"/>
    <s v="Mixer 60"/>
    <x v="3"/>
    <s v="Mixer"/>
    <n v="3"/>
    <n v="67837"/>
    <n v="20"/>
    <n v="162808.79999999999"/>
    <n v="135473.16"/>
    <n v="27335.64"/>
    <s v="UPI"/>
    <s v="Online"/>
    <s v="Pending"/>
    <n v="5"/>
    <s v="No"/>
  </r>
  <r>
    <s v="ORD0828"/>
    <x v="111"/>
    <s v="C1079"/>
    <s v="Lakshay"/>
    <s v="Pune"/>
    <s v="Maharashtra"/>
    <x v="0"/>
    <s v="P028"/>
    <s v="Shoes 28"/>
    <x v="0"/>
    <s v="Shoes"/>
    <n v="5"/>
    <n v="19749"/>
    <n v="5"/>
    <n v="93807.75"/>
    <n v="82481.850000000006"/>
    <n v="11325.9"/>
    <s v="Card"/>
    <s v="Offline"/>
    <s v="Delivered"/>
    <n v="3"/>
    <s v="No"/>
  </r>
  <r>
    <s v="ORD0829"/>
    <x v="61"/>
    <s v="C1033"/>
    <s v="Lakshay"/>
    <s v="Jaipur"/>
    <s v="Rajasthan"/>
    <x v="2"/>
    <s v="P065"/>
    <s v="Mobile 65"/>
    <x v="1"/>
    <s v="Mobile"/>
    <n v="3"/>
    <n v="32711"/>
    <n v="0"/>
    <n v="98133"/>
    <n v="68029.210000000006"/>
    <n v="30103.79"/>
    <s v="UPI"/>
    <s v="Offline"/>
    <s v="Cancelled"/>
    <n v="1"/>
    <s v="No"/>
  </r>
  <r>
    <s v="ORD0830"/>
    <x v="9"/>
    <s v="C1026"/>
    <s v="Lakshay"/>
    <s v="Delhi"/>
    <s v="Delhi"/>
    <x v="2"/>
    <s v="P048"/>
    <s v="Shoes 48"/>
    <x v="0"/>
    <s v="Shoes"/>
    <n v="2"/>
    <n v="67016"/>
    <n v="5"/>
    <n v="127330.4"/>
    <n v="92170.25"/>
    <n v="35160.15"/>
    <s v="Card"/>
    <s v="Offline"/>
    <s v="Delivered"/>
    <n v="4"/>
    <s v="No"/>
  </r>
  <r>
    <s v="ORD0831"/>
    <x v="66"/>
    <s v="C1125"/>
    <s v="Aman"/>
    <s v="Bengaluru"/>
    <s v="Karnataka"/>
    <x v="1"/>
    <s v="P008"/>
    <s v="Shoes 8"/>
    <x v="0"/>
    <s v="Shoes"/>
    <n v="3"/>
    <n v="15287"/>
    <n v="5"/>
    <n v="43567.95"/>
    <n v="34996.660000000003"/>
    <n v="8571.2900000000009"/>
    <s v="UPI"/>
    <s v="Offline"/>
    <s v="Cancelled"/>
    <n v="3"/>
    <s v="No"/>
  </r>
  <r>
    <s v="ORD0832"/>
    <x v="170"/>
    <s v="C1238"/>
    <s v="Lakshay"/>
    <s v="Jaipur"/>
    <s v="Rajasthan"/>
    <x v="2"/>
    <s v="P099"/>
    <s v="Chair 99"/>
    <x v="2"/>
    <s v="Chair"/>
    <n v="3"/>
    <n v="44324"/>
    <n v="10"/>
    <n v="119674.8"/>
    <n v="91283.66"/>
    <n v="28391.14"/>
    <s v="UPI"/>
    <s v="Online"/>
    <s v="Delivered"/>
    <n v="3"/>
    <s v="Yes"/>
  </r>
  <r>
    <s v="ORD0833"/>
    <x v="173"/>
    <s v="C1223"/>
    <s v="Rohit"/>
    <s v="Delhi"/>
    <s v="Delhi"/>
    <x v="2"/>
    <s v="P096"/>
    <s v="Chair 96"/>
    <x v="2"/>
    <s v="Chair"/>
    <n v="1"/>
    <n v="62983"/>
    <n v="15"/>
    <n v="53535.55"/>
    <n v="44201.4"/>
    <n v="9334.15"/>
    <s v="UPI"/>
    <s v="Offline"/>
    <s v="Delivered"/>
    <n v="3"/>
    <s v="Yes"/>
  </r>
  <r>
    <s v="ORD0834"/>
    <x v="81"/>
    <s v="C1113"/>
    <s v="Aman"/>
    <s v="Jaipur"/>
    <s v="Rajasthan"/>
    <x v="2"/>
    <s v="P017"/>
    <s v="Shoes 17"/>
    <x v="0"/>
    <s v="Shoes"/>
    <n v="4"/>
    <n v="13596"/>
    <n v="15"/>
    <n v="46226.400000000001"/>
    <n v="39999.64"/>
    <n v="6226.76"/>
    <s v="UPI"/>
    <s v="Offline"/>
    <s v="Pending"/>
    <n v="2"/>
    <s v="No"/>
  </r>
  <r>
    <s v="ORD0835"/>
    <x v="32"/>
    <s v="C1122"/>
    <s v="Priya"/>
    <s v="Delhi"/>
    <s v="Delhi"/>
    <x v="2"/>
    <s v="P030"/>
    <s v="Mixer 30"/>
    <x v="3"/>
    <s v="Mixer"/>
    <n v="1"/>
    <n v="42373"/>
    <n v="0"/>
    <n v="42373"/>
    <n v="25025.38"/>
    <n v="17347.62"/>
    <s v="UPI"/>
    <s v="Online"/>
    <s v="Delivered"/>
    <n v="4"/>
    <s v="Yes"/>
  </r>
  <r>
    <s v="ORD0836"/>
    <x v="119"/>
    <s v="C1053"/>
    <s v="Vikas"/>
    <s v="Pune"/>
    <s v="Maharashtra"/>
    <x v="0"/>
    <s v="P018"/>
    <s v="Laptop 18"/>
    <x v="1"/>
    <s v="Laptop"/>
    <n v="1"/>
    <n v="6869"/>
    <n v="0"/>
    <n v="6869"/>
    <n v="5193.3900000000003"/>
    <n v="1675.61"/>
    <s v="Cash"/>
    <s v="Online"/>
    <s v="Delivered"/>
    <n v="5"/>
    <s v="Yes"/>
  </r>
  <r>
    <s v="ORD0837"/>
    <x v="94"/>
    <s v="C1027"/>
    <s v="Aman"/>
    <s v="Kolkata"/>
    <s v="West Bengal"/>
    <x v="3"/>
    <s v="P029"/>
    <s v="Mixer 29"/>
    <x v="3"/>
    <s v="Mixer"/>
    <n v="3"/>
    <n v="8435"/>
    <n v="10"/>
    <n v="22774.5"/>
    <n v="18732.5"/>
    <n v="4042"/>
    <s v="UPI"/>
    <s v="Online"/>
    <s v="Delivered"/>
    <n v="1"/>
    <s v="No"/>
  </r>
  <r>
    <s v="ORD0838"/>
    <x v="135"/>
    <s v="C1095"/>
    <s v="Rahul"/>
    <s v="Chennai"/>
    <s v="Tamil Nadu"/>
    <x v="1"/>
    <s v="P017"/>
    <s v="Shoes 17"/>
    <x v="0"/>
    <s v="Shoes"/>
    <n v="4"/>
    <n v="19179"/>
    <n v="10"/>
    <n v="69044.399999999994"/>
    <n v="59771.39"/>
    <n v="9273.01"/>
    <s v="Card"/>
    <s v="Online"/>
    <s v="Pending"/>
    <n v="1"/>
    <s v="No"/>
  </r>
  <r>
    <s v="ORD0839"/>
    <x v="62"/>
    <s v="C1178"/>
    <s v="Priya"/>
    <s v="Delhi"/>
    <s v="Delhi"/>
    <x v="2"/>
    <s v="P001"/>
    <s v="Shoes 1"/>
    <x v="0"/>
    <s v="Shoes"/>
    <n v="5"/>
    <n v="79048"/>
    <n v="10"/>
    <n v="355716"/>
    <n v="315934.98"/>
    <n v="39781.019999999997"/>
    <s v="Card"/>
    <s v="Online"/>
    <s v="Pending"/>
    <n v="1"/>
    <s v="No"/>
  </r>
  <r>
    <s v="ORD0840"/>
    <x v="141"/>
    <s v="C1164"/>
    <s v="Vikas"/>
    <s v="Bengaluru"/>
    <s v="Karnataka"/>
    <x v="1"/>
    <s v="P048"/>
    <s v="Shoes 48"/>
    <x v="0"/>
    <s v="Shoes"/>
    <n v="5"/>
    <n v="45315"/>
    <n v="10"/>
    <n v="203917.5"/>
    <n v="181243.47"/>
    <n v="22674.03"/>
    <s v="Card"/>
    <s v="Online"/>
    <s v="Delivered"/>
    <n v="1"/>
    <s v="No"/>
  </r>
  <r>
    <s v="ORD0841"/>
    <x v="41"/>
    <s v="C1120"/>
    <s v="Sneha"/>
    <s v="Bengaluru"/>
    <s v="Karnataka"/>
    <x v="1"/>
    <s v="P036"/>
    <s v="Shoes 36"/>
    <x v="0"/>
    <s v="Shoes"/>
    <n v="3"/>
    <n v="51825"/>
    <n v="5"/>
    <n v="147701.25"/>
    <n v="98060.18"/>
    <n v="49641.07"/>
    <s v="Cash"/>
    <s v="Offline"/>
    <s v="Delivered"/>
    <n v="5"/>
    <s v="No"/>
  </r>
  <r>
    <s v="ORD0842"/>
    <x v="117"/>
    <s v="C1157"/>
    <s v="Priya"/>
    <s v="Mumbai"/>
    <s v="Maharashtra"/>
    <x v="0"/>
    <s v="P068"/>
    <s v="Mobile 68"/>
    <x v="1"/>
    <s v="Mobile"/>
    <n v="1"/>
    <n v="60564"/>
    <n v="15"/>
    <n v="51479.4"/>
    <n v="47811.360000000001"/>
    <n v="3668.04"/>
    <s v="Card"/>
    <s v="Offline"/>
    <s v="Cancelled"/>
    <n v="5"/>
    <s v="Yes"/>
  </r>
  <r>
    <s v="ORD0843"/>
    <x v="0"/>
    <s v="C1134"/>
    <s v="Sneha"/>
    <s v="Jaipur"/>
    <s v="Rajasthan"/>
    <x v="2"/>
    <s v="P035"/>
    <s v="Table 35"/>
    <x v="2"/>
    <s v="Table"/>
    <n v="5"/>
    <n v="25089"/>
    <n v="0"/>
    <n v="125445"/>
    <n v="89145.24"/>
    <n v="36299.760000000002"/>
    <s v="Card"/>
    <s v="Online"/>
    <s v="Pending"/>
    <n v="4"/>
    <s v="No"/>
  </r>
  <r>
    <s v="ORD0844"/>
    <x v="94"/>
    <s v="C1145"/>
    <s v="Vikas"/>
    <s v="Delhi"/>
    <s v="Delhi"/>
    <x v="2"/>
    <s v="P094"/>
    <s v="Table 94"/>
    <x v="2"/>
    <s v="Table"/>
    <n v="4"/>
    <n v="48656"/>
    <n v="10"/>
    <n v="175161.60000000001"/>
    <n v="133760.73000000001"/>
    <n v="41400.870000000003"/>
    <s v="Card"/>
    <s v="Online"/>
    <s v="Pending"/>
    <n v="5"/>
    <s v="Yes"/>
  </r>
  <r>
    <s v="ORD0845"/>
    <x v="37"/>
    <s v="C1050"/>
    <s v="Priya"/>
    <s v="Mumbai"/>
    <s v="Maharashtra"/>
    <x v="0"/>
    <s v="P098"/>
    <s v="Mobile 98"/>
    <x v="1"/>
    <s v="Mobile"/>
    <n v="2"/>
    <n v="19124"/>
    <n v="5"/>
    <n v="36335.599999999999"/>
    <n v="29979.03"/>
    <n v="6356.57"/>
    <s v="Cash"/>
    <s v="Offline"/>
    <s v="Cancelled"/>
    <n v="5"/>
    <s v="Yes"/>
  </r>
  <r>
    <s v="ORD0846"/>
    <x v="56"/>
    <s v="C1183"/>
    <s v="Rahul"/>
    <s v="Mumbai"/>
    <s v="Maharashtra"/>
    <x v="0"/>
    <s v="P091"/>
    <s v="Laptop 91"/>
    <x v="1"/>
    <s v="Laptop"/>
    <n v="4"/>
    <n v="71979"/>
    <n v="15"/>
    <n v="244728.6"/>
    <n v="244609.82"/>
    <n v="118.78"/>
    <s v="UPI"/>
    <s v="Online"/>
    <s v="Cancelled"/>
    <n v="1"/>
    <s v="Yes"/>
  </r>
  <r>
    <s v="ORD0847"/>
    <x v="30"/>
    <s v="C1184"/>
    <s v="Aman"/>
    <s v="Jaipur"/>
    <s v="Rajasthan"/>
    <x v="2"/>
    <s v="P027"/>
    <s v="Chair 27"/>
    <x v="2"/>
    <s v="Chair"/>
    <n v="3"/>
    <n v="58607"/>
    <n v="10"/>
    <n v="158238.9"/>
    <n v="145002.65"/>
    <n v="13236.25"/>
    <s v="UPI"/>
    <s v="Offline"/>
    <s v="Pending"/>
    <n v="1"/>
    <s v="No"/>
  </r>
  <r>
    <s v="ORD0848"/>
    <x v="178"/>
    <s v="C1115"/>
    <s v="Rahul"/>
    <s v="Mumbai"/>
    <s v="Maharashtra"/>
    <x v="0"/>
    <s v="P052"/>
    <s v="Laptop 52"/>
    <x v="1"/>
    <s v="Laptop"/>
    <n v="3"/>
    <n v="21137"/>
    <n v="20"/>
    <n v="50728.800000000003"/>
    <n v="49061.46"/>
    <n v="1667.34"/>
    <s v="UPI"/>
    <s v="Offline"/>
    <s v="Pending"/>
    <n v="3"/>
    <s v="Yes"/>
  </r>
  <r>
    <s v="ORD0849"/>
    <x v="3"/>
    <s v="C1198"/>
    <s v="Lakshay"/>
    <s v="Chennai"/>
    <s v="Tamil Nadu"/>
    <x v="1"/>
    <s v="P077"/>
    <s v="Table 77"/>
    <x v="2"/>
    <s v="Table"/>
    <n v="3"/>
    <n v="65964"/>
    <n v="20"/>
    <n v="158313.60000000001"/>
    <n v="131681.73000000001"/>
    <n v="26631.87"/>
    <s v="Card"/>
    <s v="Online"/>
    <s v="Pending"/>
    <n v="3"/>
    <s v="No"/>
  </r>
  <r>
    <s v="ORD0850"/>
    <x v="83"/>
    <s v="C1201"/>
    <s v="Sneha"/>
    <s v="Delhi"/>
    <s v="Delhi"/>
    <x v="2"/>
    <s v="P075"/>
    <s v="Mixer 75"/>
    <x v="3"/>
    <s v="Mixer"/>
    <n v="4"/>
    <n v="56374"/>
    <n v="5"/>
    <n v="214221.2"/>
    <n v="158102.04999999999"/>
    <n v="56119.15"/>
    <s v="UPI"/>
    <s v="Online"/>
    <s v="Delivered"/>
    <n v="5"/>
    <s v="Yes"/>
  </r>
  <r>
    <s v="ORD0851"/>
    <x v="33"/>
    <s v="C1011"/>
    <s v="Lakshay"/>
    <s v="Delhi"/>
    <s v="Delhi"/>
    <x v="2"/>
    <s v="P093"/>
    <s v="Shoes 93"/>
    <x v="0"/>
    <s v="Shoes"/>
    <n v="1"/>
    <n v="29898"/>
    <n v="15"/>
    <n v="25413.3"/>
    <n v="20009.47"/>
    <n v="5403.83"/>
    <s v="UPI"/>
    <s v="Online"/>
    <s v="Pending"/>
    <n v="1"/>
    <s v="No"/>
  </r>
  <r>
    <s v="ORD0852"/>
    <x v="104"/>
    <s v="C1117"/>
    <s v="Rahul"/>
    <s v="Kolkata"/>
    <s v="West Bengal"/>
    <x v="3"/>
    <s v="P005"/>
    <s v="Chair 5"/>
    <x v="2"/>
    <s v="Chair"/>
    <n v="2"/>
    <n v="9114"/>
    <n v="15"/>
    <n v="15493.8"/>
    <n v="10806.24"/>
    <n v="4687.5600000000004"/>
    <s v="UPI"/>
    <s v="Online"/>
    <s v="Cancelled"/>
    <n v="2"/>
    <s v="Yes"/>
  </r>
  <r>
    <s v="ORD0853"/>
    <x v="179"/>
    <s v="C1154"/>
    <s v="Priya"/>
    <s v="Jaipur"/>
    <s v="Rajasthan"/>
    <x v="2"/>
    <s v="P087"/>
    <s v="Table 87"/>
    <x v="2"/>
    <s v="Table"/>
    <n v="1"/>
    <n v="65501"/>
    <n v="5"/>
    <n v="62225.95"/>
    <n v="47693.23"/>
    <n v="14532.72"/>
    <s v="Card"/>
    <s v="Online"/>
    <s v="Cancelled"/>
    <n v="2"/>
    <s v="No"/>
  </r>
  <r>
    <s v="ORD0854"/>
    <x v="97"/>
    <s v="C1200"/>
    <s v="Vikas"/>
    <s v="Bengaluru"/>
    <s v="Karnataka"/>
    <x v="1"/>
    <s v="P093"/>
    <s v="Shoes 93"/>
    <x v="0"/>
    <s v="Shoes"/>
    <n v="1"/>
    <n v="22832"/>
    <n v="20"/>
    <n v="18265.599999999999"/>
    <n v="18533.75"/>
    <n v="-268.14999999999998"/>
    <s v="Cash"/>
    <s v="Offline"/>
    <s v="Cancelled"/>
    <n v="1"/>
    <s v="Yes"/>
  </r>
  <r>
    <s v="ORD0855"/>
    <x v="130"/>
    <s v="C1255"/>
    <s v="Rohit"/>
    <s v="Pune"/>
    <s v="Maharashtra"/>
    <x v="0"/>
    <s v="P051"/>
    <s v="Shoes 51"/>
    <x v="0"/>
    <s v="Shoes"/>
    <n v="4"/>
    <n v="11102"/>
    <n v="15"/>
    <n v="37746.800000000003"/>
    <n v="30447.42"/>
    <n v="7299.38"/>
    <s v="Card"/>
    <s v="Online"/>
    <s v="Cancelled"/>
    <n v="5"/>
    <s v="Yes"/>
  </r>
  <r>
    <s v="ORD0856"/>
    <x v="147"/>
    <s v="C1034"/>
    <s v="Aman"/>
    <s v="Jaipur"/>
    <s v="Rajasthan"/>
    <x v="2"/>
    <s v="P067"/>
    <s v="Mixer 67"/>
    <x v="3"/>
    <s v="Mixer"/>
    <n v="4"/>
    <n v="69304"/>
    <n v="20"/>
    <n v="221772.79999999999"/>
    <n v="179953.31"/>
    <n v="41819.49"/>
    <s v="Card"/>
    <s v="Offline"/>
    <s v="Delivered"/>
    <n v="3"/>
    <s v="No"/>
  </r>
  <r>
    <s v="ORD0857"/>
    <x v="160"/>
    <s v="C1240"/>
    <s v="Karan"/>
    <s v="Delhi"/>
    <s v="Delhi"/>
    <x v="2"/>
    <s v="P089"/>
    <s v="Laptop 89"/>
    <x v="1"/>
    <s v="Laptop"/>
    <n v="3"/>
    <n v="52099"/>
    <n v="15"/>
    <n v="132852.45000000001"/>
    <n v="115422.03"/>
    <n v="17430.419999999998"/>
    <s v="UPI"/>
    <s v="Offline"/>
    <s v="Delivered"/>
    <n v="3"/>
    <s v="Yes"/>
  </r>
  <r>
    <s v="ORD0858"/>
    <x v="83"/>
    <s v="C1191"/>
    <s v="Rahul"/>
    <s v="Jaipur"/>
    <s v="Rajasthan"/>
    <x v="2"/>
    <s v="P014"/>
    <s v="Mixer 14"/>
    <x v="3"/>
    <s v="Mixer"/>
    <n v="3"/>
    <n v="71410"/>
    <n v="20"/>
    <n v="171384"/>
    <n v="139849.59"/>
    <n v="31534.41"/>
    <s v="Card"/>
    <s v="Online"/>
    <s v="Delivered"/>
    <n v="4"/>
    <s v="Yes"/>
  </r>
  <r>
    <s v="ORD0859"/>
    <x v="49"/>
    <s v="C1068"/>
    <s v="Neha"/>
    <s v="Delhi"/>
    <s v="Delhi"/>
    <x v="2"/>
    <s v="P067"/>
    <s v="Mixer 67"/>
    <x v="3"/>
    <s v="Mixer"/>
    <n v="2"/>
    <n v="23553"/>
    <n v="20"/>
    <n v="37684.800000000003"/>
    <n v="31688.080000000002"/>
    <n v="5996.72"/>
    <s v="UPI"/>
    <s v="Online"/>
    <s v="Pending"/>
    <n v="5"/>
    <s v="Yes"/>
  </r>
  <r>
    <s v="ORD0860"/>
    <x v="37"/>
    <s v="C1013"/>
    <s v="Karan"/>
    <s v="Kolkata"/>
    <s v="West Bengal"/>
    <x v="3"/>
    <s v="P084"/>
    <s v="Laptop 84"/>
    <x v="1"/>
    <s v="Laptop"/>
    <n v="5"/>
    <n v="26841"/>
    <n v="10"/>
    <n v="120784.5"/>
    <n v="97220.55"/>
    <n v="23563.95"/>
    <s v="Cash"/>
    <s v="Online"/>
    <s v="Pending"/>
    <n v="4"/>
    <s v="Yes"/>
  </r>
  <r>
    <s v="ORD0861"/>
    <x v="30"/>
    <s v="C1119"/>
    <s v="Sneha"/>
    <s v="Kolkata"/>
    <s v="West Bengal"/>
    <x v="3"/>
    <s v="P077"/>
    <s v="Table 77"/>
    <x v="2"/>
    <s v="Table"/>
    <n v="3"/>
    <n v="24843"/>
    <n v="5"/>
    <n v="70802.55"/>
    <n v="44113.59"/>
    <n v="26688.959999999999"/>
    <s v="Cash"/>
    <s v="Online"/>
    <s v="Pending"/>
    <n v="3"/>
    <s v="No"/>
  </r>
  <r>
    <s v="ORD0862"/>
    <x v="40"/>
    <s v="C1185"/>
    <s v="Lakshay"/>
    <s v="Delhi"/>
    <s v="Delhi"/>
    <x v="2"/>
    <s v="P017"/>
    <s v="Shoes 17"/>
    <x v="0"/>
    <s v="Shoes"/>
    <n v="3"/>
    <n v="10869"/>
    <n v="20"/>
    <n v="26085.599999999999"/>
    <n v="22143.73"/>
    <n v="3941.87"/>
    <s v="Card"/>
    <s v="Offline"/>
    <s v="Pending"/>
    <n v="5"/>
    <s v="No"/>
  </r>
  <r>
    <s v="ORD0863"/>
    <x v="64"/>
    <s v="C1278"/>
    <s v="Neha"/>
    <s v="Mumbai"/>
    <s v="Maharashtra"/>
    <x v="0"/>
    <s v="P043"/>
    <s v="Mobile 43"/>
    <x v="1"/>
    <s v="Mobile"/>
    <n v="2"/>
    <n v="74098"/>
    <n v="10"/>
    <n v="133376.4"/>
    <n v="86424.25"/>
    <n v="46952.15"/>
    <s v="Cash"/>
    <s v="Online"/>
    <s v="Pending"/>
    <n v="2"/>
    <s v="No"/>
  </r>
  <r>
    <s v="ORD0864"/>
    <x v="2"/>
    <s v="C1208"/>
    <s v="Aman"/>
    <s v="Bengaluru"/>
    <s v="Karnataka"/>
    <x v="1"/>
    <s v="P099"/>
    <s v="Chair 99"/>
    <x v="2"/>
    <s v="Chair"/>
    <n v="4"/>
    <n v="46024"/>
    <n v="15"/>
    <n v="156481.60000000001"/>
    <n v="119864.48"/>
    <n v="36617.120000000003"/>
    <s v="UPI"/>
    <s v="Offline"/>
    <s v="Cancelled"/>
    <n v="1"/>
    <s v="Yes"/>
  </r>
  <r>
    <s v="ORD0865"/>
    <x v="115"/>
    <s v="C1268"/>
    <s v="Rahul"/>
    <s v="Mumbai"/>
    <s v="Maharashtra"/>
    <x v="0"/>
    <s v="P044"/>
    <s v="Chair 44"/>
    <x v="2"/>
    <s v="Chair"/>
    <n v="1"/>
    <n v="27748"/>
    <n v="10"/>
    <n v="24973.200000000001"/>
    <n v="19892.009999999998"/>
    <n v="5081.1899999999996"/>
    <s v="UPI"/>
    <s v="Online"/>
    <s v="Pending"/>
    <n v="1"/>
    <s v="Yes"/>
  </r>
  <r>
    <s v="ORD0866"/>
    <x v="109"/>
    <s v="C1294"/>
    <s v="Neha"/>
    <s v="Jaipur"/>
    <s v="Rajasthan"/>
    <x v="2"/>
    <s v="P082"/>
    <s v="Mobile 82"/>
    <x v="1"/>
    <s v="Mobile"/>
    <n v="4"/>
    <n v="2044"/>
    <n v="15"/>
    <n v="6949.6"/>
    <n v="6591.86"/>
    <n v="357.74"/>
    <s v="Cash"/>
    <s v="Offline"/>
    <s v="Delivered"/>
    <n v="5"/>
    <s v="Yes"/>
  </r>
  <r>
    <s v="ORD0867"/>
    <x v="76"/>
    <s v="C1128"/>
    <s v="Neha"/>
    <s v="Delhi"/>
    <s v="Delhi"/>
    <x v="2"/>
    <s v="P016"/>
    <s v="Chair 16"/>
    <x v="2"/>
    <s v="Chair"/>
    <n v="1"/>
    <n v="42352"/>
    <n v="20"/>
    <n v="33881.599999999999"/>
    <n v="25255.87"/>
    <n v="8625.73"/>
    <s v="Card"/>
    <s v="Online"/>
    <s v="Pending"/>
    <n v="2"/>
    <s v="No"/>
  </r>
  <r>
    <s v="ORD0868"/>
    <x v="174"/>
    <s v="C1233"/>
    <s v="Aman"/>
    <s v="Pune"/>
    <s v="Maharashtra"/>
    <x v="0"/>
    <s v="P005"/>
    <s v="Chair 5"/>
    <x v="2"/>
    <s v="Chair"/>
    <n v="5"/>
    <n v="54111"/>
    <n v="10"/>
    <n v="243499.5"/>
    <n v="161374.20000000001"/>
    <n v="82125.3"/>
    <s v="Cash"/>
    <s v="Online"/>
    <s v="Cancelled"/>
    <n v="4"/>
    <s v="Yes"/>
  </r>
  <r>
    <s v="ORD0869"/>
    <x v="59"/>
    <s v="C1106"/>
    <s v="Lakshay"/>
    <s v="Pune"/>
    <s v="Maharashtra"/>
    <x v="0"/>
    <s v="P082"/>
    <s v="Mobile 82"/>
    <x v="1"/>
    <s v="Mobile"/>
    <n v="5"/>
    <n v="14441"/>
    <n v="10"/>
    <n v="64984.5"/>
    <n v="54664.79"/>
    <n v="10319.709999999999"/>
    <s v="Card"/>
    <s v="Offline"/>
    <s v="Delivered"/>
    <n v="1"/>
    <s v="No"/>
  </r>
  <r>
    <s v="ORD0870"/>
    <x v="35"/>
    <s v="C1068"/>
    <s v="Rohit"/>
    <s v="Jaipur"/>
    <s v="Rajasthan"/>
    <x v="2"/>
    <s v="P095"/>
    <s v="Mobile 95"/>
    <x v="1"/>
    <s v="Mobile"/>
    <n v="5"/>
    <n v="55314"/>
    <n v="0"/>
    <n v="276570"/>
    <n v="200178.57"/>
    <n v="76391.429999999993"/>
    <s v="UPI"/>
    <s v="Online"/>
    <s v="Delivered"/>
    <n v="2"/>
    <s v="No"/>
  </r>
  <r>
    <s v="ORD0871"/>
    <x v="160"/>
    <s v="C1025"/>
    <s v="Lakshay"/>
    <s v="Jaipur"/>
    <s v="Rajasthan"/>
    <x v="2"/>
    <s v="P088"/>
    <s v="Mobile 88"/>
    <x v="1"/>
    <s v="Mobile"/>
    <n v="5"/>
    <n v="5625"/>
    <n v="15"/>
    <n v="23906.25"/>
    <n v="19343.73"/>
    <n v="4562.5200000000004"/>
    <s v="Cash"/>
    <s v="Online"/>
    <s v="Pending"/>
    <n v="5"/>
    <s v="No"/>
  </r>
  <r>
    <s v="ORD0872"/>
    <x v="121"/>
    <s v="C1218"/>
    <s v="Lakshay"/>
    <s v="Bengaluru"/>
    <s v="Karnataka"/>
    <x v="1"/>
    <s v="P085"/>
    <s v="Chair 85"/>
    <x v="2"/>
    <s v="Chair"/>
    <n v="1"/>
    <n v="69243"/>
    <n v="5"/>
    <n v="65780.850000000006"/>
    <n v="46736.3"/>
    <n v="19044.55"/>
    <s v="Card"/>
    <s v="Offline"/>
    <s v="Delivered"/>
    <n v="3"/>
    <s v="Yes"/>
  </r>
  <r>
    <s v="ORD0873"/>
    <x v="37"/>
    <s v="C1242"/>
    <s v="Lakshay"/>
    <s v="Bengaluru"/>
    <s v="Karnataka"/>
    <x v="1"/>
    <s v="P023"/>
    <s v="Mobile 23"/>
    <x v="1"/>
    <s v="Mobile"/>
    <n v="5"/>
    <n v="59116"/>
    <n v="20"/>
    <n v="236464"/>
    <n v="182572.71"/>
    <n v="53891.29"/>
    <s v="Card"/>
    <s v="Online"/>
    <s v="Pending"/>
    <n v="2"/>
    <s v="Yes"/>
  </r>
  <r>
    <s v="ORD0874"/>
    <x v="96"/>
    <s v="C1286"/>
    <s v="Vikas"/>
    <s v="Jaipur"/>
    <s v="Rajasthan"/>
    <x v="2"/>
    <s v="P096"/>
    <s v="Chair 96"/>
    <x v="2"/>
    <s v="Chair"/>
    <n v="1"/>
    <n v="32502"/>
    <n v="15"/>
    <n v="27626.7"/>
    <n v="18312.349999999999"/>
    <n v="9314.35"/>
    <s v="Cash"/>
    <s v="Offline"/>
    <s v="Pending"/>
    <n v="3"/>
    <s v="No"/>
  </r>
  <r>
    <s v="ORD0875"/>
    <x v="8"/>
    <s v="C1283"/>
    <s v="Lakshay"/>
    <s v="Chennai"/>
    <s v="Tamil Nadu"/>
    <x v="1"/>
    <s v="P071"/>
    <s v="Mobile 71"/>
    <x v="1"/>
    <s v="Mobile"/>
    <n v="2"/>
    <n v="75883"/>
    <n v="5"/>
    <n v="144177.70000000001"/>
    <n v="108879.3"/>
    <n v="35298.400000000001"/>
    <s v="Card"/>
    <s v="Offline"/>
    <s v="Pending"/>
    <n v="3"/>
    <s v="Yes"/>
  </r>
  <r>
    <s v="ORD0876"/>
    <x v="19"/>
    <s v="C1278"/>
    <s v="Karan"/>
    <s v="Kolkata"/>
    <s v="West Bengal"/>
    <x v="3"/>
    <s v="P084"/>
    <s v="Laptop 84"/>
    <x v="1"/>
    <s v="Laptop"/>
    <n v="1"/>
    <n v="68403"/>
    <n v="20"/>
    <n v="54722.400000000001"/>
    <n v="55218.16"/>
    <n v="-495.76"/>
    <s v="UPI"/>
    <s v="Online"/>
    <s v="Pending"/>
    <n v="1"/>
    <s v="Yes"/>
  </r>
  <r>
    <s v="ORD0877"/>
    <x v="43"/>
    <s v="C1284"/>
    <s v="Rahul"/>
    <s v="Pune"/>
    <s v="Maharashtra"/>
    <x v="0"/>
    <s v="P008"/>
    <s v="Shoes 8"/>
    <x v="0"/>
    <s v="Shoes"/>
    <n v="3"/>
    <n v="56827"/>
    <n v="0"/>
    <n v="170481"/>
    <n v="127207.05"/>
    <n v="43273.95"/>
    <s v="UPI"/>
    <s v="Offline"/>
    <s v="Delivered"/>
    <n v="1"/>
    <s v="Yes"/>
  </r>
  <r>
    <s v="ORD0878"/>
    <x v="101"/>
    <s v="C1070"/>
    <s v="Priya"/>
    <s v="Pune"/>
    <s v="Maharashtra"/>
    <x v="0"/>
    <s v="P064"/>
    <s v="Table 64"/>
    <x v="2"/>
    <s v="Table"/>
    <n v="4"/>
    <n v="7170"/>
    <n v="15"/>
    <n v="24378"/>
    <n v="17639.22"/>
    <n v="6738.78"/>
    <s v="Card"/>
    <s v="Offline"/>
    <s v="Delivered"/>
    <n v="1"/>
    <s v="No"/>
  </r>
  <r>
    <s v="ORD0879"/>
    <x v="163"/>
    <s v="C1147"/>
    <s v="Lakshay"/>
    <s v="Chennai"/>
    <s v="Tamil Nadu"/>
    <x v="1"/>
    <s v="P051"/>
    <s v="Shoes 51"/>
    <x v="0"/>
    <s v="Shoes"/>
    <n v="1"/>
    <n v="8554"/>
    <n v="0"/>
    <n v="8554"/>
    <n v="6151.42"/>
    <n v="2402.58"/>
    <s v="UPI"/>
    <s v="Online"/>
    <s v="Delivered"/>
    <n v="1"/>
    <s v="Yes"/>
  </r>
  <r>
    <s v="ORD0880"/>
    <x v="15"/>
    <s v="C1149"/>
    <s v="Rohit"/>
    <s v="Pune"/>
    <s v="Maharashtra"/>
    <x v="0"/>
    <s v="P063"/>
    <s v="Shoes 63"/>
    <x v="0"/>
    <s v="Shoes"/>
    <n v="4"/>
    <n v="6201"/>
    <n v="20"/>
    <n v="19843.2"/>
    <n v="19524.25"/>
    <n v="318.95"/>
    <s v="UPI"/>
    <s v="Online"/>
    <s v="Delivered"/>
    <n v="1"/>
    <s v="No"/>
  </r>
  <r>
    <s v="ORD0881"/>
    <x v="160"/>
    <s v="C1251"/>
    <s v="Rohit"/>
    <s v="Bengaluru"/>
    <s v="Karnataka"/>
    <x v="1"/>
    <s v="P040"/>
    <s v="Chair 40"/>
    <x v="2"/>
    <s v="Chair"/>
    <n v="5"/>
    <n v="1524"/>
    <n v="10"/>
    <n v="6858"/>
    <n v="6391.6"/>
    <n v="466.4"/>
    <s v="Cash"/>
    <s v="Online"/>
    <s v="Delivered"/>
    <n v="3"/>
    <s v="No"/>
  </r>
  <r>
    <s v="ORD0882"/>
    <x v="42"/>
    <s v="C1283"/>
    <s v="Rahul"/>
    <s v="Chennai"/>
    <s v="Tamil Nadu"/>
    <x v="1"/>
    <s v="P043"/>
    <s v="Mobile 43"/>
    <x v="1"/>
    <s v="Mobile"/>
    <n v="3"/>
    <n v="1297"/>
    <n v="5"/>
    <n v="3696.45"/>
    <n v="2973.75"/>
    <n v="722.7"/>
    <s v="Card"/>
    <s v="Online"/>
    <s v="Delivered"/>
    <n v="3"/>
    <s v="No"/>
  </r>
  <r>
    <s v="ORD0883"/>
    <x v="4"/>
    <s v="C1290"/>
    <s v="Karan"/>
    <s v="Mumbai"/>
    <s v="Maharashtra"/>
    <x v="0"/>
    <s v="P082"/>
    <s v="Mobile 82"/>
    <x v="1"/>
    <s v="Mobile"/>
    <n v="1"/>
    <n v="48926"/>
    <n v="5"/>
    <n v="46479.7"/>
    <n v="27405.05"/>
    <n v="19074.650000000001"/>
    <s v="UPI"/>
    <s v="Offline"/>
    <s v="Delivered"/>
    <n v="4"/>
    <s v="No"/>
  </r>
  <r>
    <s v="ORD0884"/>
    <x v="164"/>
    <s v="C1229"/>
    <s v="Priya"/>
    <s v="Chennai"/>
    <s v="Tamil Nadu"/>
    <x v="1"/>
    <s v="P026"/>
    <s v="Table 26"/>
    <x v="2"/>
    <s v="Table"/>
    <n v="4"/>
    <n v="47756"/>
    <n v="20"/>
    <n v="152819.20000000001"/>
    <n v="124560.73"/>
    <n v="28258.47"/>
    <s v="Cash"/>
    <s v="Online"/>
    <s v="Cancelled"/>
    <n v="1"/>
    <s v="No"/>
  </r>
  <r>
    <s v="ORD0885"/>
    <x v="79"/>
    <s v="C1250"/>
    <s v="Vikas"/>
    <s v="Chennai"/>
    <s v="Tamil Nadu"/>
    <x v="1"/>
    <s v="P022"/>
    <s v="Table 22"/>
    <x v="2"/>
    <s v="Table"/>
    <n v="4"/>
    <n v="52858"/>
    <n v="15"/>
    <n v="179717.2"/>
    <n v="166676.22"/>
    <n v="13040.98"/>
    <s v="UPI"/>
    <s v="Offline"/>
    <s v="Delivered"/>
    <n v="3"/>
    <s v="Yes"/>
  </r>
  <r>
    <s v="ORD0886"/>
    <x v="19"/>
    <s v="C1167"/>
    <s v="Vikas"/>
    <s v="Pune"/>
    <s v="Maharashtra"/>
    <x v="0"/>
    <s v="P030"/>
    <s v="Mixer 30"/>
    <x v="3"/>
    <s v="Mixer"/>
    <n v="5"/>
    <n v="16084"/>
    <n v="20"/>
    <n v="64336"/>
    <n v="50720.33"/>
    <n v="13615.67"/>
    <s v="UPI"/>
    <s v="Offline"/>
    <s v="Cancelled"/>
    <n v="2"/>
    <s v="No"/>
  </r>
  <r>
    <s v="ORD0887"/>
    <x v="164"/>
    <s v="C1030"/>
    <s v="Anjali"/>
    <s v="Delhi"/>
    <s v="Delhi"/>
    <x v="2"/>
    <s v="P001"/>
    <s v="Shoes 1"/>
    <x v="0"/>
    <s v="Shoes"/>
    <n v="3"/>
    <n v="8825"/>
    <n v="10"/>
    <n v="23827.5"/>
    <n v="16133.21"/>
    <n v="7694.29"/>
    <s v="Card"/>
    <s v="Offline"/>
    <s v="Delivered"/>
    <n v="2"/>
    <s v="No"/>
  </r>
  <r>
    <s v="ORD0888"/>
    <x v="127"/>
    <s v="C1083"/>
    <s v="Rohit"/>
    <s v="Jaipur"/>
    <s v="Rajasthan"/>
    <x v="2"/>
    <s v="P058"/>
    <s v="Mobile 58"/>
    <x v="1"/>
    <s v="Mobile"/>
    <n v="1"/>
    <n v="19645"/>
    <n v="10"/>
    <n v="17680.5"/>
    <n v="13650.48"/>
    <n v="4030.02"/>
    <s v="Card"/>
    <s v="Offline"/>
    <s v="Pending"/>
    <n v="2"/>
    <s v="Yes"/>
  </r>
  <r>
    <s v="ORD0889"/>
    <x v="152"/>
    <s v="C1146"/>
    <s v="Rohit"/>
    <s v="Jaipur"/>
    <s v="Rajasthan"/>
    <x v="2"/>
    <s v="P048"/>
    <s v="Shoes 48"/>
    <x v="0"/>
    <s v="Shoes"/>
    <n v="2"/>
    <n v="2944"/>
    <n v="10"/>
    <n v="5299.2"/>
    <n v="4310.3100000000004"/>
    <n v="988.89"/>
    <s v="UPI"/>
    <s v="Online"/>
    <s v="Cancelled"/>
    <n v="3"/>
    <s v="No"/>
  </r>
  <r>
    <s v="ORD0890"/>
    <x v="29"/>
    <s v="C1173"/>
    <s v="Rahul"/>
    <s v="Chennai"/>
    <s v="Tamil Nadu"/>
    <x v="1"/>
    <s v="P023"/>
    <s v="Mobile 23"/>
    <x v="1"/>
    <s v="Mobile"/>
    <n v="2"/>
    <n v="23552"/>
    <n v="10"/>
    <n v="42393.599999999999"/>
    <n v="34973.620000000003"/>
    <n v="7419.98"/>
    <s v="Cash"/>
    <s v="Online"/>
    <s v="Cancelled"/>
    <n v="4"/>
    <s v="Yes"/>
  </r>
  <r>
    <s v="ORD0891"/>
    <x v="128"/>
    <s v="C1174"/>
    <s v="Vikas"/>
    <s v="Bengaluru"/>
    <s v="Karnataka"/>
    <x v="1"/>
    <s v="P074"/>
    <s v="Mixer 74"/>
    <x v="3"/>
    <s v="Mixer"/>
    <n v="1"/>
    <n v="28312"/>
    <n v="0"/>
    <n v="28312"/>
    <n v="21299.65"/>
    <n v="7012.35"/>
    <s v="UPI"/>
    <s v="Online"/>
    <s v="Cancelled"/>
    <n v="5"/>
    <s v="No"/>
  </r>
  <r>
    <s v="ORD0892"/>
    <x v="101"/>
    <s v="C1032"/>
    <s v="Sneha"/>
    <s v="Mumbai"/>
    <s v="Maharashtra"/>
    <x v="0"/>
    <s v="P057"/>
    <s v="Shoes 57"/>
    <x v="0"/>
    <s v="Shoes"/>
    <n v="4"/>
    <n v="37318"/>
    <n v="5"/>
    <n v="141808.4"/>
    <n v="126429.51"/>
    <n v="15378.89"/>
    <s v="Card"/>
    <s v="Offline"/>
    <s v="Cancelled"/>
    <n v="5"/>
    <s v="Yes"/>
  </r>
  <r>
    <s v="ORD0893"/>
    <x v="142"/>
    <s v="C1139"/>
    <s v="Rahul"/>
    <s v="Chennai"/>
    <s v="Tamil Nadu"/>
    <x v="1"/>
    <s v="P036"/>
    <s v="Shoes 36"/>
    <x v="0"/>
    <s v="Shoes"/>
    <n v="5"/>
    <n v="30542"/>
    <n v="15"/>
    <n v="129803.5"/>
    <n v="120491"/>
    <n v="9312.5"/>
    <s v="Card"/>
    <s v="Offline"/>
    <s v="Pending"/>
    <n v="2"/>
    <s v="No"/>
  </r>
  <r>
    <s v="ORD0894"/>
    <x v="117"/>
    <s v="C1263"/>
    <s v="Neha"/>
    <s v="Kolkata"/>
    <s v="West Bengal"/>
    <x v="3"/>
    <s v="P017"/>
    <s v="Shoes 17"/>
    <x v="0"/>
    <s v="Shoes"/>
    <n v="3"/>
    <n v="12805"/>
    <n v="10"/>
    <n v="34573.5"/>
    <n v="30453.13"/>
    <n v="4120.37"/>
    <s v="UPI"/>
    <s v="Offline"/>
    <s v="Pending"/>
    <n v="4"/>
    <s v="Yes"/>
  </r>
  <r>
    <s v="ORD0895"/>
    <x v="26"/>
    <s v="C1275"/>
    <s v="Rahul"/>
    <s v="Chennai"/>
    <s v="Tamil Nadu"/>
    <x v="1"/>
    <s v="P090"/>
    <s v="Mixer 90"/>
    <x v="3"/>
    <s v="Mixer"/>
    <n v="5"/>
    <n v="66991"/>
    <n v="15"/>
    <n v="284711.75"/>
    <n v="230827.88"/>
    <n v="53883.87"/>
    <s v="Cash"/>
    <s v="Offline"/>
    <s v="Cancelled"/>
    <n v="2"/>
    <s v="Yes"/>
  </r>
  <r>
    <s v="ORD0896"/>
    <x v="106"/>
    <s v="C1113"/>
    <s v="Priya"/>
    <s v="Mumbai"/>
    <s v="Maharashtra"/>
    <x v="0"/>
    <s v="P093"/>
    <s v="Shoes 93"/>
    <x v="0"/>
    <s v="Shoes"/>
    <n v="4"/>
    <n v="63411"/>
    <n v="15"/>
    <n v="215597.4"/>
    <n v="203170.86"/>
    <n v="12426.54"/>
    <s v="UPI"/>
    <s v="Online"/>
    <s v="Delivered"/>
    <n v="3"/>
    <s v="Yes"/>
  </r>
  <r>
    <s v="ORD0897"/>
    <x v="89"/>
    <s v="C1208"/>
    <s v="Karan"/>
    <s v="Bengaluru"/>
    <s v="Karnataka"/>
    <x v="1"/>
    <s v="P059"/>
    <s v="Laptop 59"/>
    <x v="1"/>
    <s v="Laptop"/>
    <n v="3"/>
    <n v="22229"/>
    <n v="20"/>
    <n v="53349.599999999999"/>
    <n v="43311.7"/>
    <n v="10037.9"/>
    <s v="UPI"/>
    <s v="Offline"/>
    <s v="Cancelled"/>
    <n v="2"/>
    <s v="Yes"/>
  </r>
  <r>
    <s v="ORD0898"/>
    <x v="168"/>
    <s v="C1184"/>
    <s v="Rohit"/>
    <s v="Mumbai"/>
    <s v="Maharashtra"/>
    <x v="0"/>
    <s v="P099"/>
    <s v="Chair 99"/>
    <x v="2"/>
    <s v="Chair"/>
    <n v="3"/>
    <n v="2783"/>
    <n v="0"/>
    <n v="8349"/>
    <n v="6385.91"/>
    <n v="1963.09"/>
    <s v="Card"/>
    <s v="Online"/>
    <s v="Delivered"/>
    <n v="2"/>
    <s v="Yes"/>
  </r>
  <r>
    <s v="ORD0899"/>
    <x v="10"/>
    <s v="C1004"/>
    <s v="Anjali"/>
    <s v="Kolkata"/>
    <s v="West Bengal"/>
    <x v="3"/>
    <s v="P087"/>
    <s v="Table 87"/>
    <x v="2"/>
    <s v="Table"/>
    <n v="4"/>
    <n v="27282"/>
    <n v="0"/>
    <n v="109128"/>
    <n v="75031.55"/>
    <n v="34096.449999999997"/>
    <s v="Cash"/>
    <s v="Offline"/>
    <s v="Delivered"/>
    <n v="2"/>
    <s v="No"/>
  </r>
  <r>
    <s v="ORD0900"/>
    <x v="144"/>
    <s v="C1231"/>
    <s v="Neha"/>
    <s v="Mumbai"/>
    <s v="Maharashtra"/>
    <x v="0"/>
    <s v="P043"/>
    <s v="Mobile 43"/>
    <x v="1"/>
    <s v="Mobile"/>
    <n v="1"/>
    <n v="51728"/>
    <n v="5"/>
    <n v="49141.599999999999"/>
    <n v="37621.379999999997"/>
    <n v="11520.22"/>
    <s v="Cash"/>
    <s v="Offline"/>
    <s v="Delivered"/>
    <n v="2"/>
    <s v="No"/>
  </r>
  <r>
    <s v="ORD0901"/>
    <x v="124"/>
    <s v="C1209"/>
    <s v="Lakshay"/>
    <s v="Mumbai"/>
    <s v="Maharashtra"/>
    <x v="0"/>
    <s v="P057"/>
    <s v="Shoes 57"/>
    <x v="0"/>
    <s v="Shoes"/>
    <n v="3"/>
    <n v="64145"/>
    <n v="20"/>
    <n v="153948"/>
    <n v="155251.82"/>
    <n v="-1303.82"/>
    <s v="UPI"/>
    <s v="Online"/>
    <s v="Delivered"/>
    <n v="4"/>
    <s v="No"/>
  </r>
  <r>
    <s v="ORD0902"/>
    <x v="138"/>
    <s v="C1054"/>
    <s v="Vikas"/>
    <s v="Jaipur"/>
    <s v="Rajasthan"/>
    <x v="2"/>
    <s v="P035"/>
    <s v="Table 35"/>
    <x v="2"/>
    <s v="Table"/>
    <n v="4"/>
    <n v="3626"/>
    <n v="10"/>
    <n v="13053.6"/>
    <n v="11057.03"/>
    <n v="1996.57"/>
    <s v="Cash"/>
    <s v="Online"/>
    <s v="Delivered"/>
    <n v="1"/>
    <s v="Yes"/>
  </r>
  <r>
    <s v="ORD0903"/>
    <x v="130"/>
    <s v="C1295"/>
    <s v="Anjali"/>
    <s v="Chennai"/>
    <s v="Tamil Nadu"/>
    <x v="1"/>
    <s v="P062"/>
    <s v="Mixer 62"/>
    <x v="3"/>
    <s v="Mixer"/>
    <n v="1"/>
    <n v="7555"/>
    <n v="5"/>
    <n v="7177.25"/>
    <n v="4853.42"/>
    <n v="2323.83"/>
    <s v="Cash"/>
    <s v="Offline"/>
    <s v="Pending"/>
    <n v="3"/>
    <s v="Yes"/>
  </r>
  <r>
    <s v="ORD0904"/>
    <x v="123"/>
    <s v="C1125"/>
    <s v="Lakshay"/>
    <s v="Pune"/>
    <s v="Maharashtra"/>
    <x v="0"/>
    <s v="P062"/>
    <s v="Mixer 62"/>
    <x v="3"/>
    <s v="Mixer"/>
    <n v="2"/>
    <n v="4611"/>
    <n v="10"/>
    <n v="8299.7999999999993"/>
    <n v="6877.71"/>
    <n v="1422.09"/>
    <s v="Cash"/>
    <s v="Offline"/>
    <s v="Cancelled"/>
    <n v="1"/>
    <s v="No"/>
  </r>
  <r>
    <s v="ORD0905"/>
    <x v="25"/>
    <s v="C1261"/>
    <s v="Aman"/>
    <s v="Pune"/>
    <s v="Maharashtra"/>
    <x v="0"/>
    <s v="P017"/>
    <s v="Shoes 17"/>
    <x v="0"/>
    <s v="Shoes"/>
    <n v="4"/>
    <n v="35986"/>
    <n v="5"/>
    <n v="136746.79999999999"/>
    <n v="98606.89"/>
    <n v="38139.910000000003"/>
    <s v="Cash"/>
    <s v="Offline"/>
    <s v="Pending"/>
    <n v="5"/>
    <s v="Yes"/>
  </r>
  <r>
    <s v="ORD0906"/>
    <x v="79"/>
    <s v="C1162"/>
    <s v="Lakshay"/>
    <s v="Delhi"/>
    <s v="Delhi"/>
    <x v="2"/>
    <s v="P064"/>
    <s v="Table 64"/>
    <x v="2"/>
    <s v="Table"/>
    <n v="2"/>
    <n v="41049"/>
    <n v="5"/>
    <n v="77993.100000000006"/>
    <n v="59397.98"/>
    <n v="18595.12"/>
    <s v="Cash"/>
    <s v="Online"/>
    <s v="Cancelled"/>
    <n v="3"/>
    <s v="Yes"/>
  </r>
  <r>
    <s v="ORD0907"/>
    <x v="179"/>
    <s v="C1015"/>
    <s v="Anjali"/>
    <s v="Mumbai"/>
    <s v="Maharashtra"/>
    <x v="0"/>
    <s v="P096"/>
    <s v="Chair 96"/>
    <x v="2"/>
    <s v="Chair"/>
    <n v="1"/>
    <n v="63701"/>
    <n v="5"/>
    <n v="60515.95"/>
    <n v="37768.199999999997"/>
    <n v="22747.75"/>
    <s v="Card"/>
    <s v="Offline"/>
    <s v="Cancelled"/>
    <n v="4"/>
    <s v="Yes"/>
  </r>
  <r>
    <s v="ORD0908"/>
    <x v="96"/>
    <s v="C1046"/>
    <s v="Rohit"/>
    <s v="Kolkata"/>
    <s v="West Bengal"/>
    <x v="3"/>
    <s v="P022"/>
    <s v="Table 22"/>
    <x v="2"/>
    <s v="Table"/>
    <n v="4"/>
    <n v="21027"/>
    <n v="5"/>
    <n v="79902.600000000006"/>
    <n v="46709.41"/>
    <n v="33193.19"/>
    <s v="Cash"/>
    <s v="Offline"/>
    <s v="Delivered"/>
    <n v="5"/>
    <s v="Yes"/>
  </r>
  <r>
    <s v="ORD0909"/>
    <x v="132"/>
    <s v="C1218"/>
    <s v="Rohit"/>
    <s v="Bengaluru"/>
    <s v="Karnataka"/>
    <x v="1"/>
    <s v="P084"/>
    <s v="Laptop 84"/>
    <x v="1"/>
    <s v="Laptop"/>
    <n v="2"/>
    <n v="2351"/>
    <n v="0"/>
    <n v="4702"/>
    <n v="3454.2"/>
    <n v="1247.8"/>
    <s v="Cash"/>
    <s v="Online"/>
    <s v="Cancelled"/>
    <n v="2"/>
    <s v="No"/>
  </r>
  <r>
    <s v="ORD0910"/>
    <x v="71"/>
    <s v="C1194"/>
    <s v="Vikas"/>
    <s v="Bengaluru"/>
    <s v="Karnataka"/>
    <x v="1"/>
    <s v="P064"/>
    <s v="Table 64"/>
    <x v="2"/>
    <s v="Table"/>
    <n v="5"/>
    <n v="33882"/>
    <n v="10"/>
    <n v="152469"/>
    <n v="132977.57999999999"/>
    <n v="19491.419999999998"/>
    <s v="Card"/>
    <s v="Online"/>
    <s v="Cancelled"/>
    <n v="1"/>
    <s v="No"/>
  </r>
  <r>
    <s v="ORD0911"/>
    <x v="111"/>
    <s v="C1241"/>
    <s v="Vikas"/>
    <s v="Jaipur"/>
    <s v="Rajasthan"/>
    <x v="2"/>
    <s v="P044"/>
    <s v="Chair 44"/>
    <x v="2"/>
    <s v="Chair"/>
    <n v="2"/>
    <n v="72520"/>
    <n v="20"/>
    <n v="116032"/>
    <n v="103921.82"/>
    <n v="12110.18"/>
    <s v="Cash"/>
    <s v="Offline"/>
    <s v="Pending"/>
    <n v="3"/>
    <s v="No"/>
  </r>
  <r>
    <s v="ORD0912"/>
    <x v="7"/>
    <s v="C1258"/>
    <s v="Anjali"/>
    <s v="Delhi"/>
    <s v="Delhi"/>
    <x v="2"/>
    <s v="P098"/>
    <s v="Mobile 98"/>
    <x v="1"/>
    <s v="Mobile"/>
    <n v="5"/>
    <n v="55538"/>
    <n v="0"/>
    <n v="277690"/>
    <n v="223810.35"/>
    <n v="53879.65"/>
    <s v="Cash"/>
    <s v="Online"/>
    <s v="Pending"/>
    <n v="2"/>
    <s v="No"/>
  </r>
  <r>
    <s v="ORD0913"/>
    <x v="79"/>
    <s v="C1205"/>
    <s v="Rohit"/>
    <s v="Chennai"/>
    <s v="Tamil Nadu"/>
    <x v="1"/>
    <s v="P001"/>
    <s v="Shoes 1"/>
    <x v="0"/>
    <s v="Shoes"/>
    <n v="4"/>
    <n v="28419"/>
    <n v="5"/>
    <n v="107992.2"/>
    <n v="93943.71"/>
    <n v="14048.49"/>
    <s v="Card"/>
    <s v="Online"/>
    <s v="Pending"/>
    <n v="5"/>
    <s v="Yes"/>
  </r>
  <r>
    <s v="ORD0914"/>
    <x v="15"/>
    <s v="C1015"/>
    <s v="Sneha"/>
    <s v="Mumbai"/>
    <s v="Maharashtra"/>
    <x v="0"/>
    <s v="P096"/>
    <s v="Chair 96"/>
    <x v="2"/>
    <s v="Chair"/>
    <n v="2"/>
    <n v="47621"/>
    <n v="10"/>
    <n v="85717.8"/>
    <n v="53586.68"/>
    <n v="32131.119999999999"/>
    <s v="UPI"/>
    <s v="Offline"/>
    <s v="Cancelled"/>
    <n v="1"/>
    <s v="Yes"/>
  </r>
  <r>
    <s v="ORD0915"/>
    <x v="171"/>
    <s v="C1127"/>
    <s v="Neha"/>
    <s v="Pune"/>
    <s v="Maharashtra"/>
    <x v="0"/>
    <s v="P053"/>
    <s v="Laptop 53"/>
    <x v="1"/>
    <s v="Laptop"/>
    <n v="1"/>
    <n v="51075"/>
    <n v="5"/>
    <n v="48521.25"/>
    <n v="35655.129999999997"/>
    <n v="12866.12"/>
    <s v="UPI"/>
    <s v="Offline"/>
    <s v="Cancelled"/>
    <n v="5"/>
    <s v="No"/>
  </r>
  <r>
    <s v="ORD0916"/>
    <x v="10"/>
    <s v="C1232"/>
    <s v="Karan"/>
    <s v="Jaipur"/>
    <s v="Rajasthan"/>
    <x v="2"/>
    <s v="P029"/>
    <s v="Mixer 29"/>
    <x v="3"/>
    <s v="Mixer"/>
    <n v="2"/>
    <n v="72313"/>
    <n v="20"/>
    <n v="115700.8"/>
    <n v="106349.05"/>
    <n v="9351.75"/>
    <s v="Cash"/>
    <s v="Offline"/>
    <s v="Delivered"/>
    <n v="5"/>
    <s v="No"/>
  </r>
  <r>
    <s v="ORD0917"/>
    <x v="43"/>
    <s v="C1284"/>
    <s v="Rohit"/>
    <s v="Bengaluru"/>
    <s v="Karnataka"/>
    <x v="1"/>
    <s v="P077"/>
    <s v="Table 77"/>
    <x v="2"/>
    <s v="Table"/>
    <n v="5"/>
    <n v="26979"/>
    <n v="5"/>
    <n v="128150.25"/>
    <n v="86238.22"/>
    <n v="41912.03"/>
    <s v="Cash"/>
    <s v="Offline"/>
    <s v="Delivered"/>
    <n v="3"/>
    <s v="Yes"/>
  </r>
  <r>
    <s v="ORD0918"/>
    <x v="3"/>
    <s v="C1056"/>
    <s v="Sneha"/>
    <s v="Jaipur"/>
    <s v="Rajasthan"/>
    <x v="2"/>
    <s v="P025"/>
    <s v="Shoes 25"/>
    <x v="0"/>
    <s v="Shoes"/>
    <n v="2"/>
    <n v="69939"/>
    <n v="20"/>
    <n v="111902.39999999999"/>
    <n v="111603.39"/>
    <n v="299.01"/>
    <s v="UPI"/>
    <s v="Offline"/>
    <s v="Pending"/>
    <n v="3"/>
    <s v="Yes"/>
  </r>
  <r>
    <s v="ORD0919"/>
    <x v="113"/>
    <s v="C1270"/>
    <s v="Anjali"/>
    <s v="Chennai"/>
    <s v="Tamil Nadu"/>
    <x v="1"/>
    <s v="P044"/>
    <s v="Chair 44"/>
    <x v="2"/>
    <s v="Chair"/>
    <n v="1"/>
    <n v="13646"/>
    <n v="5"/>
    <n v="12963.7"/>
    <n v="10252.61"/>
    <n v="2711.09"/>
    <s v="Cash"/>
    <s v="Offline"/>
    <s v="Delivered"/>
    <n v="5"/>
    <s v="No"/>
  </r>
  <r>
    <s v="ORD0920"/>
    <x v="152"/>
    <s v="C1238"/>
    <s v="Karan"/>
    <s v="Bengaluru"/>
    <s v="Karnataka"/>
    <x v="1"/>
    <s v="P038"/>
    <s v="Mobile 38"/>
    <x v="1"/>
    <s v="Mobile"/>
    <n v="1"/>
    <n v="62684"/>
    <n v="10"/>
    <n v="56415.6"/>
    <n v="36245.660000000003"/>
    <n v="20169.939999999999"/>
    <s v="Cash"/>
    <s v="Offline"/>
    <s v="Pending"/>
    <n v="3"/>
    <s v="No"/>
  </r>
  <r>
    <s v="ORD0921"/>
    <x v="155"/>
    <s v="C1065"/>
    <s v="Neha"/>
    <s v="Chennai"/>
    <s v="Tamil Nadu"/>
    <x v="1"/>
    <s v="P020"/>
    <s v="Shoes 20"/>
    <x v="0"/>
    <s v="Shoes"/>
    <n v="4"/>
    <n v="53244"/>
    <n v="0"/>
    <n v="212976"/>
    <n v="180887.2"/>
    <n v="32088.799999999999"/>
    <s v="Cash"/>
    <s v="Online"/>
    <s v="Delivered"/>
    <n v="1"/>
    <s v="No"/>
  </r>
  <r>
    <s v="ORD0922"/>
    <x v="68"/>
    <s v="C1266"/>
    <s v="Rohit"/>
    <s v="Chennai"/>
    <s v="Tamil Nadu"/>
    <x v="1"/>
    <s v="P047"/>
    <s v="Table 47"/>
    <x v="2"/>
    <s v="Table"/>
    <n v="2"/>
    <n v="45867"/>
    <n v="0"/>
    <n v="91734"/>
    <n v="53982.06"/>
    <n v="37751.94"/>
    <s v="Card"/>
    <s v="Online"/>
    <s v="Delivered"/>
    <n v="5"/>
    <s v="Yes"/>
  </r>
  <r>
    <s v="ORD0923"/>
    <x v="29"/>
    <s v="C1055"/>
    <s v="Aman"/>
    <s v="Mumbai"/>
    <s v="Maharashtra"/>
    <x v="0"/>
    <s v="P025"/>
    <s v="Shoes 25"/>
    <x v="0"/>
    <s v="Shoes"/>
    <n v="1"/>
    <n v="56096"/>
    <n v="0"/>
    <n v="56096"/>
    <n v="39923.160000000003"/>
    <n v="16172.84"/>
    <s v="Card"/>
    <s v="Online"/>
    <s v="Cancelled"/>
    <n v="2"/>
    <s v="Yes"/>
  </r>
  <r>
    <s v="ORD0924"/>
    <x v="139"/>
    <s v="C1074"/>
    <s v="Karan"/>
    <s v="Kolkata"/>
    <s v="West Bengal"/>
    <x v="3"/>
    <s v="P041"/>
    <s v="Table 41"/>
    <x v="2"/>
    <s v="Table"/>
    <n v="5"/>
    <n v="64455"/>
    <n v="15"/>
    <n v="273933.75"/>
    <n v="260768.65"/>
    <n v="13165.1"/>
    <s v="Card"/>
    <s v="Offline"/>
    <s v="Delivered"/>
    <n v="2"/>
    <s v="No"/>
  </r>
  <r>
    <s v="ORD0925"/>
    <x v="152"/>
    <s v="C1177"/>
    <s v="Vikas"/>
    <s v="Bengaluru"/>
    <s v="Karnataka"/>
    <x v="1"/>
    <s v="P022"/>
    <s v="Table 22"/>
    <x v="2"/>
    <s v="Table"/>
    <n v="5"/>
    <n v="74953"/>
    <n v="20"/>
    <n v="299812"/>
    <n v="299748.64"/>
    <n v="63.36"/>
    <s v="Cash"/>
    <s v="Offline"/>
    <s v="Delivered"/>
    <n v="2"/>
    <s v="Yes"/>
  </r>
  <r>
    <s v="ORD0926"/>
    <x v="38"/>
    <s v="C1186"/>
    <s v="Sneha"/>
    <s v="Kolkata"/>
    <s v="West Bengal"/>
    <x v="3"/>
    <s v="P076"/>
    <s v="Mixer 76"/>
    <x v="3"/>
    <s v="Mixer"/>
    <n v="2"/>
    <n v="20721"/>
    <n v="0"/>
    <n v="41442"/>
    <n v="29071.02"/>
    <n v="12370.98"/>
    <s v="UPI"/>
    <s v="Offline"/>
    <s v="Cancelled"/>
    <n v="3"/>
    <s v="No"/>
  </r>
  <r>
    <s v="ORD0927"/>
    <x v="171"/>
    <s v="C1233"/>
    <s v="Aman"/>
    <s v="Mumbai"/>
    <s v="Maharashtra"/>
    <x v="0"/>
    <s v="P081"/>
    <s v="Laptop 81"/>
    <x v="1"/>
    <s v="Laptop"/>
    <n v="5"/>
    <n v="64716"/>
    <n v="15"/>
    <n v="275043"/>
    <n v="208543.72"/>
    <n v="66499.28"/>
    <s v="Cash"/>
    <s v="Offline"/>
    <s v="Delivered"/>
    <n v="5"/>
    <s v="Yes"/>
  </r>
  <r>
    <s v="ORD0928"/>
    <x v="71"/>
    <s v="C1183"/>
    <s v="Aman"/>
    <s v="Delhi"/>
    <s v="Delhi"/>
    <x v="2"/>
    <s v="P016"/>
    <s v="Chair 16"/>
    <x v="2"/>
    <s v="Chair"/>
    <n v="2"/>
    <n v="49891"/>
    <n v="0"/>
    <n v="99782"/>
    <n v="66715.53"/>
    <n v="33066.47"/>
    <s v="Cash"/>
    <s v="Offline"/>
    <s v="Cancelled"/>
    <n v="4"/>
    <s v="Yes"/>
  </r>
  <r>
    <s v="ORD0929"/>
    <x v="116"/>
    <s v="C1128"/>
    <s v="Rahul"/>
    <s v="Chennai"/>
    <s v="Tamil Nadu"/>
    <x v="1"/>
    <s v="P095"/>
    <s v="Mobile 95"/>
    <x v="1"/>
    <s v="Mobile"/>
    <n v="1"/>
    <n v="47377"/>
    <n v="20"/>
    <n v="37901.599999999999"/>
    <n v="29416.65"/>
    <n v="8484.9500000000007"/>
    <s v="Cash"/>
    <s v="Offline"/>
    <s v="Cancelled"/>
    <n v="1"/>
    <s v="No"/>
  </r>
  <r>
    <s v="ORD0930"/>
    <x v="61"/>
    <s v="C1249"/>
    <s v="Neha"/>
    <s v="Kolkata"/>
    <s v="West Bengal"/>
    <x v="3"/>
    <s v="P037"/>
    <s v="Mixer 37"/>
    <x v="3"/>
    <s v="Mixer"/>
    <n v="5"/>
    <n v="28571"/>
    <n v="10"/>
    <n v="128569.5"/>
    <n v="104198.42"/>
    <n v="24371.08"/>
    <s v="Card"/>
    <s v="Online"/>
    <s v="Delivered"/>
    <n v="3"/>
    <s v="Yes"/>
  </r>
  <r>
    <s v="ORD0931"/>
    <x v="41"/>
    <s v="C1257"/>
    <s v="Lakshay"/>
    <s v="Bengaluru"/>
    <s v="Karnataka"/>
    <x v="1"/>
    <s v="P064"/>
    <s v="Table 64"/>
    <x v="2"/>
    <s v="Table"/>
    <n v="5"/>
    <n v="27454"/>
    <n v="15"/>
    <n v="116679.5"/>
    <n v="110056.98"/>
    <n v="6622.52"/>
    <s v="UPI"/>
    <s v="Offline"/>
    <s v="Cancelled"/>
    <n v="2"/>
    <s v="Yes"/>
  </r>
  <r>
    <s v="ORD0932"/>
    <x v="107"/>
    <s v="C1150"/>
    <s v="Aman"/>
    <s v="Bengaluru"/>
    <s v="Karnataka"/>
    <x v="1"/>
    <s v="P025"/>
    <s v="Shoes 25"/>
    <x v="0"/>
    <s v="Shoes"/>
    <n v="4"/>
    <n v="71556"/>
    <n v="20"/>
    <n v="228979.20000000001"/>
    <n v="205332.94"/>
    <n v="23646.26"/>
    <s v="Card"/>
    <s v="Online"/>
    <s v="Delivered"/>
    <n v="4"/>
    <s v="No"/>
  </r>
  <r>
    <s v="ORD0933"/>
    <x v="119"/>
    <s v="C1209"/>
    <s v="Neha"/>
    <s v="Kolkata"/>
    <s v="West Bengal"/>
    <x v="3"/>
    <s v="P006"/>
    <s v="Mobile 6"/>
    <x v="1"/>
    <s v="Mobile"/>
    <n v="5"/>
    <n v="70772"/>
    <n v="20"/>
    <n v="283088"/>
    <n v="265748.26"/>
    <n v="17339.740000000002"/>
    <s v="UPI"/>
    <s v="Offline"/>
    <s v="Pending"/>
    <n v="3"/>
    <s v="Yes"/>
  </r>
  <r>
    <s v="ORD0934"/>
    <x v="24"/>
    <s v="C1050"/>
    <s v="Neha"/>
    <s v="Pune"/>
    <s v="Maharashtra"/>
    <x v="0"/>
    <s v="P094"/>
    <s v="Table 94"/>
    <x v="2"/>
    <s v="Table"/>
    <n v="4"/>
    <n v="28386"/>
    <n v="20"/>
    <n v="90835.199999999997"/>
    <n v="79486.460000000006"/>
    <n v="11348.74"/>
    <s v="Card"/>
    <s v="Online"/>
    <s v="Pending"/>
    <n v="3"/>
    <s v="Yes"/>
  </r>
  <r>
    <s v="ORD0935"/>
    <x v="96"/>
    <s v="C1192"/>
    <s v="Karan"/>
    <s v="Delhi"/>
    <s v="Delhi"/>
    <x v="2"/>
    <s v="P080"/>
    <s v="Shoes 80"/>
    <x v="0"/>
    <s v="Shoes"/>
    <n v="2"/>
    <n v="53360"/>
    <n v="10"/>
    <n v="96048"/>
    <n v="75787.149999999994"/>
    <n v="20260.849999999999"/>
    <s v="Cash"/>
    <s v="Online"/>
    <s v="Cancelled"/>
    <n v="2"/>
    <s v="Yes"/>
  </r>
  <r>
    <s v="ORD0936"/>
    <x v="137"/>
    <s v="C1127"/>
    <s v="Neha"/>
    <s v="Chennai"/>
    <s v="Tamil Nadu"/>
    <x v="1"/>
    <s v="P007"/>
    <s v="Laptop 7"/>
    <x v="1"/>
    <s v="Laptop"/>
    <n v="4"/>
    <n v="63959"/>
    <n v="15"/>
    <n v="217460.6"/>
    <n v="153338.74"/>
    <n v="64121.86"/>
    <s v="UPI"/>
    <s v="Offline"/>
    <s v="Pending"/>
    <n v="3"/>
    <s v="Yes"/>
  </r>
  <r>
    <s v="ORD0937"/>
    <x v="18"/>
    <s v="C1066"/>
    <s v="Anjali"/>
    <s v="Bengaluru"/>
    <s v="Karnataka"/>
    <x v="1"/>
    <s v="P017"/>
    <s v="Shoes 17"/>
    <x v="0"/>
    <s v="Shoes"/>
    <n v="5"/>
    <n v="23050"/>
    <n v="0"/>
    <n v="115250"/>
    <n v="66736.67"/>
    <n v="48513.33"/>
    <s v="Card"/>
    <s v="Offline"/>
    <s v="Pending"/>
    <n v="3"/>
    <s v="No"/>
  </r>
  <r>
    <s v="ORD0938"/>
    <x v="66"/>
    <s v="C1177"/>
    <s v="Rahul"/>
    <s v="Kolkata"/>
    <s v="West Bengal"/>
    <x v="3"/>
    <s v="P057"/>
    <s v="Shoes 57"/>
    <x v="0"/>
    <s v="Shoes"/>
    <n v="5"/>
    <n v="11039"/>
    <n v="20"/>
    <n v="44156"/>
    <n v="45962.42"/>
    <n v="-1806.42"/>
    <s v="Card"/>
    <s v="Online"/>
    <s v="Delivered"/>
    <n v="5"/>
    <s v="Yes"/>
  </r>
  <r>
    <s v="ORD0939"/>
    <x v="156"/>
    <s v="C1147"/>
    <s v="Karan"/>
    <s v="Bengaluru"/>
    <s v="Karnataka"/>
    <x v="1"/>
    <s v="P098"/>
    <s v="Mobile 98"/>
    <x v="1"/>
    <s v="Mobile"/>
    <n v="1"/>
    <n v="14663"/>
    <n v="15"/>
    <n v="12463.55"/>
    <n v="8853.09"/>
    <n v="3610.46"/>
    <s v="Card"/>
    <s v="Online"/>
    <s v="Pending"/>
    <n v="1"/>
    <s v="No"/>
  </r>
  <r>
    <s v="ORD0940"/>
    <x v="15"/>
    <s v="C1211"/>
    <s v="Karan"/>
    <s v="Pune"/>
    <s v="Maharashtra"/>
    <x v="0"/>
    <s v="P082"/>
    <s v="Mobile 82"/>
    <x v="1"/>
    <s v="Mobile"/>
    <n v="5"/>
    <n v="9055"/>
    <n v="20"/>
    <n v="36220"/>
    <n v="34762.370000000003"/>
    <n v="1457.63"/>
    <s v="UPI"/>
    <s v="Offline"/>
    <s v="Pending"/>
    <n v="3"/>
    <s v="Yes"/>
  </r>
  <r>
    <s v="ORD0941"/>
    <x v="142"/>
    <s v="C1245"/>
    <s v="Rahul"/>
    <s v="Delhi"/>
    <s v="Delhi"/>
    <x v="2"/>
    <s v="P047"/>
    <s v="Table 47"/>
    <x v="2"/>
    <s v="Table"/>
    <n v="4"/>
    <n v="43536"/>
    <n v="20"/>
    <n v="139315.20000000001"/>
    <n v="124874.64"/>
    <n v="14440.56"/>
    <s v="Cash"/>
    <s v="Offline"/>
    <s v="Pending"/>
    <n v="5"/>
    <s v="No"/>
  </r>
  <r>
    <s v="ORD0942"/>
    <x v="133"/>
    <s v="C1035"/>
    <s v="Rohit"/>
    <s v="Mumbai"/>
    <s v="Maharashtra"/>
    <x v="0"/>
    <s v="P018"/>
    <s v="Laptop 18"/>
    <x v="1"/>
    <s v="Laptop"/>
    <n v="1"/>
    <n v="7570"/>
    <n v="5"/>
    <n v="7191.5"/>
    <n v="5218.41"/>
    <n v="1973.09"/>
    <s v="Cash"/>
    <s v="Online"/>
    <s v="Delivered"/>
    <n v="2"/>
    <s v="No"/>
  </r>
  <r>
    <s v="ORD0943"/>
    <x v="176"/>
    <s v="C1035"/>
    <s v="Karan"/>
    <s v="Chennai"/>
    <s v="Tamil Nadu"/>
    <x v="1"/>
    <s v="P028"/>
    <s v="Shoes 28"/>
    <x v="0"/>
    <s v="Shoes"/>
    <n v="2"/>
    <n v="69167"/>
    <n v="20"/>
    <n v="110667.2"/>
    <n v="95756.01"/>
    <n v="14911.19"/>
    <s v="Card"/>
    <s v="Offline"/>
    <s v="Delivered"/>
    <n v="2"/>
    <s v="Yes"/>
  </r>
  <r>
    <s v="ORD0944"/>
    <x v="71"/>
    <s v="C1243"/>
    <s v="Vikas"/>
    <s v="Bengaluru"/>
    <s v="Karnataka"/>
    <x v="1"/>
    <s v="P034"/>
    <s v="Chair 34"/>
    <x v="2"/>
    <s v="Chair"/>
    <n v="5"/>
    <n v="6974"/>
    <n v="0"/>
    <n v="34870"/>
    <n v="22148.03"/>
    <n v="12721.97"/>
    <s v="Card"/>
    <s v="Offline"/>
    <s v="Cancelled"/>
    <n v="2"/>
    <s v="No"/>
  </r>
  <r>
    <s v="ORD0945"/>
    <x v="5"/>
    <s v="C1082"/>
    <s v="Karan"/>
    <s v="Kolkata"/>
    <s v="West Bengal"/>
    <x v="3"/>
    <s v="P022"/>
    <s v="Table 22"/>
    <x v="2"/>
    <s v="Table"/>
    <n v="5"/>
    <n v="66980"/>
    <n v="20"/>
    <n v="267920"/>
    <n v="204622.22"/>
    <n v="63297.78"/>
    <s v="UPI"/>
    <s v="Online"/>
    <s v="Cancelled"/>
    <n v="3"/>
    <s v="No"/>
  </r>
  <r>
    <s v="ORD0946"/>
    <x v="100"/>
    <s v="C1002"/>
    <s v="Karan"/>
    <s v="Bengaluru"/>
    <s v="Karnataka"/>
    <x v="1"/>
    <s v="P062"/>
    <s v="Mixer 62"/>
    <x v="3"/>
    <s v="Mixer"/>
    <n v="1"/>
    <n v="63633"/>
    <n v="15"/>
    <n v="54088.05"/>
    <n v="47882.61"/>
    <n v="6205.44"/>
    <s v="Cash"/>
    <s v="Offline"/>
    <s v="Pending"/>
    <n v="2"/>
    <s v="Yes"/>
  </r>
  <r>
    <s v="ORD0947"/>
    <x v="32"/>
    <s v="C1178"/>
    <s v="Anjali"/>
    <s v="Kolkata"/>
    <s v="West Bengal"/>
    <x v="3"/>
    <s v="P050"/>
    <s v="Chair 50"/>
    <x v="2"/>
    <s v="Chair"/>
    <n v="3"/>
    <n v="3534"/>
    <n v="0"/>
    <n v="10602"/>
    <n v="7387.41"/>
    <n v="3214.59"/>
    <s v="UPI"/>
    <s v="Offline"/>
    <s v="Delivered"/>
    <n v="5"/>
    <s v="Yes"/>
  </r>
  <r>
    <s v="ORD0948"/>
    <x v="161"/>
    <s v="C1182"/>
    <s v="Sneha"/>
    <s v="Jaipur"/>
    <s v="Rajasthan"/>
    <x v="2"/>
    <s v="P050"/>
    <s v="Chair 50"/>
    <x v="2"/>
    <s v="Chair"/>
    <n v="3"/>
    <n v="1207"/>
    <n v="5"/>
    <n v="3439.95"/>
    <n v="2696.91"/>
    <n v="743.04"/>
    <s v="Cash"/>
    <s v="Offline"/>
    <s v="Delivered"/>
    <n v="2"/>
    <s v="Yes"/>
  </r>
  <r>
    <s v="ORD0949"/>
    <x v="126"/>
    <s v="C1165"/>
    <s v="Rahul"/>
    <s v="Bengaluru"/>
    <s v="Karnataka"/>
    <x v="1"/>
    <s v="P043"/>
    <s v="Mobile 43"/>
    <x v="1"/>
    <s v="Mobile"/>
    <n v="1"/>
    <n v="36452"/>
    <n v="10"/>
    <n v="32806.800000000003"/>
    <n v="26855.84"/>
    <n v="5950.96"/>
    <s v="Cash"/>
    <s v="Offline"/>
    <s v="Pending"/>
    <n v="1"/>
    <s v="No"/>
  </r>
  <r>
    <s v="ORD0950"/>
    <x v="157"/>
    <s v="C1218"/>
    <s v="Rahul"/>
    <s v="Pune"/>
    <s v="Maharashtra"/>
    <x v="0"/>
    <s v="P060"/>
    <s v="Mixer 60"/>
    <x v="3"/>
    <s v="Mixer"/>
    <n v="1"/>
    <n v="1122"/>
    <n v="15"/>
    <n v="953.7"/>
    <n v="859.58"/>
    <n v="94.12"/>
    <s v="UPI"/>
    <s v="Online"/>
    <s v="Pending"/>
    <n v="3"/>
    <s v="No"/>
  </r>
  <r>
    <s v="ORD0951"/>
    <x v="36"/>
    <s v="C1277"/>
    <s v="Priya"/>
    <s v="Mumbai"/>
    <s v="Maharashtra"/>
    <x v="0"/>
    <s v="P040"/>
    <s v="Chair 40"/>
    <x v="2"/>
    <s v="Chair"/>
    <n v="2"/>
    <n v="19470"/>
    <n v="0"/>
    <n v="38940"/>
    <n v="27172.63"/>
    <n v="11767.37"/>
    <s v="Card"/>
    <s v="Online"/>
    <s v="Pending"/>
    <n v="4"/>
    <s v="Yes"/>
  </r>
  <r>
    <s v="ORD0952"/>
    <x v="24"/>
    <s v="C1026"/>
    <s v="Rohit"/>
    <s v="Jaipur"/>
    <s v="Rajasthan"/>
    <x v="2"/>
    <s v="P096"/>
    <s v="Chair 96"/>
    <x v="2"/>
    <s v="Chair"/>
    <n v="3"/>
    <n v="14396"/>
    <n v="5"/>
    <n v="41028.6"/>
    <n v="32939.57"/>
    <n v="8089.03"/>
    <s v="Cash"/>
    <s v="Online"/>
    <s v="Pending"/>
    <n v="2"/>
    <s v="Yes"/>
  </r>
  <r>
    <s v="ORD0953"/>
    <x v="113"/>
    <s v="C1145"/>
    <s v="Rahul"/>
    <s v="Bengaluru"/>
    <s v="Karnataka"/>
    <x v="1"/>
    <s v="P033"/>
    <s v="Mixer 33"/>
    <x v="3"/>
    <s v="Mixer"/>
    <n v="3"/>
    <n v="2312"/>
    <n v="5"/>
    <n v="6589.2"/>
    <n v="4452.68"/>
    <n v="2136.52"/>
    <s v="Card"/>
    <s v="Online"/>
    <s v="Pending"/>
    <n v="2"/>
    <s v="No"/>
  </r>
  <r>
    <s v="ORD0954"/>
    <x v="107"/>
    <s v="C1165"/>
    <s v="Lakshay"/>
    <s v="Chennai"/>
    <s v="Tamil Nadu"/>
    <x v="1"/>
    <s v="P017"/>
    <s v="Shoes 17"/>
    <x v="0"/>
    <s v="Shoes"/>
    <n v="2"/>
    <n v="55366"/>
    <n v="5"/>
    <n v="105195.4"/>
    <n v="64630.6"/>
    <n v="40564.800000000003"/>
    <s v="Cash"/>
    <s v="Offline"/>
    <s v="Pending"/>
    <n v="5"/>
    <s v="No"/>
  </r>
  <r>
    <s v="ORD0955"/>
    <x v="76"/>
    <s v="C1242"/>
    <s v="Karan"/>
    <s v="Kolkata"/>
    <s v="West Bengal"/>
    <x v="3"/>
    <s v="P026"/>
    <s v="Table 26"/>
    <x v="2"/>
    <s v="Table"/>
    <n v="4"/>
    <n v="13286"/>
    <n v="5"/>
    <n v="50486.8"/>
    <n v="41133.5"/>
    <n v="9353.2999999999993"/>
    <s v="Cash"/>
    <s v="Offline"/>
    <s v="Pending"/>
    <n v="4"/>
    <s v="Yes"/>
  </r>
  <r>
    <s v="ORD0956"/>
    <x v="80"/>
    <s v="C1280"/>
    <s v="Lakshay"/>
    <s v="Kolkata"/>
    <s v="West Bengal"/>
    <x v="3"/>
    <s v="P024"/>
    <s v="Laptop 24"/>
    <x v="1"/>
    <s v="Laptop"/>
    <n v="5"/>
    <n v="13269"/>
    <n v="15"/>
    <n v="56393.25"/>
    <n v="47977.42"/>
    <n v="8415.83"/>
    <s v="UPI"/>
    <s v="Offline"/>
    <s v="Pending"/>
    <n v="4"/>
    <s v="No"/>
  </r>
  <r>
    <s v="ORD0957"/>
    <x v="22"/>
    <s v="C1135"/>
    <s v="Aman"/>
    <s v="Delhi"/>
    <s v="Delhi"/>
    <x v="2"/>
    <s v="P022"/>
    <s v="Table 22"/>
    <x v="2"/>
    <s v="Table"/>
    <n v="3"/>
    <n v="10715"/>
    <n v="15"/>
    <n v="27323.25"/>
    <n v="19895.78"/>
    <n v="7427.47"/>
    <s v="UPI"/>
    <s v="Online"/>
    <s v="Cancelled"/>
    <n v="3"/>
    <s v="No"/>
  </r>
  <r>
    <s v="ORD0958"/>
    <x v="171"/>
    <s v="C1031"/>
    <s v="Lakshay"/>
    <s v="Kolkata"/>
    <s v="West Bengal"/>
    <x v="3"/>
    <s v="P010"/>
    <s v="Shoes 10"/>
    <x v="0"/>
    <s v="Shoes"/>
    <n v="3"/>
    <n v="18696"/>
    <n v="15"/>
    <n v="47674.8"/>
    <n v="37808.06"/>
    <n v="9866.74"/>
    <s v="Card"/>
    <s v="Offline"/>
    <s v="Pending"/>
    <n v="3"/>
    <s v="No"/>
  </r>
  <r>
    <s v="ORD0959"/>
    <x v="45"/>
    <s v="C1134"/>
    <s v="Neha"/>
    <s v="Pune"/>
    <s v="Maharashtra"/>
    <x v="0"/>
    <s v="P022"/>
    <s v="Table 22"/>
    <x v="2"/>
    <s v="Table"/>
    <n v="2"/>
    <n v="19995"/>
    <n v="15"/>
    <n v="33991.5"/>
    <n v="30373.919999999998"/>
    <n v="3617.58"/>
    <s v="Card"/>
    <s v="Online"/>
    <s v="Cancelled"/>
    <n v="5"/>
    <s v="No"/>
  </r>
  <r>
    <s v="ORD0960"/>
    <x v="138"/>
    <s v="C1015"/>
    <s v="Anjali"/>
    <s v="Delhi"/>
    <s v="Delhi"/>
    <x v="2"/>
    <s v="P061"/>
    <s v="Mobile 61"/>
    <x v="1"/>
    <s v="Mobile"/>
    <n v="3"/>
    <n v="56201"/>
    <n v="20"/>
    <n v="134882.4"/>
    <n v="100712"/>
    <n v="34170.400000000001"/>
    <s v="Cash"/>
    <s v="Online"/>
    <s v="Pending"/>
    <n v="4"/>
    <s v="No"/>
  </r>
  <r>
    <s v="ORD0961"/>
    <x v="180"/>
    <s v="C1083"/>
    <s v="Rohit"/>
    <s v="Bengaluru"/>
    <s v="Karnataka"/>
    <x v="1"/>
    <s v="P060"/>
    <s v="Mixer 60"/>
    <x v="3"/>
    <s v="Mixer"/>
    <n v="5"/>
    <n v="8105"/>
    <n v="0"/>
    <n v="40525"/>
    <n v="31231.17"/>
    <n v="9293.83"/>
    <s v="UPI"/>
    <s v="Online"/>
    <s v="Pending"/>
    <n v="5"/>
    <s v="No"/>
  </r>
  <r>
    <s v="ORD0962"/>
    <x v="92"/>
    <s v="C1241"/>
    <s v="Vikas"/>
    <s v="Jaipur"/>
    <s v="Rajasthan"/>
    <x v="2"/>
    <s v="P090"/>
    <s v="Mixer 90"/>
    <x v="3"/>
    <s v="Mixer"/>
    <n v="2"/>
    <n v="32330"/>
    <n v="10"/>
    <n v="58194"/>
    <n v="45505.72"/>
    <n v="12688.28"/>
    <s v="Card"/>
    <s v="Offline"/>
    <s v="Cancelled"/>
    <n v="1"/>
    <s v="Yes"/>
  </r>
  <r>
    <s v="ORD0963"/>
    <x v="136"/>
    <s v="C1027"/>
    <s v="Vikas"/>
    <s v="Chennai"/>
    <s v="Tamil Nadu"/>
    <x v="1"/>
    <s v="P015"/>
    <s v="Table 15"/>
    <x v="2"/>
    <s v="Table"/>
    <n v="2"/>
    <n v="23468"/>
    <n v="10"/>
    <n v="42242.400000000001"/>
    <n v="36091.83"/>
    <n v="6150.57"/>
    <s v="UPI"/>
    <s v="Offline"/>
    <s v="Cancelled"/>
    <n v="4"/>
    <s v="No"/>
  </r>
  <r>
    <s v="ORD0964"/>
    <x v="37"/>
    <s v="C1024"/>
    <s v="Sneha"/>
    <s v="Kolkata"/>
    <s v="West Bengal"/>
    <x v="3"/>
    <s v="P027"/>
    <s v="Chair 27"/>
    <x v="2"/>
    <s v="Chair"/>
    <n v="3"/>
    <n v="65706"/>
    <n v="5"/>
    <n v="187262.1"/>
    <n v="140604.06"/>
    <n v="46658.04"/>
    <s v="Cash"/>
    <s v="Online"/>
    <s v="Cancelled"/>
    <n v="2"/>
    <s v="No"/>
  </r>
  <r>
    <s v="ORD0965"/>
    <x v="83"/>
    <s v="C1156"/>
    <s v="Priya"/>
    <s v="Bengaluru"/>
    <s v="Karnataka"/>
    <x v="1"/>
    <s v="P059"/>
    <s v="Laptop 59"/>
    <x v="1"/>
    <s v="Laptop"/>
    <n v="5"/>
    <n v="60144"/>
    <n v="15"/>
    <n v="255612"/>
    <n v="191921.37"/>
    <n v="63690.63"/>
    <s v="UPI"/>
    <s v="Offline"/>
    <s v="Pending"/>
    <n v="3"/>
    <s v="No"/>
  </r>
  <r>
    <s v="ORD0966"/>
    <x v="48"/>
    <s v="C1258"/>
    <s v="Karan"/>
    <s v="Pune"/>
    <s v="Maharashtra"/>
    <x v="0"/>
    <s v="P097"/>
    <s v="Mobile 97"/>
    <x v="1"/>
    <s v="Mobile"/>
    <n v="4"/>
    <n v="51151"/>
    <n v="10"/>
    <n v="184143.6"/>
    <n v="143183.74"/>
    <n v="40959.86"/>
    <s v="UPI"/>
    <s v="Offline"/>
    <s v="Cancelled"/>
    <n v="2"/>
    <s v="Yes"/>
  </r>
  <r>
    <s v="ORD0967"/>
    <x v="16"/>
    <s v="C1218"/>
    <s v="Vikas"/>
    <s v="Delhi"/>
    <s v="Delhi"/>
    <x v="2"/>
    <s v="P070"/>
    <s v="Laptop 70"/>
    <x v="1"/>
    <s v="Laptop"/>
    <n v="4"/>
    <n v="62656"/>
    <n v="0"/>
    <n v="250624"/>
    <n v="211880.69"/>
    <n v="38743.31"/>
    <s v="Card"/>
    <s v="Offline"/>
    <s v="Pending"/>
    <n v="5"/>
    <s v="No"/>
  </r>
  <r>
    <s v="ORD0968"/>
    <x v="174"/>
    <s v="C1142"/>
    <s v="Vikas"/>
    <s v="Pune"/>
    <s v="Maharashtra"/>
    <x v="0"/>
    <s v="P062"/>
    <s v="Mixer 62"/>
    <x v="3"/>
    <s v="Mixer"/>
    <n v="5"/>
    <n v="75539"/>
    <n v="15"/>
    <n v="321040.75"/>
    <n v="257206.07"/>
    <n v="63834.68"/>
    <s v="UPI"/>
    <s v="Online"/>
    <s v="Pending"/>
    <n v="1"/>
    <s v="Yes"/>
  </r>
  <r>
    <s v="ORD0969"/>
    <x v="77"/>
    <s v="C1182"/>
    <s v="Lakshay"/>
    <s v="Chennai"/>
    <s v="Tamil Nadu"/>
    <x v="1"/>
    <s v="P041"/>
    <s v="Table 41"/>
    <x v="2"/>
    <s v="Table"/>
    <n v="4"/>
    <n v="73091"/>
    <n v="10"/>
    <n v="263127.59999999998"/>
    <n v="181079.33"/>
    <n v="82048.27"/>
    <s v="Cash"/>
    <s v="Offline"/>
    <s v="Cancelled"/>
    <n v="2"/>
    <s v="No"/>
  </r>
  <r>
    <s v="ORD0970"/>
    <x v="80"/>
    <s v="C1057"/>
    <s v="Anjali"/>
    <s v="Bengaluru"/>
    <s v="Karnataka"/>
    <x v="1"/>
    <s v="P062"/>
    <s v="Mixer 62"/>
    <x v="3"/>
    <s v="Mixer"/>
    <n v="5"/>
    <n v="51930"/>
    <n v="10"/>
    <n v="233685"/>
    <n v="213080.48"/>
    <n v="20604.52"/>
    <s v="UPI"/>
    <s v="Online"/>
    <s v="Delivered"/>
    <n v="2"/>
    <s v="Yes"/>
  </r>
  <r>
    <s v="ORD0971"/>
    <x v="142"/>
    <s v="C1032"/>
    <s v="Neha"/>
    <s v="Kolkata"/>
    <s v="West Bengal"/>
    <x v="3"/>
    <s v="P034"/>
    <s v="Chair 34"/>
    <x v="2"/>
    <s v="Chair"/>
    <n v="5"/>
    <n v="43683"/>
    <n v="0"/>
    <n v="218415"/>
    <n v="184413.47"/>
    <n v="34001.53"/>
    <s v="Card"/>
    <s v="Online"/>
    <s v="Cancelled"/>
    <n v="2"/>
    <s v="No"/>
  </r>
  <r>
    <s v="ORD0972"/>
    <x v="112"/>
    <s v="C1107"/>
    <s v="Vikas"/>
    <s v="Mumbai"/>
    <s v="Maharashtra"/>
    <x v="0"/>
    <s v="P044"/>
    <s v="Chair 44"/>
    <x v="2"/>
    <s v="Chair"/>
    <n v="4"/>
    <n v="9146"/>
    <n v="5"/>
    <n v="34754.800000000003"/>
    <n v="25540.19"/>
    <n v="9214.61"/>
    <s v="Cash"/>
    <s v="Online"/>
    <s v="Delivered"/>
    <n v="2"/>
    <s v="Yes"/>
  </r>
  <r>
    <s v="ORD0973"/>
    <x v="73"/>
    <s v="C1005"/>
    <s v="Rohit"/>
    <s v="Chennai"/>
    <s v="Tamil Nadu"/>
    <x v="1"/>
    <s v="P065"/>
    <s v="Mobile 65"/>
    <x v="1"/>
    <s v="Mobile"/>
    <n v="3"/>
    <n v="65219"/>
    <n v="15"/>
    <n v="166308.45000000001"/>
    <n v="117450.46"/>
    <n v="48857.99"/>
    <s v="Cash"/>
    <s v="Online"/>
    <s v="Delivered"/>
    <n v="4"/>
    <s v="No"/>
  </r>
  <r>
    <s v="ORD0974"/>
    <x v="107"/>
    <s v="C1195"/>
    <s v="Lakshay"/>
    <s v="Pune"/>
    <s v="Maharashtra"/>
    <x v="0"/>
    <s v="P055"/>
    <s v="Chair 55"/>
    <x v="2"/>
    <s v="Chair"/>
    <n v="1"/>
    <n v="22192"/>
    <n v="20"/>
    <n v="17753.599999999999"/>
    <n v="15583"/>
    <n v="2170.6"/>
    <s v="Cash"/>
    <s v="Online"/>
    <s v="Pending"/>
    <n v="1"/>
    <s v="Yes"/>
  </r>
  <r>
    <s v="ORD0975"/>
    <x v="162"/>
    <s v="C1253"/>
    <s v="Aman"/>
    <s v="Delhi"/>
    <s v="Delhi"/>
    <x v="2"/>
    <s v="P047"/>
    <s v="Table 47"/>
    <x v="2"/>
    <s v="Table"/>
    <n v="3"/>
    <n v="57490"/>
    <n v="20"/>
    <n v="137976"/>
    <n v="109515.5"/>
    <n v="28460.5"/>
    <s v="Cash"/>
    <s v="Online"/>
    <s v="Delivered"/>
    <n v="4"/>
    <s v="No"/>
  </r>
  <r>
    <s v="ORD0976"/>
    <x v="138"/>
    <s v="C1155"/>
    <s v="Neha"/>
    <s v="Delhi"/>
    <s v="Delhi"/>
    <x v="2"/>
    <s v="P060"/>
    <s v="Mixer 60"/>
    <x v="3"/>
    <s v="Mixer"/>
    <n v="3"/>
    <n v="28170"/>
    <n v="0"/>
    <n v="84510"/>
    <n v="68267.94"/>
    <n v="16242.06"/>
    <s v="Card"/>
    <s v="Online"/>
    <s v="Delivered"/>
    <n v="5"/>
    <s v="Yes"/>
  </r>
  <r>
    <s v="ORD0977"/>
    <x v="130"/>
    <s v="C1190"/>
    <s v="Rahul"/>
    <s v="Mumbai"/>
    <s v="Maharashtra"/>
    <x v="0"/>
    <s v="P056"/>
    <s v="Shoes 56"/>
    <x v="0"/>
    <s v="Shoes"/>
    <n v="3"/>
    <n v="3559"/>
    <n v="15"/>
    <n v="9075.4500000000007"/>
    <n v="8085.88"/>
    <n v="989.57"/>
    <s v="Cash"/>
    <s v="Offline"/>
    <s v="Delivered"/>
    <n v="4"/>
    <s v="No"/>
  </r>
  <r>
    <s v="ORD0978"/>
    <x v="148"/>
    <s v="C1240"/>
    <s v="Rahul"/>
    <s v="Bengaluru"/>
    <s v="Karnataka"/>
    <x v="1"/>
    <s v="P061"/>
    <s v="Mobile 61"/>
    <x v="1"/>
    <s v="Mobile"/>
    <n v="2"/>
    <n v="15119"/>
    <n v="0"/>
    <n v="30238"/>
    <n v="20976.79"/>
    <n v="9261.2099999999991"/>
    <s v="Cash"/>
    <s v="Offline"/>
    <s v="Delivered"/>
    <n v="5"/>
    <s v="Yes"/>
  </r>
  <r>
    <s v="ORD0979"/>
    <x v="88"/>
    <s v="C1198"/>
    <s v="Aman"/>
    <s v="Jaipur"/>
    <s v="Rajasthan"/>
    <x v="2"/>
    <s v="P054"/>
    <s v="Mixer 54"/>
    <x v="3"/>
    <s v="Mixer"/>
    <n v="2"/>
    <n v="22128"/>
    <n v="5"/>
    <n v="42043.199999999997"/>
    <n v="28987.11"/>
    <n v="13056.09"/>
    <s v="UPI"/>
    <s v="Offline"/>
    <s v="Delivered"/>
    <n v="3"/>
    <s v="Yes"/>
  </r>
  <r>
    <s v="ORD0980"/>
    <x v="97"/>
    <s v="C1259"/>
    <s v="Lakshay"/>
    <s v="Kolkata"/>
    <s v="West Bengal"/>
    <x v="3"/>
    <s v="P058"/>
    <s v="Mobile 58"/>
    <x v="1"/>
    <s v="Mobile"/>
    <n v="1"/>
    <n v="20134"/>
    <n v="20"/>
    <n v="16107.2"/>
    <n v="16533.61"/>
    <n v="-426.41"/>
    <s v="Card"/>
    <s v="Offline"/>
    <s v="Pending"/>
    <n v="4"/>
    <s v="Yes"/>
  </r>
  <r>
    <s v="ORD0981"/>
    <x v="104"/>
    <s v="C1054"/>
    <s v="Rahul"/>
    <s v="Chennai"/>
    <s v="Tamil Nadu"/>
    <x v="1"/>
    <s v="P084"/>
    <s v="Laptop 84"/>
    <x v="1"/>
    <s v="Laptop"/>
    <n v="5"/>
    <n v="53325"/>
    <n v="15"/>
    <n v="226631.25"/>
    <n v="212451.76"/>
    <n v="14179.49"/>
    <s v="UPI"/>
    <s v="Online"/>
    <s v="Pending"/>
    <n v="3"/>
    <s v="No"/>
  </r>
  <r>
    <s v="ORD0982"/>
    <x v="128"/>
    <s v="C1162"/>
    <s v="Aman"/>
    <s v="Pune"/>
    <s v="Maharashtra"/>
    <x v="0"/>
    <s v="P078"/>
    <s v="Chair 78"/>
    <x v="2"/>
    <s v="Chair"/>
    <n v="4"/>
    <n v="74131"/>
    <n v="20"/>
    <n v="237219.20000000001"/>
    <n v="177591.14"/>
    <n v="59628.06"/>
    <s v="Card"/>
    <s v="Offline"/>
    <s v="Delivered"/>
    <n v="1"/>
    <s v="No"/>
  </r>
  <r>
    <s v="ORD0983"/>
    <x v="172"/>
    <s v="C1120"/>
    <s v="Rahul"/>
    <s v="Bengaluru"/>
    <s v="Karnataka"/>
    <x v="1"/>
    <s v="P026"/>
    <s v="Table 26"/>
    <x v="2"/>
    <s v="Table"/>
    <n v="3"/>
    <n v="28075"/>
    <n v="20"/>
    <n v="67380"/>
    <n v="69375.22"/>
    <n v="-1995.22"/>
    <s v="Cash"/>
    <s v="Online"/>
    <s v="Pending"/>
    <n v="5"/>
    <s v="Yes"/>
  </r>
  <r>
    <s v="ORD0984"/>
    <x v="52"/>
    <s v="C1235"/>
    <s v="Lakshay"/>
    <s v="Bengaluru"/>
    <s v="Karnataka"/>
    <x v="1"/>
    <s v="P012"/>
    <s v="Table 12"/>
    <x v="2"/>
    <s v="Table"/>
    <n v="2"/>
    <n v="74076"/>
    <n v="5"/>
    <n v="140744.4"/>
    <n v="83299.740000000005"/>
    <n v="57444.66"/>
    <s v="Card"/>
    <s v="Offline"/>
    <s v="Cancelled"/>
    <n v="1"/>
    <s v="Yes"/>
  </r>
  <r>
    <s v="ORD0985"/>
    <x v="120"/>
    <s v="C1277"/>
    <s v="Neha"/>
    <s v="Jaipur"/>
    <s v="Rajasthan"/>
    <x v="2"/>
    <s v="P072"/>
    <s v="Laptop 72"/>
    <x v="1"/>
    <s v="Laptop"/>
    <n v="1"/>
    <n v="63651"/>
    <n v="15"/>
    <n v="54103.35"/>
    <n v="46425.69"/>
    <n v="7677.66"/>
    <s v="UPI"/>
    <s v="Online"/>
    <s v="Cancelled"/>
    <n v="5"/>
    <s v="No"/>
  </r>
  <r>
    <s v="ORD0986"/>
    <x v="106"/>
    <s v="C1050"/>
    <s v="Sneha"/>
    <s v="Delhi"/>
    <s v="Delhi"/>
    <x v="2"/>
    <s v="P026"/>
    <s v="Table 26"/>
    <x v="2"/>
    <s v="Table"/>
    <n v="3"/>
    <n v="77727"/>
    <n v="20"/>
    <n v="186544.8"/>
    <n v="167288.51"/>
    <n v="19256.29"/>
    <s v="UPI"/>
    <s v="Offline"/>
    <s v="Cancelled"/>
    <n v="5"/>
    <s v="Yes"/>
  </r>
  <r>
    <s v="ORD0987"/>
    <x v="33"/>
    <s v="C1012"/>
    <s v="Lakshay"/>
    <s v="Chennai"/>
    <s v="Tamil Nadu"/>
    <x v="1"/>
    <s v="P041"/>
    <s v="Table 41"/>
    <x v="2"/>
    <s v="Table"/>
    <n v="2"/>
    <n v="62104"/>
    <n v="15"/>
    <n v="105576.8"/>
    <n v="88782.98"/>
    <n v="16793.82"/>
    <s v="Card"/>
    <s v="Offline"/>
    <s v="Delivered"/>
    <n v="2"/>
    <s v="No"/>
  </r>
  <r>
    <s v="ORD0988"/>
    <x v="88"/>
    <s v="C1261"/>
    <s v="Rohit"/>
    <s v="Chennai"/>
    <s v="Tamil Nadu"/>
    <x v="1"/>
    <s v="P073"/>
    <s v="Mixer 73"/>
    <x v="3"/>
    <s v="Mixer"/>
    <n v="1"/>
    <n v="11610"/>
    <n v="20"/>
    <n v="9288"/>
    <n v="7477.74"/>
    <n v="1810.26"/>
    <s v="UPI"/>
    <s v="Offline"/>
    <s v="Delivered"/>
    <n v="4"/>
    <s v="No"/>
  </r>
  <r>
    <s v="ORD0989"/>
    <x v="122"/>
    <s v="C1269"/>
    <s v="Priya"/>
    <s v="Pune"/>
    <s v="Maharashtra"/>
    <x v="0"/>
    <s v="P006"/>
    <s v="Mobile 6"/>
    <x v="1"/>
    <s v="Mobile"/>
    <n v="3"/>
    <n v="31269"/>
    <n v="5"/>
    <n v="89116.65"/>
    <n v="52649.83"/>
    <n v="36466.82"/>
    <s v="Cash"/>
    <s v="Online"/>
    <s v="Delivered"/>
    <n v="4"/>
    <s v="No"/>
  </r>
  <r>
    <s v="ORD0990"/>
    <x v="40"/>
    <s v="C1217"/>
    <s v="Sneha"/>
    <s v="Pune"/>
    <s v="Maharashtra"/>
    <x v="0"/>
    <s v="P080"/>
    <s v="Shoes 80"/>
    <x v="0"/>
    <s v="Shoes"/>
    <n v="3"/>
    <n v="22570"/>
    <n v="5"/>
    <n v="64324.5"/>
    <n v="50558.91"/>
    <n v="13765.59"/>
    <s v="UPI"/>
    <s v="Online"/>
    <s v="Delivered"/>
    <n v="1"/>
    <s v="Yes"/>
  </r>
  <r>
    <s v="ORD0991"/>
    <x v="101"/>
    <s v="C1164"/>
    <s v="Rahul"/>
    <s v="Bengaluru"/>
    <s v="Karnataka"/>
    <x v="1"/>
    <s v="P016"/>
    <s v="Chair 16"/>
    <x v="2"/>
    <s v="Chair"/>
    <n v="2"/>
    <n v="65453"/>
    <n v="15"/>
    <n v="111270.1"/>
    <n v="111059.44"/>
    <n v="210.66"/>
    <s v="UPI"/>
    <s v="Online"/>
    <s v="Cancelled"/>
    <n v="4"/>
    <s v="No"/>
  </r>
  <r>
    <s v="ORD0992"/>
    <x v="139"/>
    <s v="C1188"/>
    <s v="Neha"/>
    <s v="Chennai"/>
    <s v="Tamil Nadu"/>
    <x v="1"/>
    <s v="P096"/>
    <s v="Chair 96"/>
    <x v="2"/>
    <s v="Chair"/>
    <n v="2"/>
    <n v="19831"/>
    <n v="15"/>
    <n v="33712.699999999997"/>
    <n v="22959.35"/>
    <n v="10753.35"/>
    <s v="Card"/>
    <s v="Online"/>
    <s v="Delivered"/>
    <n v="3"/>
    <s v="No"/>
  </r>
  <r>
    <s v="ORD0993"/>
    <x v="57"/>
    <s v="C1121"/>
    <s v="Sneha"/>
    <s v="Chennai"/>
    <s v="Tamil Nadu"/>
    <x v="1"/>
    <s v="P080"/>
    <s v="Shoes 80"/>
    <x v="0"/>
    <s v="Shoes"/>
    <n v="5"/>
    <n v="44718"/>
    <n v="20"/>
    <n v="178872"/>
    <n v="189864.63"/>
    <n v="-10992.63"/>
    <s v="Cash"/>
    <s v="Offline"/>
    <s v="Cancelled"/>
    <n v="3"/>
    <s v="No"/>
  </r>
  <r>
    <s v="ORD0994"/>
    <x v="28"/>
    <s v="C1298"/>
    <s v="Vikas"/>
    <s v="Delhi"/>
    <s v="Delhi"/>
    <x v="2"/>
    <s v="P065"/>
    <s v="Mobile 65"/>
    <x v="1"/>
    <s v="Mobile"/>
    <n v="2"/>
    <n v="42168"/>
    <n v="15"/>
    <n v="71685.600000000006"/>
    <n v="60638.96"/>
    <n v="11046.64"/>
    <s v="Cash"/>
    <s v="Online"/>
    <s v="Pending"/>
    <n v="3"/>
    <s v="Yes"/>
  </r>
  <r>
    <s v="ORD0995"/>
    <x v="15"/>
    <s v="C1239"/>
    <s v="Lakshay"/>
    <s v="Kolkata"/>
    <s v="West Bengal"/>
    <x v="3"/>
    <s v="P091"/>
    <s v="Laptop 91"/>
    <x v="1"/>
    <s v="Laptop"/>
    <n v="4"/>
    <n v="2530"/>
    <n v="5"/>
    <n v="9614"/>
    <n v="7700.79"/>
    <n v="1913.21"/>
    <s v="Card"/>
    <s v="Online"/>
    <s v="Cancelled"/>
    <n v="4"/>
    <s v="Yes"/>
  </r>
  <r>
    <s v="ORD0996"/>
    <x v="131"/>
    <s v="C1255"/>
    <s v="Anjali"/>
    <s v="Jaipur"/>
    <s v="Rajasthan"/>
    <x v="2"/>
    <s v="P030"/>
    <s v="Mixer 30"/>
    <x v="3"/>
    <s v="Mixer"/>
    <n v="3"/>
    <n v="18519"/>
    <n v="5"/>
    <n v="52779.15"/>
    <n v="30687.7"/>
    <n v="22091.45"/>
    <s v="Card"/>
    <s v="Online"/>
    <s v="Cancelled"/>
    <n v="3"/>
    <s v="No"/>
  </r>
  <r>
    <s v="ORD0997"/>
    <x v="45"/>
    <s v="C1248"/>
    <s v="Rohit"/>
    <s v="Pune"/>
    <s v="Maharashtra"/>
    <x v="0"/>
    <s v="P051"/>
    <s v="Shoes 51"/>
    <x v="0"/>
    <s v="Shoes"/>
    <n v="2"/>
    <n v="19456"/>
    <n v="5"/>
    <n v="36966.400000000001"/>
    <n v="28938.19"/>
    <n v="8028.21"/>
    <s v="Card"/>
    <s v="Online"/>
    <s v="Cancelled"/>
    <n v="5"/>
    <s v="Yes"/>
  </r>
  <r>
    <s v="ORD0998"/>
    <x v="158"/>
    <s v="C1106"/>
    <s v="Lakshay"/>
    <s v="Chennai"/>
    <s v="Tamil Nadu"/>
    <x v="1"/>
    <s v="P093"/>
    <s v="Shoes 93"/>
    <x v="0"/>
    <s v="Shoes"/>
    <n v="4"/>
    <n v="43501"/>
    <n v="0"/>
    <n v="174004"/>
    <n v="114219.52"/>
    <n v="59784.480000000003"/>
    <s v="UPI"/>
    <s v="Online"/>
    <s v="Pending"/>
    <n v="2"/>
    <s v="Yes"/>
  </r>
  <r>
    <s v="ORD0999"/>
    <x v="0"/>
    <s v="C1198"/>
    <s v="Karan"/>
    <s v="Pune"/>
    <s v="Maharashtra"/>
    <x v="0"/>
    <s v="P015"/>
    <s v="Table 15"/>
    <x v="2"/>
    <s v="Table"/>
    <n v="3"/>
    <n v="60257"/>
    <n v="15"/>
    <n v="153655.35"/>
    <n v="120830.49"/>
    <n v="32824.86"/>
    <s v="UPI"/>
    <s v="Online"/>
    <s v="Delivered"/>
    <n v="1"/>
    <s v="No"/>
  </r>
  <r>
    <s v="ORD1000"/>
    <x v="76"/>
    <s v="C1204"/>
    <s v="Rahul"/>
    <s v="Kolkata"/>
    <s v="West Bengal"/>
    <x v="3"/>
    <s v="P017"/>
    <s v="Shoes 17"/>
    <x v="0"/>
    <s v="Shoes"/>
    <n v="3"/>
    <n v="12393"/>
    <n v="5"/>
    <n v="35320.050000000003"/>
    <n v="28069.95"/>
    <n v="7250.1"/>
    <s v="Cash"/>
    <s v="Offline"/>
    <s v="Delivered"/>
    <n v="2"/>
    <s v="Yes"/>
  </r>
  <r>
    <s v="ORD1001"/>
    <x v="103"/>
    <s v="C1273"/>
    <s v="Rohit"/>
    <s v="Bengaluru"/>
    <s v="Karnataka"/>
    <x v="1"/>
    <s v="P068"/>
    <s v="Mobile 68"/>
    <x v="1"/>
    <s v="Mobile"/>
    <n v="1"/>
    <n v="47197"/>
    <n v="0"/>
    <n v="47197"/>
    <n v="35761.74"/>
    <n v="11435.26"/>
    <s v="UPI"/>
    <s v="Offline"/>
    <s v="Delivered"/>
    <n v="4"/>
    <s v="Yes"/>
  </r>
  <r>
    <s v="ORD1002"/>
    <x v="101"/>
    <s v="C1232"/>
    <s v="Sneha"/>
    <s v="Bengaluru"/>
    <s v="Karnataka"/>
    <x v="1"/>
    <s v="P076"/>
    <s v="Mixer 76"/>
    <x v="3"/>
    <s v="Mixer"/>
    <n v="1"/>
    <n v="23505"/>
    <n v="15"/>
    <n v="19979.25"/>
    <n v="15404.57"/>
    <n v="4574.68"/>
    <s v="Cash"/>
    <s v="Online"/>
    <s v="Pending"/>
    <n v="2"/>
    <s v="Yes"/>
  </r>
  <r>
    <s v="ORD1003"/>
    <x v="180"/>
    <s v="C1108"/>
    <s v="Lakshay"/>
    <s v="Mumbai"/>
    <s v="Maharashtra"/>
    <x v="0"/>
    <s v="P052"/>
    <s v="Laptop 52"/>
    <x v="1"/>
    <s v="Laptop"/>
    <n v="5"/>
    <n v="53498"/>
    <n v="15"/>
    <n v="227366.5"/>
    <n v="180906.89"/>
    <n v="46459.61"/>
    <s v="UPI"/>
    <s v="Offline"/>
    <s v="Delivered"/>
    <n v="4"/>
    <s v="No"/>
  </r>
  <r>
    <s v="ORD1004"/>
    <x v="88"/>
    <s v="C1091"/>
    <s v="Rahul"/>
    <s v="Chennai"/>
    <s v="Tamil Nadu"/>
    <x v="1"/>
    <s v="P061"/>
    <s v="Mobile 61"/>
    <x v="1"/>
    <s v="Mobile"/>
    <n v="4"/>
    <n v="27852"/>
    <n v="15"/>
    <n v="94696.8"/>
    <n v="70228.399999999994"/>
    <n v="24468.400000000001"/>
    <s v="UPI"/>
    <s v="Online"/>
    <s v="Delivered"/>
    <n v="5"/>
    <s v="No"/>
  </r>
  <r>
    <s v="ORD1005"/>
    <x v="68"/>
    <s v="C1237"/>
    <s v="Sneha"/>
    <s v="Chennai"/>
    <s v="Tamil Nadu"/>
    <x v="1"/>
    <s v="P090"/>
    <s v="Mixer 90"/>
    <x v="3"/>
    <s v="Mixer"/>
    <n v="5"/>
    <n v="65112"/>
    <n v="20"/>
    <n v="260448"/>
    <n v="213331.24"/>
    <n v="47116.76"/>
    <s v="UPI"/>
    <s v="Offline"/>
    <s v="Delivered"/>
    <n v="1"/>
    <s v="No"/>
  </r>
  <r>
    <s v="ORD1006"/>
    <x v="43"/>
    <s v="C1163"/>
    <s v="Anjali"/>
    <s v="Bengaluru"/>
    <s v="Karnataka"/>
    <x v="1"/>
    <s v="P057"/>
    <s v="Shoes 57"/>
    <x v="0"/>
    <s v="Shoes"/>
    <n v="3"/>
    <n v="15240"/>
    <n v="15"/>
    <n v="38862"/>
    <n v="28539.99"/>
    <n v="10322.01"/>
    <s v="Cash"/>
    <s v="Online"/>
    <s v="Cancelled"/>
    <n v="1"/>
    <s v="Yes"/>
  </r>
  <r>
    <s v="ORD1007"/>
    <x v="104"/>
    <s v="C1098"/>
    <s v="Aman"/>
    <s v="Pune"/>
    <s v="Maharashtra"/>
    <x v="0"/>
    <s v="P092"/>
    <s v="Laptop 92"/>
    <x v="1"/>
    <s v="Laptop"/>
    <n v="1"/>
    <n v="52722"/>
    <n v="15"/>
    <n v="44813.7"/>
    <n v="35779.879999999997"/>
    <n v="9033.82"/>
    <s v="UPI"/>
    <s v="Online"/>
    <s v="Delivered"/>
    <n v="3"/>
    <s v="No"/>
  </r>
  <r>
    <s v="ORD1008"/>
    <x v="165"/>
    <s v="C1123"/>
    <s v="Priya"/>
    <s v="Delhi"/>
    <s v="Delhi"/>
    <x v="2"/>
    <s v="P002"/>
    <s v="Laptop 2"/>
    <x v="1"/>
    <s v="Laptop"/>
    <n v="3"/>
    <n v="26612"/>
    <n v="5"/>
    <n v="75844.2"/>
    <n v="45663.54"/>
    <n v="30180.66"/>
    <s v="Card"/>
    <s v="Online"/>
    <s v="Delivered"/>
    <n v="3"/>
    <s v="No"/>
  </r>
  <r>
    <s v="ORD1009"/>
    <x v="151"/>
    <s v="C1228"/>
    <s v="Vikas"/>
    <s v="Jaipur"/>
    <s v="Rajasthan"/>
    <x v="2"/>
    <s v="P071"/>
    <s v="Mobile 71"/>
    <x v="1"/>
    <s v="Mobile"/>
    <n v="3"/>
    <n v="26548"/>
    <n v="10"/>
    <n v="71679.600000000006"/>
    <n v="58249.07"/>
    <n v="13430.53"/>
    <s v="Card"/>
    <s v="Offline"/>
    <s v="Cancelled"/>
    <n v="3"/>
    <s v="No"/>
  </r>
  <r>
    <s v="ORD1010"/>
    <x v="119"/>
    <s v="C1150"/>
    <s v="Anjali"/>
    <s v="Delhi"/>
    <s v="Delhi"/>
    <x v="2"/>
    <s v="P038"/>
    <s v="Mobile 38"/>
    <x v="1"/>
    <s v="Mobile"/>
    <n v="3"/>
    <n v="8055"/>
    <n v="15"/>
    <n v="20540.25"/>
    <n v="19790.439999999999"/>
    <n v="749.81"/>
    <s v="Cash"/>
    <s v="Offline"/>
    <s v="Pending"/>
    <n v="1"/>
    <s v="Yes"/>
  </r>
  <r>
    <s v="ORD1011"/>
    <x v="131"/>
    <s v="C1189"/>
    <s v="Aman"/>
    <s v="Delhi"/>
    <s v="Delhi"/>
    <x v="2"/>
    <s v="P056"/>
    <s v="Shoes 56"/>
    <x v="0"/>
    <s v="Shoes"/>
    <n v="2"/>
    <n v="35877"/>
    <n v="15"/>
    <n v="60990.9"/>
    <n v="49074.11"/>
    <n v="11916.79"/>
    <s v="UPI"/>
    <s v="Online"/>
    <s v="Pending"/>
    <n v="5"/>
    <s v="Yes"/>
  </r>
  <r>
    <s v="ORD1012"/>
    <x v="180"/>
    <s v="C1135"/>
    <s v="Rohit"/>
    <s v="Delhi"/>
    <s v="Delhi"/>
    <x v="2"/>
    <s v="P046"/>
    <s v="Laptop 46"/>
    <x v="1"/>
    <s v="Laptop"/>
    <n v="4"/>
    <n v="5300"/>
    <n v="0"/>
    <n v="21200"/>
    <n v="17714.27"/>
    <n v="3485.73"/>
    <s v="UPI"/>
    <s v="Offline"/>
    <s v="Cancelled"/>
    <n v="2"/>
    <s v="No"/>
  </r>
  <r>
    <s v="ORD1013"/>
    <x v="115"/>
    <s v="C1001"/>
    <s v="Karan"/>
    <s v="Jaipur"/>
    <s v="Rajasthan"/>
    <x v="2"/>
    <s v="P040"/>
    <s v="Chair 40"/>
    <x v="2"/>
    <s v="Chair"/>
    <n v="3"/>
    <n v="1841"/>
    <n v="10"/>
    <n v="4970.7"/>
    <n v="4250.5"/>
    <n v="720.2"/>
    <s v="UPI"/>
    <s v="Offline"/>
    <s v="Cancelled"/>
    <n v="3"/>
    <s v="No"/>
  </r>
  <r>
    <s v="ORD1014"/>
    <x v="44"/>
    <s v="C1287"/>
    <s v="Lakshay"/>
    <s v="Delhi"/>
    <s v="Delhi"/>
    <x v="2"/>
    <s v="P037"/>
    <s v="Mixer 37"/>
    <x v="3"/>
    <s v="Mixer"/>
    <n v="1"/>
    <n v="12932"/>
    <n v="15"/>
    <n v="10992.2"/>
    <n v="7127.88"/>
    <n v="3864.32"/>
    <s v="Card"/>
    <s v="Online"/>
    <s v="Delivered"/>
    <n v="5"/>
    <s v="Yes"/>
  </r>
  <r>
    <s v="ORD1015"/>
    <x v="45"/>
    <s v="C1178"/>
    <s v="Vikas"/>
    <s v="Delhi"/>
    <s v="Delhi"/>
    <x v="2"/>
    <s v="P018"/>
    <s v="Laptop 18"/>
    <x v="1"/>
    <s v="Laptop"/>
    <n v="3"/>
    <n v="2289"/>
    <n v="5"/>
    <n v="6523.65"/>
    <n v="4680.7299999999996"/>
    <n v="1842.92"/>
    <s v="UPI"/>
    <s v="Offline"/>
    <s v="Delivered"/>
    <n v="1"/>
    <s v="Yes"/>
  </r>
  <r>
    <s v="ORD1016"/>
    <x v="96"/>
    <s v="C1174"/>
    <s v="Aman"/>
    <s v="Pune"/>
    <s v="Maharashtra"/>
    <x v="0"/>
    <s v="P011"/>
    <s v="Laptop 11"/>
    <x v="1"/>
    <s v="Laptop"/>
    <n v="5"/>
    <n v="27515"/>
    <n v="10"/>
    <n v="123817.5"/>
    <n v="109248.42"/>
    <n v="14569.08"/>
    <s v="UPI"/>
    <s v="Online"/>
    <s v="Pending"/>
    <n v="4"/>
    <s v="Yes"/>
  </r>
  <r>
    <s v="ORD1017"/>
    <x v="11"/>
    <s v="C1065"/>
    <s v="Anjali"/>
    <s v="Delhi"/>
    <s v="Delhi"/>
    <x v="2"/>
    <s v="P008"/>
    <s v="Shoes 8"/>
    <x v="0"/>
    <s v="Shoes"/>
    <n v="3"/>
    <n v="32055"/>
    <n v="0"/>
    <n v="96165"/>
    <n v="62585.97"/>
    <n v="33579.03"/>
    <s v="UPI"/>
    <s v="Offline"/>
    <s v="Delivered"/>
    <n v="1"/>
    <s v="No"/>
  </r>
  <r>
    <s v="ORD1018"/>
    <x v="15"/>
    <s v="C1279"/>
    <s v="Rohit"/>
    <s v="Jaipur"/>
    <s v="Rajasthan"/>
    <x v="2"/>
    <s v="P025"/>
    <s v="Shoes 25"/>
    <x v="0"/>
    <s v="Shoes"/>
    <n v="2"/>
    <n v="46920"/>
    <n v="15"/>
    <n v="79764"/>
    <n v="59050.76"/>
    <n v="20713.240000000002"/>
    <s v="Cash"/>
    <s v="Offline"/>
    <s v="Cancelled"/>
    <n v="4"/>
    <s v="No"/>
  </r>
  <r>
    <s v="ORD1019"/>
    <x v="49"/>
    <s v="C1032"/>
    <s v="Vikas"/>
    <s v="Bengaluru"/>
    <s v="Karnataka"/>
    <x v="1"/>
    <s v="P096"/>
    <s v="Chair 96"/>
    <x v="2"/>
    <s v="Chair"/>
    <n v="1"/>
    <n v="32027"/>
    <n v="5"/>
    <n v="30425.65"/>
    <n v="26927.06"/>
    <n v="3498.59"/>
    <s v="Card"/>
    <s v="Offline"/>
    <s v="Delivered"/>
    <n v="1"/>
    <s v="Yes"/>
  </r>
  <r>
    <s v="ORD1020"/>
    <x v="97"/>
    <s v="C1077"/>
    <s v="Priya"/>
    <s v="Pune"/>
    <s v="Maharashtra"/>
    <x v="0"/>
    <s v="P007"/>
    <s v="Laptop 7"/>
    <x v="1"/>
    <s v="Laptop"/>
    <n v="5"/>
    <n v="23606"/>
    <n v="0"/>
    <n v="118030"/>
    <n v="66480.42"/>
    <n v="51549.58"/>
    <s v="Cash"/>
    <s v="Offline"/>
    <s v="Delivered"/>
    <n v="1"/>
    <s v="Yes"/>
  </r>
  <r>
    <s v="ORD1021"/>
    <x v="167"/>
    <s v="C1159"/>
    <s v="Aman"/>
    <s v="Mumbai"/>
    <s v="Maharashtra"/>
    <x v="0"/>
    <s v="P100"/>
    <s v="Mobile 100"/>
    <x v="1"/>
    <s v="Mobile"/>
    <n v="2"/>
    <n v="22257"/>
    <n v="15"/>
    <n v="37836.9"/>
    <n v="28528.1"/>
    <n v="9308.7999999999993"/>
    <s v="Card"/>
    <s v="Online"/>
    <s v="Cancelled"/>
    <n v="4"/>
    <s v="No"/>
  </r>
  <r>
    <s v="ORD1022"/>
    <x v="42"/>
    <s v="C1156"/>
    <s v="Rahul"/>
    <s v="Bengaluru"/>
    <s v="Karnataka"/>
    <x v="1"/>
    <s v="P100"/>
    <s v="Mobile 100"/>
    <x v="1"/>
    <s v="Mobile"/>
    <n v="1"/>
    <n v="45018"/>
    <n v="20"/>
    <n v="36014.400000000001"/>
    <n v="37965.39"/>
    <n v="-1950.99"/>
    <s v="Card"/>
    <s v="Offline"/>
    <s v="Delivered"/>
    <n v="3"/>
    <s v="No"/>
  </r>
  <r>
    <s v="ORD1023"/>
    <x v="97"/>
    <s v="C1150"/>
    <s v="Sneha"/>
    <s v="Pune"/>
    <s v="Maharashtra"/>
    <x v="0"/>
    <s v="P094"/>
    <s v="Table 94"/>
    <x v="2"/>
    <s v="Table"/>
    <n v="4"/>
    <n v="28437"/>
    <n v="15"/>
    <n v="96685.8"/>
    <n v="78021.320000000007"/>
    <n v="18664.48"/>
    <s v="Cash"/>
    <s v="Offline"/>
    <s v="Delivered"/>
    <n v="4"/>
    <s v="No"/>
  </r>
  <r>
    <s v="ORD1024"/>
    <x v="10"/>
    <s v="C1291"/>
    <s v="Aman"/>
    <s v="Pune"/>
    <s v="Maharashtra"/>
    <x v="0"/>
    <s v="P091"/>
    <s v="Laptop 91"/>
    <x v="1"/>
    <s v="Laptop"/>
    <n v="5"/>
    <n v="49950"/>
    <n v="15"/>
    <n v="212287.5"/>
    <n v="144160.76"/>
    <n v="68126.740000000005"/>
    <s v="Cash"/>
    <s v="Online"/>
    <s v="Delivered"/>
    <n v="4"/>
    <s v="Yes"/>
  </r>
  <r>
    <s v="ORD1025"/>
    <x v="154"/>
    <s v="C1229"/>
    <s v="Lakshay"/>
    <s v="Bengaluru"/>
    <s v="Karnataka"/>
    <x v="1"/>
    <s v="P084"/>
    <s v="Laptop 84"/>
    <x v="1"/>
    <s v="Laptop"/>
    <n v="4"/>
    <n v="67938"/>
    <n v="5"/>
    <n v="258164.4"/>
    <n v="220251.46"/>
    <n v="37912.94"/>
    <s v="Card"/>
    <s v="Offline"/>
    <s v="Pending"/>
    <n v="5"/>
    <s v="Yes"/>
  </r>
  <r>
    <s v="ORD1026"/>
    <x v="180"/>
    <s v="C1067"/>
    <s v="Neha"/>
    <s v="Pune"/>
    <s v="Maharashtra"/>
    <x v="0"/>
    <s v="P068"/>
    <s v="Mobile 68"/>
    <x v="1"/>
    <s v="Mobile"/>
    <n v="3"/>
    <n v="3557"/>
    <n v="5"/>
    <n v="10137.450000000001"/>
    <n v="8461.07"/>
    <n v="1676.38"/>
    <s v="Cash"/>
    <s v="Online"/>
    <s v="Pending"/>
    <n v="2"/>
    <s v="No"/>
  </r>
  <r>
    <s v="ORD1027"/>
    <x v="93"/>
    <s v="C1133"/>
    <s v="Rahul"/>
    <s v="Kolkata"/>
    <s v="West Bengal"/>
    <x v="3"/>
    <s v="P052"/>
    <s v="Laptop 52"/>
    <x v="1"/>
    <s v="Laptop"/>
    <n v="5"/>
    <n v="31560"/>
    <n v="5"/>
    <n v="149910"/>
    <n v="125240.69"/>
    <n v="24669.31"/>
    <s v="Card"/>
    <s v="Online"/>
    <s v="Delivered"/>
    <n v="3"/>
    <s v="No"/>
  </r>
  <r>
    <s v="ORD1028"/>
    <x v="125"/>
    <s v="C1241"/>
    <s v="Vikas"/>
    <s v="Chennai"/>
    <s v="Tamil Nadu"/>
    <x v="1"/>
    <s v="P100"/>
    <s v="Mobile 100"/>
    <x v="1"/>
    <s v="Mobile"/>
    <n v="3"/>
    <n v="48750"/>
    <n v="20"/>
    <n v="117000"/>
    <n v="110266.98"/>
    <n v="6733.02"/>
    <s v="Cash"/>
    <s v="Offline"/>
    <s v="Delivered"/>
    <n v="4"/>
    <s v="No"/>
  </r>
  <r>
    <s v="ORD1029"/>
    <x v="106"/>
    <s v="C1120"/>
    <s v="Karan"/>
    <s v="Kolkata"/>
    <s v="West Bengal"/>
    <x v="3"/>
    <s v="P055"/>
    <s v="Chair 55"/>
    <x v="2"/>
    <s v="Chair"/>
    <n v="1"/>
    <n v="23190"/>
    <n v="10"/>
    <n v="20871"/>
    <n v="18453.25"/>
    <n v="2417.75"/>
    <s v="UPI"/>
    <s v="Online"/>
    <s v="Pending"/>
    <n v="4"/>
    <s v="No"/>
  </r>
  <r>
    <s v="ORD1030"/>
    <x v="118"/>
    <s v="C1187"/>
    <s v="Rahul"/>
    <s v="Pune"/>
    <s v="Maharashtra"/>
    <x v="0"/>
    <s v="P022"/>
    <s v="Table 22"/>
    <x v="2"/>
    <s v="Table"/>
    <n v="3"/>
    <n v="6611"/>
    <n v="5"/>
    <n v="18841.349999999999"/>
    <n v="11947.74"/>
    <n v="6893.61"/>
    <s v="Cash"/>
    <s v="Online"/>
    <s v="Pending"/>
    <n v="2"/>
    <s v="Yes"/>
  </r>
  <r>
    <s v="ORD1031"/>
    <x v="49"/>
    <s v="C1053"/>
    <s v="Priya"/>
    <s v="Pune"/>
    <s v="Maharashtra"/>
    <x v="0"/>
    <s v="P004"/>
    <s v="Mixer 4"/>
    <x v="3"/>
    <s v="Mixer"/>
    <n v="1"/>
    <n v="26107"/>
    <n v="15"/>
    <n v="22190.95"/>
    <n v="17323.23"/>
    <n v="4867.72"/>
    <s v="UPI"/>
    <s v="Online"/>
    <s v="Pending"/>
    <n v="1"/>
    <s v="Yes"/>
  </r>
  <r>
    <s v="ORD1032"/>
    <x v="112"/>
    <s v="C1255"/>
    <s v="Rohit"/>
    <s v="Kolkata"/>
    <s v="West Bengal"/>
    <x v="3"/>
    <s v="P007"/>
    <s v="Laptop 7"/>
    <x v="1"/>
    <s v="Laptop"/>
    <n v="4"/>
    <n v="30778"/>
    <n v="20"/>
    <n v="98489.600000000006"/>
    <n v="92428.37"/>
    <n v="6061.23"/>
    <s v="Cash"/>
    <s v="Online"/>
    <s v="Cancelled"/>
    <n v="1"/>
    <s v="Yes"/>
  </r>
  <r>
    <s v="ORD1033"/>
    <x v="46"/>
    <s v="C1197"/>
    <s v="Rahul"/>
    <s v="Jaipur"/>
    <s v="Rajasthan"/>
    <x v="2"/>
    <s v="P100"/>
    <s v="Mobile 100"/>
    <x v="1"/>
    <s v="Mobile"/>
    <n v="2"/>
    <n v="77573"/>
    <n v="10"/>
    <n v="139631.4"/>
    <n v="118428.98"/>
    <n v="21202.42"/>
    <s v="Card"/>
    <s v="Offline"/>
    <s v="Pending"/>
    <n v="4"/>
    <s v="No"/>
  </r>
  <r>
    <s v="ORD1034"/>
    <x v="75"/>
    <s v="C1203"/>
    <s v="Vikas"/>
    <s v="Chennai"/>
    <s v="Tamil Nadu"/>
    <x v="1"/>
    <s v="P004"/>
    <s v="Mixer 4"/>
    <x v="3"/>
    <s v="Mixer"/>
    <n v="4"/>
    <n v="39095"/>
    <n v="5"/>
    <n v="148561"/>
    <n v="116297.17"/>
    <n v="32263.83"/>
    <s v="Card"/>
    <s v="Online"/>
    <s v="Pending"/>
    <n v="3"/>
    <s v="No"/>
  </r>
  <r>
    <s v="ORD1035"/>
    <x v="95"/>
    <s v="C1212"/>
    <s v="Lakshay"/>
    <s v="Chennai"/>
    <s v="Tamil Nadu"/>
    <x v="1"/>
    <s v="P037"/>
    <s v="Mixer 37"/>
    <x v="3"/>
    <s v="Mixer"/>
    <n v="5"/>
    <n v="67779"/>
    <n v="0"/>
    <n v="338895"/>
    <n v="225475.13"/>
    <n v="113419.87"/>
    <s v="Card"/>
    <s v="Offline"/>
    <s v="Delivered"/>
    <n v="4"/>
    <s v="No"/>
  </r>
  <r>
    <s v="ORD1036"/>
    <x v="6"/>
    <s v="C1035"/>
    <s v="Vikas"/>
    <s v="Chennai"/>
    <s v="Tamil Nadu"/>
    <x v="1"/>
    <s v="P034"/>
    <s v="Chair 34"/>
    <x v="2"/>
    <s v="Chair"/>
    <n v="4"/>
    <n v="39912"/>
    <n v="5"/>
    <n v="151665.60000000001"/>
    <n v="134346.82999999999"/>
    <n v="17318.77"/>
    <s v="Card"/>
    <s v="Online"/>
    <s v="Pending"/>
    <n v="4"/>
    <s v="No"/>
  </r>
  <r>
    <s v="ORD1037"/>
    <x v="11"/>
    <s v="C1267"/>
    <s v="Lakshay"/>
    <s v="Bengaluru"/>
    <s v="Karnataka"/>
    <x v="1"/>
    <s v="P007"/>
    <s v="Laptop 7"/>
    <x v="1"/>
    <s v="Laptop"/>
    <n v="3"/>
    <n v="35944"/>
    <n v="5"/>
    <n v="102440.4"/>
    <n v="79630.679999999993"/>
    <n v="22809.72"/>
    <s v="Card"/>
    <s v="Online"/>
    <s v="Cancelled"/>
    <n v="2"/>
    <s v="Yes"/>
  </r>
  <r>
    <s v="ORD1038"/>
    <x v="42"/>
    <s v="C1281"/>
    <s v="Vikas"/>
    <s v="Mumbai"/>
    <s v="Maharashtra"/>
    <x v="0"/>
    <s v="P048"/>
    <s v="Shoes 48"/>
    <x v="0"/>
    <s v="Shoes"/>
    <n v="4"/>
    <n v="50719"/>
    <n v="5"/>
    <n v="192732.2"/>
    <n v="126463.34"/>
    <n v="66268.86"/>
    <s v="Card"/>
    <s v="Offline"/>
    <s v="Delivered"/>
    <n v="3"/>
    <s v="Yes"/>
  </r>
  <r>
    <s v="ORD1039"/>
    <x v="2"/>
    <s v="C1235"/>
    <s v="Rahul"/>
    <s v="Kolkata"/>
    <s v="West Bengal"/>
    <x v="3"/>
    <s v="P028"/>
    <s v="Shoes 28"/>
    <x v="0"/>
    <s v="Shoes"/>
    <n v="3"/>
    <n v="45889"/>
    <n v="20"/>
    <n v="110133.6"/>
    <n v="111201.64"/>
    <n v="-1068.04"/>
    <s v="Cash"/>
    <s v="Offline"/>
    <s v="Cancelled"/>
    <n v="1"/>
    <s v="Yes"/>
  </r>
  <r>
    <s v="ORD1040"/>
    <x v="69"/>
    <s v="C1272"/>
    <s v="Priya"/>
    <s v="Bengaluru"/>
    <s v="Karnataka"/>
    <x v="1"/>
    <s v="P027"/>
    <s v="Chair 27"/>
    <x v="2"/>
    <s v="Chair"/>
    <n v="1"/>
    <n v="3512"/>
    <n v="5"/>
    <n v="3336.4"/>
    <n v="2481.5"/>
    <n v="854.9"/>
    <s v="UPI"/>
    <s v="Online"/>
    <s v="Pending"/>
    <n v="5"/>
    <s v="No"/>
  </r>
  <r>
    <s v="ORD1041"/>
    <x v="150"/>
    <s v="C1010"/>
    <s v="Aman"/>
    <s v="Pune"/>
    <s v="Maharashtra"/>
    <x v="0"/>
    <s v="P071"/>
    <s v="Mobile 71"/>
    <x v="1"/>
    <s v="Mobile"/>
    <n v="2"/>
    <n v="64930"/>
    <n v="15"/>
    <n v="110381"/>
    <n v="80587.429999999993"/>
    <n v="29793.57"/>
    <s v="Card"/>
    <s v="Offline"/>
    <s v="Pending"/>
    <n v="5"/>
    <s v="Yes"/>
  </r>
  <r>
    <s v="ORD1042"/>
    <x v="114"/>
    <s v="C1117"/>
    <s v="Rahul"/>
    <s v="Chennai"/>
    <s v="Tamil Nadu"/>
    <x v="1"/>
    <s v="P064"/>
    <s v="Table 64"/>
    <x v="2"/>
    <s v="Table"/>
    <n v="5"/>
    <n v="72342"/>
    <n v="15"/>
    <n v="307453.5"/>
    <n v="282777.96999999997"/>
    <n v="24675.53"/>
    <s v="UPI"/>
    <s v="Online"/>
    <s v="Cancelled"/>
    <n v="3"/>
    <s v="Yes"/>
  </r>
  <r>
    <s v="ORD1043"/>
    <x v="103"/>
    <s v="C1074"/>
    <s v="Priya"/>
    <s v="Mumbai"/>
    <s v="Maharashtra"/>
    <x v="0"/>
    <s v="P035"/>
    <s v="Table 35"/>
    <x v="2"/>
    <s v="Table"/>
    <n v="2"/>
    <n v="65874"/>
    <n v="20"/>
    <n v="105398.39999999999"/>
    <n v="100522.3"/>
    <n v="4876.1000000000004"/>
    <s v="Cash"/>
    <s v="Online"/>
    <s v="Cancelled"/>
    <n v="5"/>
    <s v="No"/>
  </r>
  <r>
    <s v="ORD1044"/>
    <x v="157"/>
    <s v="C1145"/>
    <s v="Rohit"/>
    <s v="Kolkata"/>
    <s v="West Bengal"/>
    <x v="3"/>
    <s v="P076"/>
    <s v="Mixer 76"/>
    <x v="3"/>
    <s v="Mixer"/>
    <n v="2"/>
    <n v="4537"/>
    <n v="20"/>
    <n v="7259.2"/>
    <n v="7577.04"/>
    <n v="-317.83999999999997"/>
    <s v="Card"/>
    <s v="Online"/>
    <s v="Cancelled"/>
    <n v="3"/>
    <s v="Yes"/>
  </r>
  <r>
    <s v="ORD1045"/>
    <x v="105"/>
    <s v="C1228"/>
    <s v="Priya"/>
    <s v="Kolkata"/>
    <s v="West Bengal"/>
    <x v="3"/>
    <s v="P032"/>
    <s v="Chair 32"/>
    <x v="2"/>
    <s v="Chair"/>
    <n v="5"/>
    <n v="33957"/>
    <n v="5"/>
    <n v="161295.75"/>
    <n v="122821.06"/>
    <n v="38474.69"/>
    <s v="Card"/>
    <s v="Online"/>
    <s v="Cancelled"/>
    <n v="5"/>
    <s v="No"/>
  </r>
  <r>
    <s v="ORD1046"/>
    <x v="8"/>
    <s v="C1300"/>
    <s v="Neha"/>
    <s v="Delhi"/>
    <s v="Delhi"/>
    <x v="2"/>
    <s v="P083"/>
    <s v="Table 83"/>
    <x v="2"/>
    <s v="Table"/>
    <n v="2"/>
    <n v="70155"/>
    <n v="10"/>
    <n v="126279"/>
    <n v="99088.65"/>
    <n v="27190.35"/>
    <s v="Cash"/>
    <s v="Offline"/>
    <s v="Delivered"/>
    <n v="2"/>
    <s v="No"/>
  </r>
  <r>
    <s v="ORD1047"/>
    <x v="105"/>
    <s v="C1085"/>
    <s v="Anjali"/>
    <s v="Pune"/>
    <s v="Maharashtra"/>
    <x v="0"/>
    <s v="P088"/>
    <s v="Mobile 88"/>
    <x v="1"/>
    <s v="Mobile"/>
    <n v="5"/>
    <n v="29079"/>
    <n v="5"/>
    <n v="138125.25"/>
    <n v="123302.18"/>
    <n v="14823.07"/>
    <s v="Cash"/>
    <s v="Offline"/>
    <s v="Pending"/>
    <n v="5"/>
    <s v="Yes"/>
  </r>
  <r>
    <s v="ORD1048"/>
    <x v="78"/>
    <s v="C1015"/>
    <s v="Rahul"/>
    <s v="Pune"/>
    <s v="Maharashtra"/>
    <x v="0"/>
    <s v="P011"/>
    <s v="Laptop 11"/>
    <x v="1"/>
    <s v="Laptop"/>
    <n v="1"/>
    <n v="3228"/>
    <n v="15"/>
    <n v="2743.8"/>
    <n v="1881.96"/>
    <n v="861.84"/>
    <s v="Cash"/>
    <s v="Online"/>
    <s v="Pending"/>
    <n v="3"/>
    <s v="No"/>
  </r>
  <r>
    <s v="ORD1049"/>
    <x v="139"/>
    <s v="C1228"/>
    <s v="Vikas"/>
    <s v="Kolkata"/>
    <s v="West Bengal"/>
    <x v="3"/>
    <s v="P006"/>
    <s v="Mobile 6"/>
    <x v="1"/>
    <s v="Mobile"/>
    <n v="3"/>
    <n v="49126"/>
    <n v="15"/>
    <n v="125271.3"/>
    <n v="87975.96"/>
    <n v="37295.339999999997"/>
    <s v="Cash"/>
    <s v="Offline"/>
    <s v="Pending"/>
    <n v="4"/>
    <s v="Yes"/>
  </r>
  <r>
    <s v="ORD1050"/>
    <x v="32"/>
    <s v="C1211"/>
    <s v="Lakshay"/>
    <s v="Pune"/>
    <s v="Maharashtra"/>
    <x v="0"/>
    <s v="P084"/>
    <s v="Laptop 84"/>
    <x v="1"/>
    <s v="Laptop"/>
    <n v="4"/>
    <n v="15939"/>
    <n v="0"/>
    <n v="63756"/>
    <n v="42717.56"/>
    <n v="21038.44"/>
    <s v="Cash"/>
    <s v="Offline"/>
    <s v="Pending"/>
    <n v="3"/>
    <s v="No"/>
  </r>
  <r>
    <s v="ORD1051"/>
    <x v="164"/>
    <s v="C1180"/>
    <s v="Karan"/>
    <s v="Mumbai"/>
    <s v="Maharashtra"/>
    <x v="0"/>
    <s v="P047"/>
    <s v="Table 47"/>
    <x v="2"/>
    <s v="Table"/>
    <n v="3"/>
    <n v="71156"/>
    <n v="5"/>
    <n v="202794.6"/>
    <n v="161884.72"/>
    <n v="40909.879999999997"/>
    <s v="Card"/>
    <s v="Offline"/>
    <s v="Pending"/>
    <n v="3"/>
    <s v="No"/>
  </r>
  <r>
    <s v="ORD1052"/>
    <x v="57"/>
    <s v="C1242"/>
    <s v="Aman"/>
    <s v="Pune"/>
    <s v="Maharashtra"/>
    <x v="0"/>
    <s v="P048"/>
    <s v="Shoes 48"/>
    <x v="0"/>
    <s v="Shoes"/>
    <n v="1"/>
    <n v="15196"/>
    <n v="5"/>
    <n v="14436.2"/>
    <n v="12067.87"/>
    <n v="2368.33"/>
    <s v="Cash"/>
    <s v="Online"/>
    <s v="Pending"/>
    <n v="5"/>
    <s v="Yes"/>
  </r>
  <r>
    <s v="ORD1053"/>
    <x v="163"/>
    <s v="C1175"/>
    <s v="Rohit"/>
    <s v="Chennai"/>
    <s v="Tamil Nadu"/>
    <x v="1"/>
    <s v="P008"/>
    <s v="Shoes 8"/>
    <x v="0"/>
    <s v="Shoes"/>
    <n v="2"/>
    <n v="50898"/>
    <n v="20"/>
    <n v="81436.800000000003"/>
    <n v="69136.89"/>
    <n v="12299.91"/>
    <s v="Cash"/>
    <s v="Offline"/>
    <s v="Pending"/>
    <n v="3"/>
    <s v="No"/>
  </r>
  <r>
    <s v="ORD1054"/>
    <x v="86"/>
    <s v="C1296"/>
    <s v="Rahul"/>
    <s v="Kolkata"/>
    <s v="West Bengal"/>
    <x v="3"/>
    <s v="P079"/>
    <s v="Mobile 79"/>
    <x v="1"/>
    <s v="Mobile"/>
    <n v="3"/>
    <n v="42610"/>
    <n v="10"/>
    <n v="115047"/>
    <n v="90198.3"/>
    <n v="24848.7"/>
    <s v="UPI"/>
    <s v="Online"/>
    <s v="Pending"/>
    <n v="3"/>
    <s v="No"/>
  </r>
  <r>
    <s v="ORD1055"/>
    <x v="146"/>
    <s v="C1012"/>
    <s v="Vikas"/>
    <s v="Bengaluru"/>
    <s v="Karnataka"/>
    <x v="1"/>
    <s v="P082"/>
    <s v="Mobile 82"/>
    <x v="1"/>
    <s v="Mobile"/>
    <n v="2"/>
    <n v="66003"/>
    <n v="5"/>
    <n v="125405.7"/>
    <n v="90356.63"/>
    <n v="35049.07"/>
    <s v="Card"/>
    <s v="Offline"/>
    <s v="Pending"/>
    <n v="1"/>
    <s v="No"/>
  </r>
  <r>
    <s v="ORD1056"/>
    <x v="147"/>
    <s v="C1104"/>
    <s v="Karan"/>
    <s v="Bengaluru"/>
    <s v="Karnataka"/>
    <x v="1"/>
    <s v="P022"/>
    <s v="Table 22"/>
    <x v="2"/>
    <s v="Table"/>
    <n v="5"/>
    <n v="6786"/>
    <n v="20"/>
    <n v="27144"/>
    <n v="23996.65"/>
    <n v="3147.35"/>
    <s v="Card"/>
    <s v="Online"/>
    <s v="Delivered"/>
    <n v="2"/>
    <s v="Yes"/>
  </r>
  <r>
    <s v="ORD1057"/>
    <x v="147"/>
    <s v="C1025"/>
    <s v="Anjali"/>
    <s v="Kolkata"/>
    <s v="West Bengal"/>
    <x v="3"/>
    <s v="P058"/>
    <s v="Mobile 58"/>
    <x v="1"/>
    <s v="Mobile"/>
    <n v="3"/>
    <n v="42731"/>
    <n v="10"/>
    <n v="115373.7"/>
    <n v="107633.89"/>
    <n v="7739.81"/>
    <s v="Cash"/>
    <s v="Offline"/>
    <s v="Cancelled"/>
    <n v="1"/>
    <s v="Yes"/>
  </r>
  <r>
    <s v="ORD1058"/>
    <x v="93"/>
    <s v="C1053"/>
    <s v="Priya"/>
    <s v="Kolkata"/>
    <s v="West Bengal"/>
    <x v="3"/>
    <s v="P094"/>
    <s v="Table 94"/>
    <x v="2"/>
    <s v="Table"/>
    <n v="5"/>
    <n v="76845"/>
    <n v="10"/>
    <n v="345802.5"/>
    <n v="278158.26"/>
    <n v="67644.240000000005"/>
    <s v="Cash"/>
    <s v="Online"/>
    <s v="Cancelled"/>
    <n v="3"/>
    <s v="Yes"/>
  </r>
  <r>
    <s v="ORD1059"/>
    <x v="43"/>
    <s v="C1185"/>
    <s v="Neha"/>
    <s v="Bengaluru"/>
    <s v="Karnataka"/>
    <x v="1"/>
    <s v="P097"/>
    <s v="Mobile 97"/>
    <x v="1"/>
    <s v="Mobile"/>
    <n v="3"/>
    <n v="58453"/>
    <n v="15"/>
    <n v="149055.15"/>
    <n v="109579.67"/>
    <n v="39475.480000000003"/>
    <s v="Cash"/>
    <s v="Online"/>
    <s v="Pending"/>
    <n v="4"/>
    <s v="Yes"/>
  </r>
  <r>
    <s v="ORD1060"/>
    <x v="57"/>
    <s v="C1257"/>
    <s v="Sneha"/>
    <s v="Mumbai"/>
    <s v="Maharashtra"/>
    <x v="0"/>
    <s v="P080"/>
    <s v="Shoes 80"/>
    <x v="0"/>
    <s v="Shoes"/>
    <n v="1"/>
    <n v="63334"/>
    <n v="20"/>
    <n v="50667.199999999997"/>
    <n v="36141.800000000003"/>
    <n v="14525.4"/>
    <s v="Card"/>
    <s v="Online"/>
    <s v="Delivered"/>
    <n v="1"/>
    <s v="Yes"/>
  </r>
  <r>
    <s v="ORD1061"/>
    <x v="126"/>
    <s v="C1211"/>
    <s v="Neha"/>
    <s v="Jaipur"/>
    <s v="Rajasthan"/>
    <x v="2"/>
    <s v="P085"/>
    <s v="Chair 85"/>
    <x v="2"/>
    <s v="Chair"/>
    <n v="2"/>
    <n v="11463"/>
    <n v="5"/>
    <n v="21779.7"/>
    <n v="17313.95"/>
    <n v="4465.75"/>
    <s v="Card"/>
    <s v="Offline"/>
    <s v="Cancelled"/>
    <n v="3"/>
    <s v="No"/>
  </r>
  <r>
    <s v="ORD1062"/>
    <x v="164"/>
    <s v="C1020"/>
    <s v="Rohit"/>
    <s v="Chennai"/>
    <s v="Tamil Nadu"/>
    <x v="1"/>
    <s v="P092"/>
    <s v="Laptop 92"/>
    <x v="1"/>
    <s v="Laptop"/>
    <n v="3"/>
    <n v="67502"/>
    <n v="10"/>
    <n v="182255.4"/>
    <n v="164196.81"/>
    <n v="18058.59"/>
    <s v="Cash"/>
    <s v="Online"/>
    <s v="Cancelled"/>
    <n v="3"/>
    <s v="Yes"/>
  </r>
  <r>
    <s v="ORD1063"/>
    <x v="32"/>
    <s v="C1300"/>
    <s v="Vikas"/>
    <s v="Delhi"/>
    <s v="Delhi"/>
    <x v="2"/>
    <s v="P063"/>
    <s v="Shoes 63"/>
    <x v="0"/>
    <s v="Shoes"/>
    <n v="5"/>
    <n v="58072"/>
    <n v="20"/>
    <n v="232288"/>
    <n v="243334.44"/>
    <n v="-11046.44"/>
    <s v="Card"/>
    <s v="Online"/>
    <s v="Pending"/>
    <n v="3"/>
    <s v="Yes"/>
  </r>
  <r>
    <s v="ORD1064"/>
    <x v="90"/>
    <s v="C1045"/>
    <s v="Sneha"/>
    <s v="Mumbai"/>
    <s v="Maharashtra"/>
    <x v="0"/>
    <s v="P086"/>
    <s v="Mobile 86"/>
    <x v="1"/>
    <s v="Mobile"/>
    <n v="5"/>
    <n v="79613"/>
    <n v="20"/>
    <n v="318452"/>
    <n v="289351.98"/>
    <n v="29100.02"/>
    <s v="UPI"/>
    <s v="Offline"/>
    <s v="Cancelled"/>
    <n v="1"/>
    <s v="No"/>
  </r>
  <r>
    <s v="ORD1065"/>
    <x v="81"/>
    <s v="C1103"/>
    <s v="Neha"/>
    <s v="Bengaluru"/>
    <s v="Karnataka"/>
    <x v="1"/>
    <s v="P064"/>
    <s v="Table 64"/>
    <x v="2"/>
    <s v="Table"/>
    <n v="5"/>
    <n v="49118"/>
    <n v="15"/>
    <n v="208751.5"/>
    <n v="141746.20000000001"/>
    <n v="67005.3"/>
    <s v="Card"/>
    <s v="Offline"/>
    <s v="Cancelled"/>
    <n v="2"/>
    <s v="No"/>
  </r>
  <r>
    <s v="ORD1066"/>
    <x v="113"/>
    <s v="C1121"/>
    <s v="Aman"/>
    <s v="Chennai"/>
    <s v="Tamil Nadu"/>
    <x v="1"/>
    <s v="P035"/>
    <s v="Table 35"/>
    <x v="2"/>
    <s v="Table"/>
    <n v="5"/>
    <n v="64208"/>
    <n v="0"/>
    <n v="321040"/>
    <n v="194209.41"/>
    <n v="126830.59"/>
    <s v="Cash"/>
    <s v="Offline"/>
    <s v="Cancelled"/>
    <n v="2"/>
    <s v="No"/>
  </r>
  <r>
    <s v="ORD1067"/>
    <x v="139"/>
    <s v="C1062"/>
    <s v="Rohit"/>
    <s v="Kolkata"/>
    <s v="West Bengal"/>
    <x v="3"/>
    <s v="P075"/>
    <s v="Mixer 75"/>
    <x v="3"/>
    <s v="Mixer"/>
    <n v="5"/>
    <n v="61739"/>
    <n v="10"/>
    <n v="277825.5"/>
    <n v="173882.33"/>
    <n v="103943.17"/>
    <s v="Cash"/>
    <s v="Offline"/>
    <s v="Delivered"/>
    <n v="4"/>
    <s v="Yes"/>
  </r>
  <r>
    <s v="ORD1068"/>
    <x v="45"/>
    <s v="C1002"/>
    <s v="Sneha"/>
    <s v="Delhi"/>
    <s v="Delhi"/>
    <x v="2"/>
    <s v="P069"/>
    <s v="Chair 69"/>
    <x v="2"/>
    <s v="Chair"/>
    <n v="4"/>
    <n v="47618"/>
    <n v="5"/>
    <n v="180948.4"/>
    <n v="137626.73000000001"/>
    <n v="43321.67"/>
    <s v="Cash"/>
    <s v="Offline"/>
    <s v="Cancelled"/>
    <n v="3"/>
    <s v="No"/>
  </r>
  <r>
    <s v="ORD1069"/>
    <x v="123"/>
    <s v="C1237"/>
    <s v="Karan"/>
    <s v="Mumbai"/>
    <s v="Maharashtra"/>
    <x v="0"/>
    <s v="P065"/>
    <s v="Mobile 65"/>
    <x v="1"/>
    <s v="Mobile"/>
    <n v="1"/>
    <n v="42355"/>
    <n v="5"/>
    <n v="40237.25"/>
    <n v="31222.79"/>
    <n v="9014.4599999999991"/>
    <s v="Cash"/>
    <s v="Online"/>
    <s v="Cancelled"/>
    <n v="5"/>
    <s v="No"/>
  </r>
  <r>
    <s v="ORD1070"/>
    <x v="161"/>
    <s v="C1020"/>
    <s v="Vikas"/>
    <s v="Bengaluru"/>
    <s v="Karnataka"/>
    <x v="1"/>
    <s v="P065"/>
    <s v="Mobile 65"/>
    <x v="1"/>
    <s v="Mobile"/>
    <n v="2"/>
    <n v="38236"/>
    <n v="5"/>
    <n v="72648.399999999994"/>
    <n v="54789.88"/>
    <n v="17858.52"/>
    <s v="Cash"/>
    <s v="Online"/>
    <s v="Delivered"/>
    <n v="4"/>
    <s v="No"/>
  </r>
  <r>
    <s v="ORD1071"/>
    <x v="96"/>
    <s v="C1044"/>
    <s v="Anjali"/>
    <s v="Pune"/>
    <s v="Maharashtra"/>
    <x v="0"/>
    <s v="P024"/>
    <s v="Laptop 24"/>
    <x v="1"/>
    <s v="Laptop"/>
    <n v="3"/>
    <n v="21104"/>
    <n v="20"/>
    <n v="50649.599999999999"/>
    <n v="45949.5"/>
    <n v="4700.1000000000004"/>
    <s v="UPI"/>
    <s v="Online"/>
    <s v="Cancelled"/>
    <n v="1"/>
    <s v="No"/>
  </r>
  <r>
    <s v="ORD1072"/>
    <x v="103"/>
    <s v="C1111"/>
    <s v="Rohit"/>
    <s v="Jaipur"/>
    <s v="Rajasthan"/>
    <x v="2"/>
    <s v="P065"/>
    <s v="Mobile 65"/>
    <x v="1"/>
    <s v="Mobile"/>
    <n v="1"/>
    <n v="28371"/>
    <n v="0"/>
    <n v="28371"/>
    <n v="22672.66"/>
    <n v="5698.34"/>
    <s v="Card"/>
    <s v="Online"/>
    <s v="Pending"/>
    <n v="2"/>
    <s v="Yes"/>
  </r>
  <r>
    <s v="ORD1073"/>
    <x v="65"/>
    <s v="C1219"/>
    <s v="Rahul"/>
    <s v="Kolkata"/>
    <s v="West Bengal"/>
    <x v="3"/>
    <s v="P007"/>
    <s v="Laptop 7"/>
    <x v="1"/>
    <s v="Laptop"/>
    <n v="1"/>
    <n v="12343"/>
    <n v="15"/>
    <n v="10491.55"/>
    <n v="8236.9"/>
    <n v="2254.65"/>
    <s v="UPI"/>
    <s v="Online"/>
    <s v="Delivered"/>
    <n v="5"/>
    <s v="Yes"/>
  </r>
  <r>
    <s v="ORD1074"/>
    <x v="149"/>
    <s v="C1070"/>
    <s v="Aman"/>
    <s v="Kolkata"/>
    <s v="West Bengal"/>
    <x v="3"/>
    <s v="P026"/>
    <s v="Table 26"/>
    <x v="2"/>
    <s v="Table"/>
    <n v="4"/>
    <n v="23182"/>
    <n v="0"/>
    <n v="92728"/>
    <n v="70519.100000000006"/>
    <n v="22208.9"/>
    <s v="UPI"/>
    <s v="Online"/>
    <s v="Pending"/>
    <n v="4"/>
    <s v="Yes"/>
  </r>
  <r>
    <s v="ORD1075"/>
    <x v="100"/>
    <s v="C1299"/>
    <s v="Anjali"/>
    <s v="Kolkata"/>
    <s v="West Bengal"/>
    <x v="3"/>
    <s v="P021"/>
    <s v="Mobile 21"/>
    <x v="1"/>
    <s v="Mobile"/>
    <n v="3"/>
    <n v="44376"/>
    <n v="15"/>
    <n v="113158.8"/>
    <n v="87465.44"/>
    <n v="25693.360000000001"/>
    <s v="Cash"/>
    <s v="Online"/>
    <s v="Cancelled"/>
    <n v="3"/>
    <s v="No"/>
  </r>
  <r>
    <s v="ORD1076"/>
    <x v="114"/>
    <s v="C1193"/>
    <s v="Karan"/>
    <s v="Delhi"/>
    <s v="Delhi"/>
    <x v="2"/>
    <s v="P034"/>
    <s v="Chair 34"/>
    <x v="2"/>
    <s v="Chair"/>
    <n v="5"/>
    <n v="9861"/>
    <n v="10"/>
    <n v="44374.5"/>
    <n v="41627.01"/>
    <n v="2747.49"/>
    <s v="Cash"/>
    <s v="Offline"/>
    <s v="Cancelled"/>
    <n v="4"/>
    <s v="Yes"/>
  </r>
  <r>
    <s v="ORD1077"/>
    <x v="51"/>
    <s v="C1163"/>
    <s v="Vikas"/>
    <s v="Mumbai"/>
    <s v="Maharashtra"/>
    <x v="0"/>
    <s v="P034"/>
    <s v="Chair 34"/>
    <x v="2"/>
    <s v="Chair"/>
    <n v="3"/>
    <n v="21333"/>
    <n v="0"/>
    <n v="63999"/>
    <n v="50153.42"/>
    <n v="13845.58"/>
    <s v="UPI"/>
    <s v="Offline"/>
    <s v="Cancelled"/>
    <n v="3"/>
    <s v="Yes"/>
  </r>
  <r>
    <s v="ORD1078"/>
    <x v="86"/>
    <s v="C1007"/>
    <s v="Anjali"/>
    <s v="Jaipur"/>
    <s v="Rajasthan"/>
    <x v="2"/>
    <s v="P015"/>
    <s v="Table 15"/>
    <x v="2"/>
    <s v="Table"/>
    <n v="5"/>
    <n v="62822"/>
    <n v="15"/>
    <n v="266993.5"/>
    <n v="250389.67"/>
    <n v="16603.830000000002"/>
    <s v="Cash"/>
    <s v="Online"/>
    <s v="Delivered"/>
    <n v="4"/>
    <s v="No"/>
  </r>
  <r>
    <s v="ORD1079"/>
    <x v="174"/>
    <s v="C1286"/>
    <s v="Aman"/>
    <s v="Bengaluru"/>
    <s v="Karnataka"/>
    <x v="1"/>
    <s v="P009"/>
    <s v="Laptop 9"/>
    <x v="1"/>
    <s v="Laptop"/>
    <n v="2"/>
    <n v="52709"/>
    <n v="10"/>
    <n v="94876.2"/>
    <n v="85641.01"/>
    <n v="9235.19"/>
    <s v="UPI"/>
    <s v="Offline"/>
    <s v="Delivered"/>
    <n v="2"/>
    <s v="Yes"/>
  </r>
  <r>
    <s v="ORD1080"/>
    <x v="108"/>
    <s v="C1067"/>
    <s v="Sneha"/>
    <s v="Pune"/>
    <s v="Maharashtra"/>
    <x v="0"/>
    <s v="P024"/>
    <s v="Laptop 24"/>
    <x v="1"/>
    <s v="Laptop"/>
    <n v="2"/>
    <n v="17915"/>
    <n v="0"/>
    <n v="35830"/>
    <n v="20722.68"/>
    <n v="15107.32"/>
    <s v="Cash"/>
    <s v="Offline"/>
    <s v="Delivered"/>
    <n v="2"/>
    <s v="No"/>
  </r>
  <r>
    <s v="ORD1081"/>
    <x v="70"/>
    <s v="C1201"/>
    <s v="Neha"/>
    <s v="Mumbai"/>
    <s v="Maharashtra"/>
    <x v="0"/>
    <s v="P100"/>
    <s v="Mobile 100"/>
    <x v="1"/>
    <s v="Mobile"/>
    <n v="4"/>
    <n v="30863"/>
    <n v="15"/>
    <n v="104934.2"/>
    <n v="93241.1"/>
    <n v="11693.1"/>
    <s v="Cash"/>
    <s v="Offline"/>
    <s v="Delivered"/>
    <n v="4"/>
    <s v="No"/>
  </r>
  <r>
    <s v="ORD1082"/>
    <x v="56"/>
    <s v="C1051"/>
    <s v="Anjali"/>
    <s v="Pune"/>
    <s v="Maharashtra"/>
    <x v="0"/>
    <s v="P084"/>
    <s v="Laptop 84"/>
    <x v="1"/>
    <s v="Laptop"/>
    <n v="4"/>
    <n v="73613"/>
    <n v="5"/>
    <n v="279729.40000000002"/>
    <n v="187374.17"/>
    <n v="92355.23"/>
    <s v="Card"/>
    <s v="Online"/>
    <s v="Cancelled"/>
    <n v="4"/>
    <s v="No"/>
  </r>
  <r>
    <s v="ORD1083"/>
    <x v="12"/>
    <s v="C1139"/>
    <s v="Neha"/>
    <s v="Mumbai"/>
    <s v="Maharashtra"/>
    <x v="0"/>
    <s v="P091"/>
    <s v="Laptop 91"/>
    <x v="1"/>
    <s v="Laptop"/>
    <n v="4"/>
    <n v="13447"/>
    <n v="0"/>
    <n v="53788"/>
    <n v="41131.269999999997"/>
    <n v="12656.73"/>
    <s v="UPI"/>
    <s v="Offline"/>
    <s v="Pending"/>
    <n v="4"/>
    <s v="Yes"/>
  </r>
  <r>
    <s v="ORD1084"/>
    <x v="81"/>
    <s v="C1267"/>
    <s v="Vikas"/>
    <s v="Delhi"/>
    <s v="Delhi"/>
    <x v="2"/>
    <s v="P008"/>
    <s v="Shoes 8"/>
    <x v="0"/>
    <s v="Shoes"/>
    <n v="1"/>
    <n v="78800"/>
    <n v="15"/>
    <n v="66980"/>
    <n v="66515.899999999994"/>
    <n v="464.1"/>
    <s v="Cash"/>
    <s v="Offline"/>
    <s v="Delivered"/>
    <n v="4"/>
    <s v="Yes"/>
  </r>
  <r>
    <s v="ORD1085"/>
    <x v="57"/>
    <s v="C1009"/>
    <s v="Karan"/>
    <s v="Jaipur"/>
    <s v="Rajasthan"/>
    <x v="2"/>
    <s v="P036"/>
    <s v="Shoes 36"/>
    <x v="0"/>
    <s v="Shoes"/>
    <n v="1"/>
    <n v="35370"/>
    <n v="10"/>
    <n v="31833"/>
    <n v="21744.959999999999"/>
    <n v="10088.040000000001"/>
    <s v="Card"/>
    <s v="Online"/>
    <s v="Delivered"/>
    <n v="3"/>
    <s v="No"/>
  </r>
  <r>
    <s v="ORD1086"/>
    <x v="70"/>
    <s v="C1053"/>
    <s v="Lakshay"/>
    <s v="Chennai"/>
    <s v="Tamil Nadu"/>
    <x v="1"/>
    <s v="P087"/>
    <s v="Table 87"/>
    <x v="2"/>
    <s v="Table"/>
    <n v="3"/>
    <n v="75371"/>
    <n v="10"/>
    <n v="203501.7"/>
    <n v="180423.29"/>
    <n v="23078.41"/>
    <s v="Card"/>
    <s v="Online"/>
    <s v="Delivered"/>
    <n v="1"/>
    <s v="Yes"/>
  </r>
  <r>
    <s v="ORD1087"/>
    <x v="141"/>
    <s v="C1225"/>
    <s v="Rohit"/>
    <s v="Mumbai"/>
    <s v="Maharashtra"/>
    <x v="0"/>
    <s v="P031"/>
    <s v="Table 31"/>
    <x v="2"/>
    <s v="Table"/>
    <n v="3"/>
    <n v="48582"/>
    <n v="0"/>
    <n v="145746"/>
    <n v="106696.82"/>
    <n v="39049.18"/>
    <s v="Card"/>
    <s v="Offline"/>
    <s v="Cancelled"/>
    <n v="3"/>
    <s v="No"/>
  </r>
  <r>
    <s v="ORD1088"/>
    <x v="172"/>
    <s v="C1012"/>
    <s v="Lakshay"/>
    <s v="Mumbai"/>
    <s v="Maharashtra"/>
    <x v="0"/>
    <s v="P029"/>
    <s v="Mixer 29"/>
    <x v="3"/>
    <s v="Mixer"/>
    <n v="2"/>
    <n v="37023"/>
    <n v="20"/>
    <n v="59236.800000000003"/>
    <n v="43833.95"/>
    <n v="15402.85"/>
    <s v="UPI"/>
    <s v="Online"/>
    <s v="Pending"/>
    <n v="2"/>
    <s v="No"/>
  </r>
  <r>
    <s v="ORD1089"/>
    <x v="20"/>
    <s v="C1289"/>
    <s v="Rahul"/>
    <s v="Jaipur"/>
    <s v="Rajasthan"/>
    <x v="2"/>
    <s v="P042"/>
    <s v="Table 42"/>
    <x v="2"/>
    <s v="Table"/>
    <n v="5"/>
    <n v="20688"/>
    <n v="10"/>
    <n v="93096"/>
    <n v="60361"/>
    <n v="32735"/>
    <s v="UPI"/>
    <s v="Online"/>
    <s v="Pending"/>
    <n v="4"/>
    <s v="Yes"/>
  </r>
  <r>
    <s v="ORD1090"/>
    <x v="123"/>
    <s v="C1202"/>
    <s v="Karan"/>
    <s v="Kolkata"/>
    <s v="West Bengal"/>
    <x v="3"/>
    <s v="P090"/>
    <s v="Mixer 90"/>
    <x v="3"/>
    <s v="Mixer"/>
    <n v="1"/>
    <n v="44089"/>
    <n v="10"/>
    <n v="39680.1"/>
    <n v="33138.89"/>
    <n v="6541.21"/>
    <s v="Cash"/>
    <s v="Online"/>
    <s v="Delivered"/>
    <n v="2"/>
    <s v="Yes"/>
  </r>
  <r>
    <s v="ORD1091"/>
    <x v="41"/>
    <s v="C1175"/>
    <s v="Rohit"/>
    <s v="Chennai"/>
    <s v="Tamil Nadu"/>
    <x v="1"/>
    <s v="P039"/>
    <s v="Shoes 39"/>
    <x v="0"/>
    <s v="Shoes"/>
    <n v="4"/>
    <n v="52206"/>
    <n v="10"/>
    <n v="187941.6"/>
    <n v="168533.97"/>
    <n v="19407.63"/>
    <s v="Card"/>
    <s v="Offline"/>
    <s v="Cancelled"/>
    <n v="3"/>
    <s v="Yes"/>
  </r>
  <r>
    <s v="ORD1092"/>
    <x v="123"/>
    <s v="C1156"/>
    <s v="Priya"/>
    <s v="Chennai"/>
    <s v="Tamil Nadu"/>
    <x v="1"/>
    <s v="P044"/>
    <s v="Chair 44"/>
    <x v="2"/>
    <s v="Chair"/>
    <n v="2"/>
    <n v="15902"/>
    <n v="0"/>
    <n v="31804"/>
    <n v="25847.88"/>
    <n v="5956.12"/>
    <s v="UPI"/>
    <s v="Online"/>
    <s v="Pending"/>
    <n v="2"/>
    <s v="Yes"/>
  </r>
  <r>
    <s v="ORD1093"/>
    <x v="157"/>
    <s v="C1245"/>
    <s v="Neha"/>
    <s v="Pune"/>
    <s v="Maharashtra"/>
    <x v="0"/>
    <s v="P053"/>
    <s v="Laptop 53"/>
    <x v="1"/>
    <s v="Laptop"/>
    <n v="4"/>
    <n v="25202"/>
    <n v="20"/>
    <n v="80646.399999999994"/>
    <n v="62315.32"/>
    <n v="18331.080000000002"/>
    <s v="Card"/>
    <s v="Online"/>
    <s v="Pending"/>
    <n v="4"/>
    <s v="No"/>
  </r>
  <r>
    <s v="ORD1094"/>
    <x v="11"/>
    <s v="C1114"/>
    <s v="Neha"/>
    <s v="Kolkata"/>
    <s v="West Bengal"/>
    <x v="3"/>
    <s v="P078"/>
    <s v="Chair 78"/>
    <x v="2"/>
    <s v="Chair"/>
    <n v="2"/>
    <n v="29356"/>
    <n v="0"/>
    <n v="58712"/>
    <n v="39955.129999999997"/>
    <n v="18756.87"/>
    <s v="UPI"/>
    <s v="Online"/>
    <s v="Cancelled"/>
    <n v="5"/>
    <s v="Yes"/>
  </r>
  <r>
    <s v="ORD1095"/>
    <x v="10"/>
    <s v="C1201"/>
    <s v="Lakshay"/>
    <s v="Chennai"/>
    <s v="Tamil Nadu"/>
    <x v="1"/>
    <s v="P014"/>
    <s v="Mixer 14"/>
    <x v="3"/>
    <s v="Mixer"/>
    <n v="4"/>
    <n v="63663"/>
    <n v="15"/>
    <n v="216454.2"/>
    <n v="165166.45000000001"/>
    <n v="51287.75"/>
    <s v="Card"/>
    <s v="Offline"/>
    <s v="Delivered"/>
    <n v="2"/>
    <s v="Yes"/>
  </r>
  <r>
    <s v="ORD1096"/>
    <x v="127"/>
    <s v="C1009"/>
    <s v="Rohit"/>
    <s v="Delhi"/>
    <s v="Delhi"/>
    <x v="2"/>
    <s v="P025"/>
    <s v="Shoes 25"/>
    <x v="0"/>
    <s v="Shoes"/>
    <n v="5"/>
    <n v="17743"/>
    <n v="10"/>
    <n v="79843.5"/>
    <n v="61853.01"/>
    <n v="17990.490000000002"/>
    <s v="Cash"/>
    <s v="Offline"/>
    <s v="Pending"/>
    <n v="4"/>
    <s v="No"/>
  </r>
  <r>
    <s v="ORD1097"/>
    <x v="86"/>
    <s v="C1281"/>
    <s v="Neha"/>
    <s v="Jaipur"/>
    <s v="Rajasthan"/>
    <x v="2"/>
    <s v="P062"/>
    <s v="Mixer 62"/>
    <x v="3"/>
    <s v="Mixer"/>
    <n v="1"/>
    <n v="9418"/>
    <n v="15"/>
    <n v="8005.3"/>
    <n v="7385.09"/>
    <n v="620.21"/>
    <s v="Card"/>
    <s v="Offline"/>
    <s v="Pending"/>
    <n v="4"/>
    <s v="No"/>
  </r>
  <r>
    <s v="ORD1098"/>
    <x v="176"/>
    <s v="C1032"/>
    <s v="Priya"/>
    <s v="Delhi"/>
    <s v="Delhi"/>
    <x v="2"/>
    <s v="P074"/>
    <s v="Mixer 74"/>
    <x v="3"/>
    <s v="Mixer"/>
    <n v="1"/>
    <n v="46002"/>
    <n v="0"/>
    <n v="46002"/>
    <n v="34848.480000000003"/>
    <n v="11153.52"/>
    <s v="Card"/>
    <s v="Online"/>
    <s v="Pending"/>
    <n v="5"/>
    <s v="Yes"/>
  </r>
  <r>
    <s v="ORD1099"/>
    <x v="165"/>
    <s v="C1231"/>
    <s v="Sneha"/>
    <s v="Bengaluru"/>
    <s v="Karnataka"/>
    <x v="1"/>
    <s v="P038"/>
    <s v="Mobile 38"/>
    <x v="1"/>
    <s v="Mobile"/>
    <n v="3"/>
    <n v="48556"/>
    <n v="0"/>
    <n v="145668"/>
    <n v="89805.68"/>
    <n v="55862.32"/>
    <s v="UPI"/>
    <s v="Offline"/>
    <s v="Cancelled"/>
    <n v="2"/>
    <s v="Yes"/>
  </r>
  <r>
    <s v="ORD1100"/>
    <x v="71"/>
    <s v="C1023"/>
    <s v="Neha"/>
    <s v="Jaipur"/>
    <s v="Rajasthan"/>
    <x v="2"/>
    <s v="P004"/>
    <s v="Mixer 4"/>
    <x v="3"/>
    <s v="Mixer"/>
    <n v="1"/>
    <n v="55642"/>
    <n v="15"/>
    <n v="47295.7"/>
    <n v="44067.09"/>
    <n v="3228.61"/>
    <s v="Card"/>
    <s v="Online"/>
    <s v="Cancelled"/>
    <n v="4"/>
    <s v="Yes"/>
  </r>
  <r>
    <s v="ORD1101"/>
    <x v="55"/>
    <s v="C1293"/>
    <s v="Lakshay"/>
    <s v="Mumbai"/>
    <s v="Maharashtra"/>
    <x v="0"/>
    <s v="P052"/>
    <s v="Laptop 52"/>
    <x v="1"/>
    <s v="Laptop"/>
    <n v="2"/>
    <n v="62372"/>
    <n v="15"/>
    <n v="106032.4"/>
    <n v="72972.03"/>
    <n v="33060.370000000003"/>
    <s v="Card"/>
    <s v="Offline"/>
    <s v="Pending"/>
    <n v="3"/>
    <s v="No"/>
  </r>
  <r>
    <s v="ORD1102"/>
    <x v="65"/>
    <s v="C1127"/>
    <s v="Priya"/>
    <s v="Mumbai"/>
    <s v="Maharashtra"/>
    <x v="0"/>
    <s v="P039"/>
    <s v="Shoes 39"/>
    <x v="0"/>
    <s v="Shoes"/>
    <n v="1"/>
    <n v="14670"/>
    <n v="5"/>
    <n v="13936.5"/>
    <n v="10558.57"/>
    <n v="3377.93"/>
    <s v="UPI"/>
    <s v="Offline"/>
    <s v="Pending"/>
    <n v="5"/>
    <s v="Yes"/>
  </r>
  <r>
    <s v="ORD1103"/>
    <x v="144"/>
    <s v="C1193"/>
    <s v="Vikas"/>
    <s v="Delhi"/>
    <s v="Delhi"/>
    <x v="2"/>
    <s v="P072"/>
    <s v="Laptop 72"/>
    <x v="1"/>
    <s v="Laptop"/>
    <n v="3"/>
    <n v="54835"/>
    <n v="10"/>
    <n v="148054.5"/>
    <n v="90510.38"/>
    <n v="57544.12"/>
    <s v="Card"/>
    <s v="Online"/>
    <s v="Cancelled"/>
    <n v="3"/>
    <s v="No"/>
  </r>
  <r>
    <s v="ORD1104"/>
    <x v="97"/>
    <s v="C1229"/>
    <s v="Aman"/>
    <s v="Bengaluru"/>
    <s v="Karnataka"/>
    <x v="1"/>
    <s v="P068"/>
    <s v="Mobile 68"/>
    <x v="1"/>
    <s v="Mobile"/>
    <n v="5"/>
    <n v="53717"/>
    <n v="20"/>
    <n v="214868"/>
    <n v="189678.28"/>
    <n v="25189.72"/>
    <s v="Cash"/>
    <s v="Online"/>
    <s v="Cancelled"/>
    <n v="2"/>
    <s v="No"/>
  </r>
  <r>
    <s v="ORD1105"/>
    <x v="162"/>
    <s v="C1014"/>
    <s v="Karan"/>
    <s v="Jaipur"/>
    <s v="Rajasthan"/>
    <x v="2"/>
    <s v="P070"/>
    <s v="Laptop 70"/>
    <x v="1"/>
    <s v="Laptop"/>
    <n v="1"/>
    <n v="63762"/>
    <n v="0"/>
    <n v="63762"/>
    <n v="38255.800000000003"/>
    <n v="25506.2"/>
    <s v="Card"/>
    <s v="Online"/>
    <s v="Pending"/>
    <n v="4"/>
    <s v="No"/>
  </r>
  <r>
    <s v="ORD1106"/>
    <x v="165"/>
    <s v="C1056"/>
    <s v="Neha"/>
    <s v="Chennai"/>
    <s v="Tamil Nadu"/>
    <x v="1"/>
    <s v="P002"/>
    <s v="Laptop 2"/>
    <x v="1"/>
    <s v="Laptop"/>
    <n v="2"/>
    <n v="12295"/>
    <n v="10"/>
    <n v="22131"/>
    <n v="18293.099999999999"/>
    <n v="3837.9"/>
    <s v="UPI"/>
    <s v="Online"/>
    <s v="Pending"/>
    <n v="3"/>
    <s v="Yes"/>
  </r>
  <r>
    <s v="ORD1107"/>
    <x v="167"/>
    <s v="C1110"/>
    <s v="Sneha"/>
    <s v="Bengaluru"/>
    <s v="Karnataka"/>
    <x v="1"/>
    <s v="P053"/>
    <s v="Laptop 53"/>
    <x v="1"/>
    <s v="Laptop"/>
    <n v="4"/>
    <n v="5264"/>
    <n v="0"/>
    <n v="21056"/>
    <n v="13780.89"/>
    <n v="7275.11"/>
    <s v="Cash"/>
    <s v="Offline"/>
    <s v="Delivered"/>
    <n v="3"/>
    <s v="Yes"/>
  </r>
  <r>
    <s v="ORD1108"/>
    <x v="55"/>
    <s v="C1060"/>
    <s v="Vikas"/>
    <s v="Pune"/>
    <s v="Maharashtra"/>
    <x v="0"/>
    <s v="P075"/>
    <s v="Mixer 75"/>
    <x v="3"/>
    <s v="Mixer"/>
    <n v="4"/>
    <n v="50651"/>
    <n v="20"/>
    <n v="162083.20000000001"/>
    <n v="136419.20000000001"/>
    <n v="25664"/>
    <s v="UPI"/>
    <s v="Online"/>
    <s v="Pending"/>
    <n v="5"/>
    <s v="Yes"/>
  </r>
  <r>
    <s v="ORD1109"/>
    <x v="7"/>
    <s v="C1047"/>
    <s v="Sneha"/>
    <s v="Pune"/>
    <s v="Maharashtra"/>
    <x v="0"/>
    <s v="P034"/>
    <s v="Chair 34"/>
    <x v="2"/>
    <s v="Chair"/>
    <n v="2"/>
    <n v="72587"/>
    <n v="10"/>
    <n v="130656.6"/>
    <n v="120367.32"/>
    <n v="10289.280000000001"/>
    <s v="Cash"/>
    <s v="Offline"/>
    <s v="Delivered"/>
    <n v="1"/>
    <s v="No"/>
  </r>
  <r>
    <s v="ORD1110"/>
    <x v="82"/>
    <s v="C1141"/>
    <s v="Karan"/>
    <s v="Chennai"/>
    <s v="Tamil Nadu"/>
    <x v="1"/>
    <s v="P015"/>
    <s v="Table 15"/>
    <x v="2"/>
    <s v="Table"/>
    <n v="5"/>
    <n v="56331"/>
    <n v="20"/>
    <n v="225324"/>
    <n v="172818.66"/>
    <n v="52505.34"/>
    <s v="Card"/>
    <s v="Online"/>
    <s v="Pending"/>
    <n v="1"/>
    <s v="Yes"/>
  </r>
  <r>
    <s v="ORD1111"/>
    <x v="151"/>
    <s v="C1296"/>
    <s v="Rohit"/>
    <s v="Kolkata"/>
    <s v="West Bengal"/>
    <x v="3"/>
    <s v="P067"/>
    <s v="Mixer 67"/>
    <x v="3"/>
    <s v="Mixer"/>
    <n v="2"/>
    <n v="42781"/>
    <n v="10"/>
    <n v="77005.8"/>
    <n v="60613.31"/>
    <n v="16392.490000000002"/>
    <s v="Cash"/>
    <s v="Offline"/>
    <s v="Pending"/>
    <n v="2"/>
    <s v="Yes"/>
  </r>
  <r>
    <s v="ORD1112"/>
    <x v="87"/>
    <s v="C1279"/>
    <s v="Anjali"/>
    <s v="Pune"/>
    <s v="Maharashtra"/>
    <x v="0"/>
    <s v="P084"/>
    <s v="Laptop 84"/>
    <x v="1"/>
    <s v="Laptop"/>
    <n v="5"/>
    <n v="7894"/>
    <n v="10"/>
    <n v="35523"/>
    <n v="28423.360000000001"/>
    <n v="7099.64"/>
    <s v="UPI"/>
    <s v="Offline"/>
    <s v="Pending"/>
    <n v="4"/>
    <s v="No"/>
  </r>
  <r>
    <s v="ORD1113"/>
    <x v="178"/>
    <s v="C1005"/>
    <s v="Priya"/>
    <s v="Jaipur"/>
    <s v="Rajasthan"/>
    <x v="2"/>
    <s v="P052"/>
    <s v="Laptop 52"/>
    <x v="1"/>
    <s v="Laptop"/>
    <n v="2"/>
    <n v="22819"/>
    <n v="5"/>
    <n v="43356.1"/>
    <n v="29285.25"/>
    <n v="14070.85"/>
    <s v="Card"/>
    <s v="Online"/>
    <s v="Cancelled"/>
    <n v="2"/>
    <s v="No"/>
  </r>
  <r>
    <s v="ORD1114"/>
    <x v="103"/>
    <s v="C1242"/>
    <s v="Lakshay"/>
    <s v="Bengaluru"/>
    <s v="Karnataka"/>
    <x v="1"/>
    <s v="P066"/>
    <s v="Mobile 66"/>
    <x v="1"/>
    <s v="Mobile"/>
    <n v="2"/>
    <n v="8241"/>
    <n v="20"/>
    <n v="13185.6"/>
    <n v="11322.8"/>
    <n v="1862.8"/>
    <s v="Card"/>
    <s v="Offline"/>
    <s v="Cancelled"/>
    <n v="2"/>
    <s v="Yes"/>
  </r>
  <r>
    <s v="ORD1115"/>
    <x v="14"/>
    <s v="C1103"/>
    <s v="Rohit"/>
    <s v="Mumbai"/>
    <s v="Maharashtra"/>
    <x v="0"/>
    <s v="P004"/>
    <s v="Mixer 4"/>
    <x v="3"/>
    <s v="Mixer"/>
    <n v="3"/>
    <n v="56506"/>
    <n v="5"/>
    <n v="161042.1"/>
    <n v="103615.13"/>
    <n v="57426.97"/>
    <s v="UPI"/>
    <s v="Offline"/>
    <s v="Delivered"/>
    <n v="5"/>
    <s v="Yes"/>
  </r>
  <r>
    <s v="ORD1116"/>
    <x v="126"/>
    <s v="C1079"/>
    <s v="Anjali"/>
    <s v="Kolkata"/>
    <s v="West Bengal"/>
    <x v="3"/>
    <s v="P071"/>
    <s v="Mobile 71"/>
    <x v="1"/>
    <s v="Mobile"/>
    <n v="3"/>
    <n v="761"/>
    <n v="0"/>
    <n v="2283"/>
    <n v="1477.16"/>
    <n v="805.84"/>
    <s v="UPI"/>
    <s v="Offline"/>
    <s v="Cancelled"/>
    <n v="2"/>
    <s v="No"/>
  </r>
  <r>
    <s v="ORD1117"/>
    <x v="39"/>
    <s v="C1248"/>
    <s v="Aman"/>
    <s v="Kolkata"/>
    <s v="West Bengal"/>
    <x v="3"/>
    <s v="P064"/>
    <s v="Table 64"/>
    <x v="2"/>
    <s v="Table"/>
    <n v="3"/>
    <n v="6124"/>
    <n v="0"/>
    <n v="18372"/>
    <n v="12829.86"/>
    <n v="5542.14"/>
    <s v="Card"/>
    <s v="Online"/>
    <s v="Cancelled"/>
    <n v="2"/>
    <s v="Yes"/>
  </r>
  <r>
    <s v="ORD1118"/>
    <x v="163"/>
    <s v="C1261"/>
    <s v="Vikas"/>
    <s v="Mumbai"/>
    <s v="Maharashtra"/>
    <x v="0"/>
    <s v="P097"/>
    <s v="Mobile 97"/>
    <x v="1"/>
    <s v="Mobile"/>
    <n v="5"/>
    <n v="45636"/>
    <n v="20"/>
    <n v="182544"/>
    <n v="135351.4"/>
    <n v="47192.6"/>
    <s v="Cash"/>
    <s v="Offline"/>
    <s v="Delivered"/>
    <n v="5"/>
    <s v="No"/>
  </r>
  <r>
    <s v="ORD1119"/>
    <x v="51"/>
    <s v="C1007"/>
    <s v="Lakshay"/>
    <s v="Kolkata"/>
    <s v="West Bengal"/>
    <x v="3"/>
    <s v="P019"/>
    <s v="Laptop 19"/>
    <x v="1"/>
    <s v="Laptop"/>
    <n v="1"/>
    <n v="45118"/>
    <n v="20"/>
    <n v="36094.400000000001"/>
    <n v="37587.699999999997"/>
    <n v="-1493.3"/>
    <s v="Cash"/>
    <s v="Offline"/>
    <s v="Pending"/>
    <n v="1"/>
    <s v="Yes"/>
  </r>
  <r>
    <s v="ORD1120"/>
    <x v="11"/>
    <s v="C1197"/>
    <s v="Vikas"/>
    <s v="Kolkata"/>
    <s v="West Bengal"/>
    <x v="3"/>
    <s v="P099"/>
    <s v="Chair 99"/>
    <x v="2"/>
    <s v="Chair"/>
    <n v="2"/>
    <n v="18384"/>
    <n v="5"/>
    <n v="34929.599999999999"/>
    <n v="28812.560000000001"/>
    <n v="6117.04"/>
    <s v="UPI"/>
    <s v="Online"/>
    <s v="Cancelled"/>
    <n v="5"/>
    <s v="Yes"/>
  </r>
  <r>
    <s v="ORD1121"/>
    <x v="33"/>
    <s v="C1243"/>
    <s v="Karan"/>
    <s v="Pune"/>
    <s v="Maharashtra"/>
    <x v="0"/>
    <s v="P061"/>
    <s v="Mobile 61"/>
    <x v="1"/>
    <s v="Mobile"/>
    <n v="2"/>
    <n v="18050"/>
    <n v="15"/>
    <n v="30685"/>
    <n v="25267.53"/>
    <n v="5417.47"/>
    <s v="UPI"/>
    <s v="Online"/>
    <s v="Delivered"/>
    <n v="1"/>
    <s v="No"/>
  </r>
  <r>
    <s v="ORD1122"/>
    <x v="13"/>
    <s v="C1248"/>
    <s v="Aman"/>
    <s v="Jaipur"/>
    <s v="Rajasthan"/>
    <x v="2"/>
    <s v="P048"/>
    <s v="Shoes 48"/>
    <x v="0"/>
    <s v="Shoes"/>
    <n v="4"/>
    <n v="25551"/>
    <n v="5"/>
    <n v="97093.8"/>
    <n v="76701.73"/>
    <n v="20392.07"/>
    <s v="Card"/>
    <s v="Offline"/>
    <s v="Pending"/>
    <n v="4"/>
    <s v="Yes"/>
  </r>
  <r>
    <s v="ORD1123"/>
    <x v="38"/>
    <s v="C1125"/>
    <s v="Vikas"/>
    <s v="Mumbai"/>
    <s v="Maharashtra"/>
    <x v="0"/>
    <s v="P084"/>
    <s v="Laptop 84"/>
    <x v="1"/>
    <s v="Laptop"/>
    <n v="3"/>
    <n v="77849"/>
    <n v="20"/>
    <n v="186837.6"/>
    <n v="196163.83"/>
    <n v="-9326.23"/>
    <s v="Card"/>
    <s v="Offline"/>
    <s v="Pending"/>
    <n v="2"/>
    <s v="No"/>
  </r>
  <r>
    <s v="ORD1124"/>
    <x v="123"/>
    <s v="C1064"/>
    <s v="Priya"/>
    <s v="Jaipur"/>
    <s v="Rajasthan"/>
    <x v="2"/>
    <s v="P018"/>
    <s v="Laptop 18"/>
    <x v="1"/>
    <s v="Laptop"/>
    <n v="4"/>
    <n v="19561"/>
    <n v="20"/>
    <n v="62595.199999999997"/>
    <n v="51404.61"/>
    <n v="11190.59"/>
    <s v="UPI"/>
    <s v="Offline"/>
    <s v="Pending"/>
    <n v="3"/>
    <s v="Yes"/>
  </r>
  <r>
    <s v="ORD1125"/>
    <x v="85"/>
    <s v="C1077"/>
    <s v="Neha"/>
    <s v="Pune"/>
    <s v="Maharashtra"/>
    <x v="0"/>
    <s v="P067"/>
    <s v="Mixer 67"/>
    <x v="3"/>
    <s v="Mixer"/>
    <n v="5"/>
    <n v="16165"/>
    <n v="0"/>
    <n v="80825"/>
    <n v="47312.53"/>
    <n v="33512.47"/>
    <s v="UPI"/>
    <s v="Online"/>
    <s v="Delivered"/>
    <n v="2"/>
    <s v="Yes"/>
  </r>
  <r>
    <s v="ORD1126"/>
    <x v="77"/>
    <s v="C1095"/>
    <s v="Anjali"/>
    <s v="Mumbai"/>
    <s v="Maharashtra"/>
    <x v="0"/>
    <s v="P097"/>
    <s v="Mobile 97"/>
    <x v="1"/>
    <s v="Mobile"/>
    <n v="4"/>
    <n v="34167"/>
    <n v="5"/>
    <n v="129834.6"/>
    <n v="75971.820000000007"/>
    <n v="53862.78"/>
    <s v="Card"/>
    <s v="Offline"/>
    <s v="Delivered"/>
    <n v="4"/>
    <s v="No"/>
  </r>
  <r>
    <s v="ORD1127"/>
    <x v="60"/>
    <s v="C1018"/>
    <s v="Vikas"/>
    <s v="Pune"/>
    <s v="Maharashtra"/>
    <x v="0"/>
    <s v="P025"/>
    <s v="Shoes 25"/>
    <x v="0"/>
    <s v="Shoes"/>
    <n v="5"/>
    <n v="13630"/>
    <n v="0"/>
    <n v="68150"/>
    <n v="47220.83"/>
    <n v="20929.169999999998"/>
    <s v="Card"/>
    <s v="Online"/>
    <s v="Pending"/>
    <n v="4"/>
    <s v="No"/>
  </r>
  <r>
    <s v="ORD1128"/>
    <x v="168"/>
    <s v="C1148"/>
    <s v="Rohit"/>
    <s v="Bengaluru"/>
    <s v="Karnataka"/>
    <x v="1"/>
    <s v="P077"/>
    <s v="Table 77"/>
    <x v="2"/>
    <s v="Table"/>
    <n v="3"/>
    <n v="11526"/>
    <n v="20"/>
    <n v="27662.400000000001"/>
    <n v="29107.98"/>
    <n v="-1445.58"/>
    <s v="Card"/>
    <s v="Offline"/>
    <s v="Cancelled"/>
    <n v="2"/>
    <s v="No"/>
  </r>
  <r>
    <s v="ORD1129"/>
    <x v="108"/>
    <s v="C1231"/>
    <s v="Rahul"/>
    <s v="Mumbai"/>
    <s v="Maharashtra"/>
    <x v="0"/>
    <s v="P043"/>
    <s v="Mobile 43"/>
    <x v="1"/>
    <s v="Mobile"/>
    <n v="2"/>
    <n v="11741"/>
    <n v="20"/>
    <n v="18785.599999999999"/>
    <n v="15692.15"/>
    <n v="3093.45"/>
    <s v="UPI"/>
    <s v="Online"/>
    <s v="Pending"/>
    <n v="1"/>
    <s v="Yes"/>
  </r>
  <r>
    <s v="ORD1130"/>
    <x v="110"/>
    <s v="C1026"/>
    <s v="Aman"/>
    <s v="Jaipur"/>
    <s v="Rajasthan"/>
    <x v="2"/>
    <s v="P018"/>
    <s v="Laptop 18"/>
    <x v="1"/>
    <s v="Laptop"/>
    <n v="5"/>
    <n v="74642"/>
    <n v="0"/>
    <n v="373210"/>
    <n v="247606.73"/>
    <n v="125603.27"/>
    <s v="UPI"/>
    <s v="Online"/>
    <s v="Delivered"/>
    <n v="2"/>
    <s v="No"/>
  </r>
  <r>
    <s v="ORD1131"/>
    <x v="89"/>
    <s v="C1081"/>
    <s v="Rahul"/>
    <s v="Chennai"/>
    <s v="Tamil Nadu"/>
    <x v="1"/>
    <s v="P035"/>
    <s v="Table 35"/>
    <x v="2"/>
    <s v="Table"/>
    <n v="1"/>
    <n v="47027"/>
    <n v="10"/>
    <n v="42324.3"/>
    <n v="28106"/>
    <n v="14218.3"/>
    <s v="Card"/>
    <s v="Online"/>
    <s v="Pending"/>
    <n v="2"/>
    <s v="No"/>
  </r>
  <r>
    <s v="ORD1132"/>
    <x v="3"/>
    <s v="C1150"/>
    <s v="Aman"/>
    <s v="Chennai"/>
    <s v="Tamil Nadu"/>
    <x v="1"/>
    <s v="P048"/>
    <s v="Shoes 48"/>
    <x v="0"/>
    <s v="Shoes"/>
    <n v="5"/>
    <n v="16168"/>
    <n v="5"/>
    <n v="76798"/>
    <n v="50774.55"/>
    <n v="26023.45"/>
    <s v="UPI"/>
    <s v="Offline"/>
    <s v="Delivered"/>
    <n v="5"/>
    <s v="No"/>
  </r>
  <r>
    <s v="ORD1133"/>
    <x v="6"/>
    <s v="C1205"/>
    <s v="Vikas"/>
    <s v="Bengaluru"/>
    <s v="Karnataka"/>
    <x v="1"/>
    <s v="P042"/>
    <s v="Table 42"/>
    <x v="2"/>
    <s v="Table"/>
    <n v="1"/>
    <n v="13169"/>
    <n v="20"/>
    <n v="10535.2"/>
    <n v="7943.25"/>
    <n v="2591.9499999999998"/>
    <s v="Card"/>
    <s v="Online"/>
    <s v="Pending"/>
    <n v="2"/>
    <s v="Yes"/>
  </r>
  <r>
    <s v="ORD1134"/>
    <x v="63"/>
    <s v="C1012"/>
    <s v="Vikas"/>
    <s v="Chennai"/>
    <s v="Tamil Nadu"/>
    <x v="1"/>
    <s v="P094"/>
    <s v="Table 94"/>
    <x v="2"/>
    <s v="Table"/>
    <n v="1"/>
    <n v="23948"/>
    <n v="0"/>
    <n v="23948"/>
    <n v="18868.189999999999"/>
    <n v="5079.8100000000004"/>
    <s v="Card"/>
    <s v="Online"/>
    <s v="Pending"/>
    <n v="3"/>
    <s v="Yes"/>
  </r>
  <r>
    <s v="ORD1135"/>
    <x v="156"/>
    <s v="C1229"/>
    <s v="Aman"/>
    <s v="Delhi"/>
    <s v="Delhi"/>
    <x v="2"/>
    <s v="P077"/>
    <s v="Table 77"/>
    <x v="2"/>
    <s v="Table"/>
    <n v="4"/>
    <n v="66221"/>
    <n v="20"/>
    <n v="211907.20000000001"/>
    <n v="161810.63"/>
    <n v="50096.57"/>
    <s v="Card"/>
    <s v="Offline"/>
    <s v="Delivered"/>
    <n v="3"/>
    <s v="Yes"/>
  </r>
  <r>
    <s v="ORD1136"/>
    <x v="112"/>
    <s v="C1208"/>
    <s v="Rahul"/>
    <s v="Mumbai"/>
    <s v="Maharashtra"/>
    <x v="0"/>
    <s v="P091"/>
    <s v="Laptop 91"/>
    <x v="1"/>
    <s v="Laptop"/>
    <n v="5"/>
    <n v="2987"/>
    <n v="20"/>
    <n v="11948"/>
    <n v="9034.8799999999992"/>
    <n v="2913.12"/>
    <s v="Cash"/>
    <s v="Offline"/>
    <s v="Pending"/>
    <n v="3"/>
    <s v="Yes"/>
  </r>
  <r>
    <s v="ORD1137"/>
    <x v="48"/>
    <s v="C1116"/>
    <s v="Rahul"/>
    <s v="Pune"/>
    <s v="Maharashtra"/>
    <x v="0"/>
    <s v="P021"/>
    <s v="Mobile 21"/>
    <x v="1"/>
    <s v="Mobile"/>
    <n v="3"/>
    <n v="74527"/>
    <n v="0"/>
    <n v="223581"/>
    <n v="160105.72"/>
    <n v="63475.28"/>
    <s v="UPI"/>
    <s v="Offline"/>
    <s v="Pending"/>
    <n v="4"/>
    <s v="No"/>
  </r>
  <r>
    <s v="ORD1138"/>
    <x v="89"/>
    <s v="C1177"/>
    <s v="Rahul"/>
    <s v="Pune"/>
    <s v="Maharashtra"/>
    <x v="0"/>
    <s v="P038"/>
    <s v="Mobile 38"/>
    <x v="1"/>
    <s v="Mobile"/>
    <n v="4"/>
    <n v="74208"/>
    <n v="20"/>
    <n v="237465.60000000001"/>
    <n v="210479.65"/>
    <n v="26985.95"/>
    <s v="Card"/>
    <s v="Offline"/>
    <s v="Cancelled"/>
    <n v="4"/>
    <s v="Yes"/>
  </r>
  <r>
    <s v="ORD1139"/>
    <x v="2"/>
    <s v="C1190"/>
    <s v="Karan"/>
    <s v="Mumbai"/>
    <s v="Maharashtra"/>
    <x v="0"/>
    <s v="P097"/>
    <s v="Mobile 97"/>
    <x v="1"/>
    <s v="Mobile"/>
    <n v="3"/>
    <n v="18378"/>
    <n v="5"/>
    <n v="52377.3"/>
    <n v="33682.33"/>
    <n v="18694.97"/>
    <s v="Card"/>
    <s v="Online"/>
    <s v="Delivered"/>
    <n v="5"/>
    <s v="Yes"/>
  </r>
  <r>
    <s v="ORD1140"/>
    <x v="17"/>
    <s v="C1241"/>
    <s v="Karan"/>
    <s v="Delhi"/>
    <s v="Delhi"/>
    <x v="2"/>
    <s v="P034"/>
    <s v="Chair 34"/>
    <x v="2"/>
    <s v="Chair"/>
    <n v="4"/>
    <n v="10198"/>
    <n v="10"/>
    <n v="36712.800000000003"/>
    <n v="28780.6"/>
    <n v="7932.2"/>
    <s v="UPI"/>
    <s v="Offline"/>
    <s v="Delivered"/>
    <n v="3"/>
    <s v="No"/>
  </r>
  <r>
    <s v="ORD1141"/>
    <x v="69"/>
    <s v="C1076"/>
    <s v="Priya"/>
    <s v="Chennai"/>
    <s v="Tamil Nadu"/>
    <x v="1"/>
    <s v="P008"/>
    <s v="Shoes 8"/>
    <x v="0"/>
    <s v="Shoes"/>
    <n v="5"/>
    <n v="6012"/>
    <n v="0"/>
    <n v="30060"/>
    <n v="17464.72"/>
    <n v="12595.28"/>
    <s v="Cash"/>
    <s v="Offline"/>
    <s v="Cancelled"/>
    <n v="2"/>
    <s v="No"/>
  </r>
  <r>
    <s v="ORD1142"/>
    <x v="84"/>
    <s v="C1158"/>
    <s v="Lakshay"/>
    <s v="Mumbai"/>
    <s v="Maharashtra"/>
    <x v="0"/>
    <s v="P028"/>
    <s v="Shoes 28"/>
    <x v="0"/>
    <s v="Shoes"/>
    <n v="4"/>
    <n v="44487"/>
    <n v="20"/>
    <n v="142358.39999999999"/>
    <n v="137499.14000000001"/>
    <n v="4859.26"/>
    <s v="Card"/>
    <s v="Online"/>
    <s v="Cancelled"/>
    <n v="3"/>
    <s v="Yes"/>
  </r>
  <r>
    <s v="ORD1143"/>
    <x v="72"/>
    <s v="C1028"/>
    <s v="Anjali"/>
    <s v="Chennai"/>
    <s v="Tamil Nadu"/>
    <x v="1"/>
    <s v="P056"/>
    <s v="Shoes 56"/>
    <x v="0"/>
    <s v="Shoes"/>
    <n v="5"/>
    <n v="64235"/>
    <n v="20"/>
    <n v="256940"/>
    <n v="250634.37"/>
    <n v="6305.63"/>
    <s v="UPI"/>
    <s v="Offline"/>
    <s v="Delivered"/>
    <n v="4"/>
    <s v="No"/>
  </r>
  <r>
    <s v="ORD1144"/>
    <x v="126"/>
    <s v="C1289"/>
    <s v="Aman"/>
    <s v="Chennai"/>
    <s v="Tamil Nadu"/>
    <x v="1"/>
    <s v="P037"/>
    <s v="Mixer 37"/>
    <x v="3"/>
    <s v="Mixer"/>
    <n v="2"/>
    <n v="8455"/>
    <n v="20"/>
    <n v="13528"/>
    <n v="10213.530000000001"/>
    <n v="3314.47"/>
    <s v="UPI"/>
    <s v="Offline"/>
    <s v="Delivered"/>
    <n v="4"/>
    <s v="No"/>
  </r>
  <r>
    <s v="ORD1145"/>
    <x v="152"/>
    <s v="C1249"/>
    <s v="Aman"/>
    <s v="Chennai"/>
    <s v="Tamil Nadu"/>
    <x v="1"/>
    <s v="P039"/>
    <s v="Shoes 39"/>
    <x v="0"/>
    <s v="Shoes"/>
    <n v="2"/>
    <n v="34120"/>
    <n v="15"/>
    <n v="58004"/>
    <n v="50927.66"/>
    <n v="7076.34"/>
    <s v="Card"/>
    <s v="Offline"/>
    <s v="Delivered"/>
    <n v="5"/>
    <s v="Yes"/>
  </r>
  <r>
    <s v="ORD1146"/>
    <x v="14"/>
    <s v="C1059"/>
    <s v="Vikas"/>
    <s v="Delhi"/>
    <s v="Delhi"/>
    <x v="2"/>
    <s v="P043"/>
    <s v="Mobile 43"/>
    <x v="1"/>
    <s v="Mobile"/>
    <n v="5"/>
    <n v="64633"/>
    <n v="15"/>
    <n v="274690.25"/>
    <n v="252428.17"/>
    <n v="22262.080000000002"/>
    <s v="UPI"/>
    <s v="Online"/>
    <s v="Delivered"/>
    <n v="3"/>
    <s v="Yes"/>
  </r>
  <r>
    <s v="ORD1147"/>
    <x v="7"/>
    <s v="C1277"/>
    <s v="Neha"/>
    <s v="Kolkata"/>
    <s v="West Bengal"/>
    <x v="3"/>
    <s v="P042"/>
    <s v="Table 42"/>
    <x v="2"/>
    <s v="Table"/>
    <n v="4"/>
    <n v="32290"/>
    <n v="0"/>
    <n v="129160"/>
    <n v="89552.19"/>
    <n v="39607.81"/>
    <s v="UPI"/>
    <s v="Offline"/>
    <s v="Pending"/>
    <n v="1"/>
    <s v="No"/>
  </r>
  <r>
    <s v="ORD1148"/>
    <x v="78"/>
    <s v="C1038"/>
    <s v="Anjali"/>
    <s v="Delhi"/>
    <s v="Delhi"/>
    <x v="2"/>
    <s v="P097"/>
    <s v="Mobile 97"/>
    <x v="1"/>
    <s v="Mobile"/>
    <n v="2"/>
    <n v="33433"/>
    <n v="10"/>
    <n v="60179.4"/>
    <n v="47187.97"/>
    <n v="12991.43"/>
    <s v="UPI"/>
    <s v="Online"/>
    <s v="Cancelled"/>
    <n v="1"/>
    <s v="Yes"/>
  </r>
  <r>
    <s v="ORD1149"/>
    <x v="89"/>
    <s v="C1088"/>
    <s v="Priya"/>
    <s v="Jaipur"/>
    <s v="Rajasthan"/>
    <x v="2"/>
    <s v="P063"/>
    <s v="Shoes 63"/>
    <x v="0"/>
    <s v="Shoes"/>
    <n v="4"/>
    <n v="3446"/>
    <n v="5"/>
    <n v="13094.8"/>
    <n v="8844.2000000000007"/>
    <n v="4250.6000000000004"/>
    <s v="Cash"/>
    <s v="Offline"/>
    <s v="Cancelled"/>
    <n v="5"/>
    <s v="Yes"/>
  </r>
  <r>
    <s v="ORD1150"/>
    <x v="126"/>
    <s v="C1055"/>
    <s v="Karan"/>
    <s v="Bengaluru"/>
    <s v="Karnataka"/>
    <x v="1"/>
    <s v="P032"/>
    <s v="Chair 32"/>
    <x v="2"/>
    <s v="Chair"/>
    <n v="2"/>
    <n v="1206"/>
    <n v="15"/>
    <n v="2050.1999999999998"/>
    <n v="1613.47"/>
    <n v="436.73"/>
    <s v="Card"/>
    <s v="Online"/>
    <s v="Cancelled"/>
    <n v="5"/>
    <s v="Yes"/>
  </r>
  <r>
    <s v="ORD1151"/>
    <x v="38"/>
    <s v="C1220"/>
    <s v="Neha"/>
    <s v="Mumbai"/>
    <s v="Maharashtra"/>
    <x v="0"/>
    <s v="P034"/>
    <s v="Chair 34"/>
    <x v="2"/>
    <s v="Chair"/>
    <n v="1"/>
    <n v="44394"/>
    <n v="15"/>
    <n v="37734.9"/>
    <n v="33878.06"/>
    <n v="3856.84"/>
    <s v="UPI"/>
    <s v="Online"/>
    <s v="Delivered"/>
    <n v="2"/>
    <s v="No"/>
  </r>
  <r>
    <s v="ORD1152"/>
    <x v="95"/>
    <s v="C1278"/>
    <s v="Rohit"/>
    <s v="Kolkata"/>
    <s v="West Bengal"/>
    <x v="3"/>
    <s v="P021"/>
    <s v="Mobile 21"/>
    <x v="1"/>
    <s v="Mobile"/>
    <n v="3"/>
    <n v="68743"/>
    <n v="15"/>
    <n v="175294.65"/>
    <n v="169487.85"/>
    <n v="5806.8"/>
    <s v="Card"/>
    <s v="Online"/>
    <s v="Cancelled"/>
    <n v="1"/>
    <s v="No"/>
  </r>
  <r>
    <s v="ORD1153"/>
    <x v="150"/>
    <s v="C1002"/>
    <s v="Rohit"/>
    <s v="Mumbai"/>
    <s v="Maharashtra"/>
    <x v="0"/>
    <s v="P042"/>
    <s v="Table 42"/>
    <x v="2"/>
    <s v="Table"/>
    <n v="5"/>
    <n v="79634"/>
    <n v="15"/>
    <n v="338444.5"/>
    <n v="334899.27"/>
    <n v="3545.23"/>
    <s v="UPI"/>
    <s v="Offline"/>
    <s v="Pending"/>
    <n v="3"/>
    <s v="Yes"/>
  </r>
  <r>
    <s v="ORD1154"/>
    <x v="39"/>
    <s v="C1148"/>
    <s v="Anjali"/>
    <s v="Jaipur"/>
    <s v="Rajasthan"/>
    <x v="2"/>
    <s v="P096"/>
    <s v="Chair 96"/>
    <x v="2"/>
    <s v="Chair"/>
    <n v="1"/>
    <n v="59607"/>
    <n v="5"/>
    <n v="56626.65"/>
    <n v="43949.97"/>
    <n v="12676.68"/>
    <s v="UPI"/>
    <s v="Online"/>
    <s v="Cancelled"/>
    <n v="3"/>
    <s v="No"/>
  </r>
  <r>
    <s v="ORD1155"/>
    <x v="43"/>
    <s v="C1142"/>
    <s v="Vikas"/>
    <s v="Jaipur"/>
    <s v="Rajasthan"/>
    <x v="2"/>
    <s v="P037"/>
    <s v="Mixer 37"/>
    <x v="3"/>
    <s v="Mixer"/>
    <n v="2"/>
    <n v="18175"/>
    <n v="5"/>
    <n v="34532.5"/>
    <n v="24274.67"/>
    <n v="10257.83"/>
    <s v="Cash"/>
    <s v="Online"/>
    <s v="Delivered"/>
    <n v="4"/>
    <s v="No"/>
  </r>
  <r>
    <s v="ORD1156"/>
    <x v="43"/>
    <s v="C1224"/>
    <s v="Priya"/>
    <s v="Chennai"/>
    <s v="Tamil Nadu"/>
    <x v="1"/>
    <s v="P070"/>
    <s v="Laptop 70"/>
    <x v="1"/>
    <s v="Laptop"/>
    <n v="2"/>
    <n v="63033"/>
    <n v="15"/>
    <n v="107156.1"/>
    <n v="95281.76"/>
    <n v="11874.34"/>
    <s v="Card"/>
    <s v="Online"/>
    <s v="Pending"/>
    <n v="1"/>
    <s v="Yes"/>
  </r>
  <r>
    <s v="ORD1157"/>
    <x v="85"/>
    <s v="C1090"/>
    <s v="Vikas"/>
    <s v="Mumbai"/>
    <s v="Maharashtra"/>
    <x v="0"/>
    <s v="P054"/>
    <s v="Mixer 54"/>
    <x v="3"/>
    <s v="Mixer"/>
    <n v="5"/>
    <n v="68112"/>
    <n v="15"/>
    <n v="289476"/>
    <n v="235308.56"/>
    <n v="54167.44"/>
    <s v="Cash"/>
    <s v="Online"/>
    <s v="Pending"/>
    <n v="5"/>
    <s v="Yes"/>
  </r>
  <r>
    <s v="ORD1158"/>
    <x v="135"/>
    <s v="C1299"/>
    <s v="Aman"/>
    <s v="Delhi"/>
    <s v="Delhi"/>
    <x v="2"/>
    <s v="P025"/>
    <s v="Shoes 25"/>
    <x v="0"/>
    <s v="Shoes"/>
    <n v="5"/>
    <n v="42875"/>
    <n v="15"/>
    <n v="182218.75"/>
    <n v="157649.88"/>
    <n v="24568.87"/>
    <s v="Card"/>
    <s v="Offline"/>
    <s v="Cancelled"/>
    <n v="1"/>
    <s v="Yes"/>
  </r>
  <r>
    <s v="ORD1159"/>
    <x v="150"/>
    <s v="C1103"/>
    <s v="Rahul"/>
    <s v="Jaipur"/>
    <s v="Rajasthan"/>
    <x v="2"/>
    <s v="P002"/>
    <s v="Laptop 2"/>
    <x v="1"/>
    <s v="Laptop"/>
    <n v="5"/>
    <n v="65345"/>
    <n v="0"/>
    <n v="326725"/>
    <n v="270612.17"/>
    <n v="56112.83"/>
    <s v="Cash"/>
    <s v="Online"/>
    <s v="Pending"/>
    <n v="2"/>
    <s v="Yes"/>
  </r>
  <r>
    <s v="ORD1160"/>
    <x v="32"/>
    <s v="C1038"/>
    <s v="Rahul"/>
    <s v="Pune"/>
    <s v="Maharashtra"/>
    <x v="0"/>
    <s v="P073"/>
    <s v="Mixer 73"/>
    <x v="3"/>
    <s v="Mixer"/>
    <n v="4"/>
    <n v="32257"/>
    <n v="0"/>
    <n v="129028"/>
    <n v="71133.08"/>
    <n v="57894.92"/>
    <s v="UPI"/>
    <s v="Online"/>
    <s v="Cancelled"/>
    <n v="2"/>
    <s v="No"/>
  </r>
  <r>
    <s v="ORD1161"/>
    <x v="172"/>
    <s v="C1230"/>
    <s v="Neha"/>
    <s v="Bengaluru"/>
    <s v="Karnataka"/>
    <x v="1"/>
    <s v="P080"/>
    <s v="Shoes 80"/>
    <x v="0"/>
    <s v="Shoes"/>
    <n v="3"/>
    <n v="50263"/>
    <n v="10"/>
    <n v="135710.1"/>
    <n v="89271.62"/>
    <n v="46438.48"/>
    <s v="UPI"/>
    <s v="Offline"/>
    <s v="Pending"/>
    <n v="3"/>
    <s v="No"/>
  </r>
  <r>
    <s v="ORD1162"/>
    <x v="126"/>
    <s v="C1287"/>
    <s v="Priya"/>
    <s v="Jaipur"/>
    <s v="Rajasthan"/>
    <x v="2"/>
    <s v="P014"/>
    <s v="Mixer 14"/>
    <x v="3"/>
    <s v="Mixer"/>
    <n v="4"/>
    <n v="59972"/>
    <n v="15"/>
    <n v="203904.8"/>
    <n v="157249.4"/>
    <n v="46655.4"/>
    <s v="Card"/>
    <s v="Offline"/>
    <s v="Delivered"/>
    <n v="5"/>
    <s v="No"/>
  </r>
  <r>
    <s v="ORD1163"/>
    <x v="97"/>
    <s v="C1103"/>
    <s v="Karan"/>
    <s v="Jaipur"/>
    <s v="Rajasthan"/>
    <x v="2"/>
    <s v="P046"/>
    <s v="Laptop 46"/>
    <x v="1"/>
    <s v="Laptop"/>
    <n v="4"/>
    <n v="45410"/>
    <n v="0"/>
    <n v="181640"/>
    <n v="112973.83"/>
    <n v="68666.17"/>
    <s v="UPI"/>
    <s v="Online"/>
    <s v="Delivered"/>
    <n v="1"/>
    <s v="Yes"/>
  </r>
  <r>
    <s v="ORD1164"/>
    <x v="155"/>
    <s v="C1222"/>
    <s v="Neha"/>
    <s v="Pune"/>
    <s v="Maharashtra"/>
    <x v="0"/>
    <s v="P054"/>
    <s v="Mixer 54"/>
    <x v="3"/>
    <s v="Mixer"/>
    <n v="2"/>
    <n v="5025"/>
    <n v="15"/>
    <n v="8542.5"/>
    <n v="8002.76"/>
    <n v="539.74"/>
    <s v="Cash"/>
    <s v="Offline"/>
    <s v="Pending"/>
    <n v="2"/>
    <s v="No"/>
  </r>
  <r>
    <s v="ORD1165"/>
    <x v="11"/>
    <s v="C1204"/>
    <s v="Rahul"/>
    <s v="Pune"/>
    <s v="Maharashtra"/>
    <x v="0"/>
    <s v="P065"/>
    <s v="Mobile 65"/>
    <x v="1"/>
    <s v="Mobile"/>
    <n v="1"/>
    <n v="21520"/>
    <n v="15"/>
    <n v="18292"/>
    <n v="12704.63"/>
    <n v="5587.37"/>
    <s v="Card"/>
    <s v="Online"/>
    <s v="Pending"/>
    <n v="1"/>
    <s v="No"/>
  </r>
  <r>
    <s v="ORD1166"/>
    <x v="159"/>
    <s v="C1261"/>
    <s v="Rohit"/>
    <s v="Delhi"/>
    <s v="Delhi"/>
    <x v="2"/>
    <s v="P053"/>
    <s v="Laptop 53"/>
    <x v="1"/>
    <s v="Laptop"/>
    <n v="1"/>
    <n v="13896"/>
    <n v="15"/>
    <n v="11811.6"/>
    <n v="10969.58"/>
    <n v="842.02"/>
    <s v="Cash"/>
    <s v="Offline"/>
    <s v="Pending"/>
    <n v="1"/>
    <s v="No"/>
  </r>
  <r>
    <s v="ORD1167"/>
    <x v="136"/>
    <s v="C1044"/>
    <s v="Neha"/>
    <s v="Delhi"/>
    <s v="Delhi"/>
    <x v="2"/>
    <s v="P027"/>
    <s v="Chair 27"/>
    <x v="2"/>
    <s v="Chair"/>
    <n v="3"/>
    <n v="57106"/>
    <n v="20"/>
    <n v="137054.39999999999"/>
    <n v="107154.12"/>
    <n v="29900.28"/>
    <s v="Cash"/>
    <s v="Online"/>
    <s v="Cancelled"/>
    <n v="1"/>
    <s v="Yes"/>
  </r>
  <r>
    <s v="ORD1168"/>
    <x v="54"/>
    <s v="C1239"/>
    <s v="Sneha"/>
    <s v="Kolkata"/>
    <s v="West Bengal"/>
    <x v="3"/>
    <s v="P026"/>
    <s v="Table 26"/>
    <x v="2"/>
    <s v="Table"/>
    <n v="1"/>
    <n v="60864"/>
    <n v="15"/>
    <n v="51734.400000000001"/>
    <n v="41273.21"/>
    <n v="10461.19"/>
    <s v="UPI"/>
    <s v="Offline"/>
    <s v="Pending"/>
    <n v="3"/>
    <s v="Yes"/>
  </r>
  <r>
    <s v="ORD1169"/>
    <x v="126"/>
    <s v="C1139"/>
    <s v="Aman"/>
    <s v="Delhi"/>
    <s v="Delhi"/>
    <x v="2"/>
    <s v="P061"/>
    <s v="Mobile 61"/>
    <x v="1"/>
    <s v="Mobile"/>
    <n v="3"/>
    <n v="57453"/>
    <n v="20"/>
    <n v="137887.20000000001"/>
    <n v="108609.28"/>
    <n v="29277.919999999998"/>
    <s v="UPI"/>
    <s v="Offline"/>
    <s v="Delivered"/>
    <n v="2"/>
    <s v="No"/>
  </r>
  <r>
    <s v="ORD1170"/>
    <x v="34"/>
    <s v="C1195"/>
    <s v="Lakshay"/>
    <s v="Kolkata"/>
    <s v="West Bengal"/>
    <x v="3"/>
    <s v="P008"/>
    <s v="Shoes 8"/>
    <x v="0"/>
    <s v="Shoes"/>
    <n v="3"/>
    <n v="67122"/>
    <n v="5"/>
    <n v="191297.7"/>
    <n v="148709.26"/>
    <n v="42588.44"/>
    <s v="UPI"/>
    <s v="Online"/>
    <s v="Pending"/>
    <n v="5"/>
    <s v="Yes"/>
  </r>
  <r>
    <s v="ORD1171"/>
    <x v="112"/>
    <s v="C1262"/>
    <s v="Sneha"/>
    <s v="Bengaluru"/>
    <s v="Karnataka"/>
    <x v="1"/>
    <s v="P040"/>
    <s v="Chair 40"/>
    <x v="2"/>
    <s v="Chair"/>
    <n v="4"/>
    <n v="57377"/>
    <n v="20"/>
    <n v="183606.39999999999"/>
    <n v="163747.04999999999"/>
    <n v="19859.349999999999"/>
    <s v="Card"/>
    <s v="Online"/>
    <s v="Pending"/>
    <n v="3"/>
    <s v="Yes"/>
  </r>
  <r>
    <s v="ORD1172"/>
    <x v="79"/>
    <s v="C1025"/>
    <s v="Vikas"/>
    <s v="Chennai"/>
    <s v="Tamil Nadu"/>
    <x v="1"/>
    <s v="P093"/>
    <s v="Shoes 93"/>
    <x v="0"/>
    <s v="Shoes"/>
    <n v="3"/>
    <n v="14472"/>
    <n v="5"/>
    <n v="41245.199999999997"/>
    <n v="35995.51"/>
    <n v="5249.69"/>
    <s v="Cash"/>
    <s v="Online"/>
    <s v="Pending"/>
    <n v="1"/>
    <s v="Yes"/>
  </r>
  <r>
    <s v="ORD1173"/>
    <x v="123"/>
    <s v="C1066"/>
    <s v="Aman"/>
    <s v="Bengaluru"/>
    <s v="Karnataka"/>
    <x v="1"/>
    <s v="P086"/>
    <s v="Mobile 86"/>
    <x v="1"/>
    <s v="Mobile"/>
    <n v="4"/>
    <n v="61803"/>
    <n v="0"/>
    <n v="247212"/>
    <n v="170169.39"/>
    <n v="77042.61"/>
    <s v="Card"/>
    <s v="Online"/>
    <s v="Delivered"/>
    <n v="2"/>
    <s v="Yes"/>
  </r>
  <r>
    <s v="ORD1174"/>
    <x v="79"/>
    <s v="C1137"/>
    <s v="Neha"/>
    <s v="Pune"/>
    <s v="Maharashtra"/>
    <x v="0"/>
    <s v="P059"/>
    <s v="Laptop 59"/>
    <x v="1"/>
    <s v="Laptop"/>
    <n v="5"/>
    <n v="19156"/>
    <n v="20"/>
    <n v="76624"/>
    <n v="66236.649999999994"/>
    <n v="10387.35"/>
    <s v="Cash"/>
    <s v="Offline"/>
    <s v="Cancelled"/>
    <n v="1"/>
    <s v="Yes"/>
  </r>
  <r>
    <s v="ORD1175"/>
    <x v="105"/>
    <s v="C1027"/>
    <s v="Aman"/>
    <s v="Chennai"/>
    <s v="Tamil Nadu"/>
    <x v="1"/>
    <s v="P039"/>
    <s v="Shoes 39"/>
    <x v="0"/>
    <s v="Shoes"/>
    <n v="3"/>
    <n v="22523"/>
    <n v="20"/>
    <n v="54055.199999999997"/>
    <n v="42996.22"/>
    <n v="11058.98"/>
    <s v="UPI"/>
    <s v="Offline"/>
    <s v="Cancelled"/>
    <n v="2"/>
    <s v="No"/>
  </r>
  <r>
    <s v="ORD1176"/>
    <x v="56"/>
    <s v="C1137"/>
    <s v="Neha"/>
    <s v="Pune"/>
    <s v="Maharashtra"/>
    <x v="0"/>
    <s v="P088"/>
    <s v="Mobile 88"/>
    <x v="1"/>
    <s v="Mobile"/>
    <n v="2"/>
    <n v="76644"/>
    <n v="15"/>
    <n v="130294.8"/>
    <n v="126209.95"/>
    <n v="4084.85"/>
    <s v="Cash"/>
    <s v="Offline"/>
    <s v="Cancelled"/>
    <n v="4"/>
    <s v="No"/>
  </r>
  <r>
    <s v="ORD1177"/>
    <x v="42"/>
    <s v="C1201"/>
    <s v="Priya"/>
    <s v="Kolkata"/>
    <s v="West Bengal"/>
    <x v="3"/>
    <s v="P047"/>
    <s v="Table 47"/>
    <x v="2"/>
    <s v="Table"/>
    <n v="5"/>
    <n v="39943"/>
    <n v="15"/>
    <n v="169757.75"/>
    <n v="121680.99"/>
    <n v="48076.76"/>
    <s v="Cash"/>
    <s v="Online"/>
    <s v="Cancelled"/>
    <n v="3"/>
    <s v="Yes"/>
  </r>
  <r>
    <s v="ORD1178"/>
    <x v="142"/>
    <s v="C1066"/>
    <s v="Sneha"/>
    <s v="Pune"/>
    <s v="Maharashtra"/>
    <x v="0"/>
    <s v="P046"/>
    <s v="Laptop 46"/>
    <x v="1"/>
    <s v="Laptop"/>
    <n v="1"/>
    <n v="37413"/>
    <n v="0"/>
    <n v="37413"/>
    <n v="25744.17"/>
    <n v="11668.83"/>
    <s v="UPI"/>
    <s v="Offline"/>
    <s v="Pending"/>
    <n v="5"/>
    <s v="No"/>
  </r>
  <r>
    <s v="ORD1179"/>
    <x v="163"/>
    <s v="C1084"/>
    <s v="Rohit"/>
    <s v="Jaipur"/>
    <s v="Rajasthan"/>
    <x v="2"/>
    <s v="P013"/>
    <s v="Chair 13"/>
    <x v="2"/>
    <s v="Chair"/>
    <n v="5"/>
    <n v="65982"/>
    <n v="5"/>
    <n v="313414.5"/>
    <n v="203753.44"/>
    <n v="109661.06"/>
    <s v="Card"/>
    <s v="Online"/>
    <s v="Delivered"/>
    <n v="3"/>
    <s v="No"/>
  </r>
  <r>
    <s v="ORD1180"/>
    <x v="103"/>
    <s v="C1073"/>
    <s v="Rohit"/>
    <s v="Mumbai"/>
    <s v="Maharashtra"/>
    <x v="0"/>
    <s v="P021"/>
    <s v="Mobile 21"/>
    <x v="1"/>
    <s v="Mobile"/>
    <n v="4"/>
    <n v="79758"/>
    <n v="10"/>
    <n v="287128.8"/>
    <n v="205344.97"/>
    <n v="81783.83"/>
    <s v="Cash"/>
    <s v="Offline"/>
    <s v="Delivered"/>
    <n v="5"/>
    <s v="No"/>
  </r>
  <r>
    <s v="ORD1181"/>
    <x v="168"/>
    <s v="C1083"/>
    <s v="Sneha"/>
    <s v="Jaipur"/>
    <s v="Rajasthan"/>
    <x v="2"/>
    <s v="P023"/>
    <s v="Mobile 23"/>
    <x v="1"/>
    <s v="Mobile"/>
    <n v="3"/>
    <n v="51522"/>
    <n v="15"/>
    <n v="131381.1"/>
    <n v="111487.21"/>
    <n v="19893.89"/>
    <s v="UPI"/>
    <s v="Offline"/>
    <s v="Pending"/>
    <n v="5"/>
    <s v="Yes"/>
  </r>
  <r>
    <s v="ORD1182"/>
    <x v="135"/>
    <s v="C1095"/>
    <s v="Anjali"/>
    <s v="Bengaluru"/>
    <s v="Karnataka"/>
    <x v="1"/>
    <s v="P042"/>
    <s v="Table 42"/>
    <x v="2"/>
    <s v="Table"/>
    <n v="3"/>
    <n v="57254"/>
    <n v="10"/>
    <n v="154585.79999999999"/>
    <n v="113337.83"/>
    <n v="41247.97"/>
    <s v="UPI"/>
    <s v="Offline"/>
    <s v="Delivered"/>
    <n v="5"/>
    <s v="Yes"/>
  </r>
  <r>
    <s v="ORD1183"/>
    <x v="122"/>
    <s v="C1160"/>
    <s v="Priya"/>
    <s v="Chennai"/>
    <s v="Tamil Nadu"/>
    <x v="1"/>
    <s v="P003"/>
    <s v="Mixer 3"/>
    <x v="3"/>
    <s v="Mixer"/>
    <n v="5"/>
    <n v="34943"/>
    <n v="15"/>
    <n v="148507.75"/>
    <n v="141221.88"/>
    <n v="7285.87"/>
    <s v="UPI"/>
    <s v="Offline"/>
    <s v="Pending"/>
    <n v="3"/>
    <s v="No"/>
  </r>
  <r>
    <s v="ORD1184"/>
    <x v="78"/>
    <s v="C1136"/>
    <s v="Rahul"/>
    <s v="Bengaluru"/>
    <s v="Karnataka"/>
    <x v="1"/>
    <s v="P060"/>
    <s v="Mixer 60"/>
    <x v="3"/>
    <s v="Mixer"/>
    <n v="3"/>
    <n v="62185"/>
    <n v="20"/>
    <n v="149244"/>
    <n v="103938.86"/>
    <n v="45305.14"/>
    <s v="Card"/>
    <s v="Online"/>
    <s v="Pending"/>
    <n v="5"/>
    <s v="No"/>
  </r>
  <r>
    <s v="ORD1185"/>
    <x v="4"/>
    <s v="C1058"/>
    <s v="Rohit"/>
    <s v="Kolkata"/>
    <s v="West Bengal"/>
    <x v="3"/>
    <s v="P027"/>
    <s v="Chair 27"/>
    <x v="2"/>
    <s v="Chair"/>
    <n v="4"/>
    <n v="7837"/>
    <n v="20"/>
    <n v="25078.400000000001"/>
    <n v="24588"/>
    <n v="490.4"/>
    <s v="Card"/>
    <s v="Online"/>
    <s v="Delivered"/>
    <n v="2"/>
    <s v="Yes"/>
  </r>
  <r>
    <s v="ORD1186"/>
    <x v="142"/>
    <s v="C1217"/>
    <s v="Aman"/>
    <s v="Kolkata"/>
    <s v="West Bengal"/>
    <x v="3"/>
    <s v="P071"/>
    <s v="Mobile 71"/>
    <x v="1"/>
    <s v="Mobile"/>
    <n v="5"/>
    <n v="15033"/>
    <n v="15"/>
    <n v="63890.25"/>
    <n v="43263.01"/>
    <n v="20627.240000000002"/>
    <s v="UPI"/>
    <s v="Offline"/>
    <s v="Pending"/>
    <n v="3"/>
    <s v="No"/>
  </r>
  <r>
    <s v="ORD1187"/>
    <x v="91"/>
    <s v="C1203"/>
    <s v="Anjali"/>
    <s v="Pune"/>
    <s v="Maharashtra"/>
    <x v="0"/>
    <s v="P091"/>
    <s v="Laptop 91"/>
    <x v="1"/>
    <s v="Laptop"/>
    <n v="1"/>
    <n v="32547"/>
    <n v="15"/>
    <n v="27664.95"/>
    <n v="22352.29"/>
    <n v="5312.66"/>
    <s v="Cash"/>
    <s v="Online"/>
    <s v="Delivered"/>
    <n v="4"/>
    <s v="Yes"/>
  </r>
  <r>
    <s v="ORD1188"/>
    <x v="100"/>
    <s v="C1105"/>
    <s v="Anjali"/>
    <s v="Delhi"/>
    <s v="Delhi"/>
    <x v="2"/>
    <s v="P047"/>
    <s v="Table 47"/>
    <x v="2"/>
    <s v="Table"/>
    <n v="2"/>
    <n v="58731"/>
    <n v="5"/>
    <n v="111588.9"/>
    <n v="77763.5"/>
    <n v="33825.4"/>
    <s v="UPI"/>
    <s v="Offline"/>
    <s v="Delivered"/>
    <n v="4"/>
    <s v="Yes"/>
  </r>
  <r>
    <s v="ORD1189"/>
    <x v="154"/>
    <s v="C1260"/>
    <s v="Sneha"/>
    <s v="Chennai"/>
    <s v="Tamil Nadu"/>
    <x v="1"/>
    <s v="P016"/>
    <s v="Chair 16"/>
    <x v="2"/>
    <s v="Chair"/>
    <n v="5"/>
    <n v="14682"/>
    <n v="0"/>
    <n v="73410"/>
    <n v="61805.81"/>
    <n v="11604.19"/>
    <s v="Card"/>
    <s v="Online"/>
    <s v="Pending"/>
    <n v="2"/>
    <s v="Yes"/>
  </r>
  <r>
    <s v="ORD1190"/>
    <x v="49"/>
    <s v="C1020"/>
    <s v="Rohit"/>
    <s v="Pune"/>
    <s v="Maharashtra"/>
    <x v="0"/>
    <s v="P075"/>
    <s v="Mixer 75"/>
    <x v="3"/>
    <s v="Mixer"/>
    <n v="3"/>
    <n v="10882"/>
    <n v="5"/>
    <n v="31013.7"/>
    <n v="26699.9"/>
    <n v="4313.8"/>
    <s v="UPI"/>
    <s v="Online"/>
    <s v="Delivered"/>
    <n v="4"/>
    <s v="Yes"/>
  </r>
  <r>
    <s v="ORD1191"/>
    <x v="131"/>
    <s v="C1095"/>
    <s v="Rohit"/>
    <s v="Delhi"/>
    <s v="Delhi"/>
    <x v="2"/>
    <s v="P098"/>
    <s v="Mobile 98"/>
    <x v="1"/>
    <s v="Mobile"/>
    <n v="4"/>
    <n v="14023"/>
    <n v="15"/>
    <n v="47678.2"/>
    <n v="33636.14"/>
    <n v="14042.06"/>
    <s v="Card"/>
    <s v="Online"/>
    <s v="Delivered"/>
    <n v="3"/>
    <s v="No"/>
  </r>
  <r>
    <s v="ORD1192"/>
    <x v="115"/>
    <s v="C1259"/>
    <s v="Karan"/>
    <s v="Kolkata"/>
    <s v="West Bengal"/>
    <x v="3"/>
    <s v="P071"/>
    <s v="Mobile 71"/>
    <x v="1"/>
    <s v="Mobile"/>
    <n v="5"/>
    <n v="50219"/>
    <n v="5"/>
    <n v="238540.25"/>
    <n v="168874.69"/>
    <n v="69665.56"/>
    <s v="UPI"/>
    <s v="Offline"/>
    <s v="Delivered"/>
    <n v="4"/>
    <s v="Yes"/>
  </r>
  <r>
    <s v="ORD1193"/>
    <x v="123"/>
    <s v="C1272"/>
    <s v="Rohit"/>
    <s v="Delhi"/>
    <s v="Delhi"/>
    <x v="2"/>
    <s v="P074"/>
    <s v="Mixer 74"/>
    <x v="3"/>
    <s v="Mixer"/>
    <n v="3"/>
    <n v="43798"/>
    <n v="0"/>
    <n v="131394"/>
    <n v="73659.929999999993"/>
    <n v="57734.07"/>
    <s v="Card"/>
    <s v="Online"/>
    <s v="Cancelled"/>
    <n v="5"/>
    <s v="No"/>
  </r>
  <r>
    <s v="ORD1194"/>
    <x v="128"/>
    <s v="C1212"/>
    <s v="Rohit"/>
    <s v="Bengaluru"/>
    <s v="Karnataka"/>
    <x v="1"/>
    <s v="P071"/>
    <s v="Mobile 71"/>
    <x v="1"/>
    <s v="Mobile"/>
    <n v="5"/>
    <n v="79423"/>
    <n v="20"/>
    <n v="317692"/>
    <n v="319768.7"/>
    <n v="-2076.6999999999998"/>
    <s v="Card"/>
    <s v="Offline"/>
    <s v="Delivered"/>
    <n v="3"/>
    <s v="No"/>
  </r>
  <r>
    <s v="ORD1195"/>
    <x v="152"/>
    <s v="C1088"/>
    <s v="Rohit"/>
    <s v="Chennai"/>
    <s v="Tamil Nadu"/>
    <x v="1"/>
    <s v="P050"/>
    <s v="Chair 50"/>
    <x v="2"/>
    <s v="Chair"/>
    <n v="1"/>
    <n v="13622"/>
    <n v="0"/>
    <n v="13622"/>
    <n v="9081.19"/>
    <n v="4540.8100000000004"/>
    <s v="Cash"/>
    <s v="Offline"/>
    <s v="Pending"/>
    <n v="5"/>
    <s v="Yes"/>
  </r>
  <r>
    <s v="ORD1196"/>
    <x v="95"/>
    <s v="C1284"/>
    <s v="Rohit"/>
    <s v="Mumbai"/>
    <s v="Maharashtra"/>
    <x v="0"/>
    <s v="P068"/>
    <s v="Mobile 68"/>
    <x v="1"/>
    <s v="Mobile"/>
    <n v="1"/>
    <n v="27948"/>
    <n v="5"/>
    <n v="26550.6"/>
    <n v="17469.2"/>
    <n v="9081.4"/>
    <s v="Card"/>
    <s v="Offline"/>
    <s v="Cancelled"/>
    <n v="2"/>
    <s v="No"/>
  </r>
  <r>
    <s v="ORD1197"/>
    <x v="27"/>
    <s v="C1002"/>
    <s v="Neha"/>
    <s v="Jaipur"/>
    <s v="Rajasthan"/>
    <x v="2"/>
    <s v="P009"/>
    <s v="Laptop 9"/>
    <x v="1"/>
    <s v="Laptop"/>
    <n v="4"/>
    <n v="57050"/>
    <n v="20"/>
    <n v="182560"/>
    <n v="159982.37"/>
    <n v="22577.63"/>
    <s v="Card"/>
    <s v="Online"/>
    <s v="Cancelled"/>
    <n v="1"/>
    <s v="No"/>
  </r>
  <r>
    <s v="ORD1198"/>
    <x v="177"/>
    <s v="C1215"/>
    <s v="Lakshay"/>
    <s v="Bengaluru"/>
    <s v="Karnataka"/>
    <x v="1"/>
    <s v="P059"/>
    <s v="Laptop 59"/>
    <x v="1"/>
    <s v="Laptop"/>
    <n v="3"/>
    <n v="19319"/>
    <n v="20"/>
    <n v="46365.599999999999"/>
    <n v="46184.65"/>
    <n v="180.95"/>
    <s v="UPI"/>
    <s v="Offline"/>
    <s v="Pending"/>
    <n v="2"/>
    <s v="No"/>
  </r>
  <r>
    <s v="ORD1199"/>
    <x v="139"/>
    <s v="C1194"/>
    <s v="Aman"/>
    <s v="Jaipur"/>
    <s v="Rajasthan"/>
    <x v="2"/>
    <s v="P014"/>
    <s v="Mixer 14"/>
    <x v="3"/>
    <s v="Mixer"/>
    <n v="5"/>
    <n v="68721"/>
    <n v="15"/>
    <n v="292064.25"/>
    <n v="204905.87"/>
    <n v="87158.38"/>
    <s v="Card"/>
    <s v="Online"/>
    <s v="Delivered"/>
    <n v="3"/>
    <s v="Yes"/>
  </r>
  <r>
    <s v="ORD1200"/>
    <x v="60"/>
    <s v="C1293"/>
    <s v="Sneha"/>
    <s v="Bengaluru"/>
    <s v="Karnataka"/>
    <x v="1"/>
    <s v="P096"/>
    <s v="Chair 96"/>
    <x v="2"/>
    <s v="Chair"/>
    <n v="3"/>
    <n v="39370"/>
    <n v="0"/>
    <n v="118110"/>
    <n v="87927.97"/>
    <n v="30182.03"/>
    <s v="Cash"/>
    <s v="Online"/>
    <s v="Pending"/>
    <n v="3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P098"/>
    <s v="Mobile 98"/>
    <x v="0"/>
    <s v="Bengaluru WH"/>
    <x v="0"/>
    <n v="363"/>
    <n v="271"/>
    <n v="92"/>
    <n v="59"/>
    <n v="42832"/>
    <n v="57854.66"/>
    <n v="3940544"/>
    <n v="3"/>
    <n v="11"/>
    <n v="4.5999999999999996"/>
    <d v="2026-04-13T00:00:00"/>
    <x v="0"/>
  </r>
  <r>
    <s v="P068"/>
    <s v="Mobile 68"/>
    <x v="0"/>
    <s v="Kolkata WH"/>
    <x v="1"/>
    <n v="448"/>
    <n v="178"/>
    <n v="270"/>
    <n v="22"/>
    <n v="4514"/>
    <n v="5745.92"/>
    <n v="1218780"/>
    <n v="0"/>
    <n v="2"/>
    <n v="3.8"/>
    <d v="2026-04-26T00:00:00"/>
    <x v="0"/>
  </r>
  <r>
    <s v="P009"/>
    <s v="Laptop 9"/>
    <x v="0"/>
    <s v="Delhi WH"/>
    <x v="0"/>
    <n v="207"/>
    <n v="127"/>
    <n v="80"/>
    <n v="36"/>
    <n v="32455"/>
    <n v="38631.24"/>
    <n v="2596400"/>
    <n v="0"/>
    <n v="9"/>
    <n v="4.0999999999999996"/>
    <d v="2026-04-11T00:00:00"/>
    <x v="0"/>
  </r>
  <r>
    <s v="P013"/>
    <s v="Chair 13"/>
    <x v="1"/>
    <s v="Kolkata WH"/>
    <x v="2"/>
    <n v="426"/>
    <n v="81"/>
    <n v="345"/>
    <n v="78"/>
    <n v="12395"/>
    <n v="16958.490000000002"/>
    <n v="4276275"/>
    <n v="5"/>
    <n v="11"/>
    <n v="4.9000000000000004"/>
    <d v="2026-06-11T00:00:00"/>
    <x v="0"/>
  </r>
  <r>
    <s v="P024"/>
    <s v="Laptop 24"/>
    <x v="0"/>
    <s v="Mumbai WH"/>
    <x v="3"/>
    <n v="427"/>
    <n v="396"/>
    <n v="31"/>
    <n v="73"/>
    <n v="37043"/>
    <n v="49540.32"/>
    <n v="1148333"/>
    <n v="4"/>
    <n v="9"/>
    <n v="4.2"/>
    <d v="2026-05-02T00:00:00"/>
    <x v="1"/>
  </r>
  <r>
    <s v="P062"/>
    <s v="Mixer 62"/>
    <x v="2"/>
    <s v="Kolkata WH"/>
    <x v="0"/>
    <n v="80"/>
    <n v="26"/>
    <n v="54"/>
    <n v="40"/>
    <n v="32165"/>
    <n v="39372.370000000003"/>
    <n v="1736910"/>
    <n v="2"/>
    <n v="9"/>
    <n v="3.8"/>
    <d v="2026-03-18T00:00:00"/>
    <x v="0"/>
  </r>
  <r>
    <s v="P013"/>
    <s v="Chair 13"/>
    <x v="1"/>
    <s v="Kolkata WH"/>
    <x v="0"/>
    <n v="155"/>
    <n v="123"/>
    <n v="32"/>
    <n v="38"/>
    <n v="1904"/>
    <n v="2496.8000000000002"/>
    <n v="60928"/>
    <n v="1"/>
    <n v="7"/>
    <n v="4.0999999999999996"/>
    <d v="2026-01-29T00:00:00"/>
    <x v="1"/>
  </r>
  <r>
    <s v="P075"/>
    <s v="Mixer 75"/>
    <x v="2"/>
    <s v="Bengaluru WH"/>
    <x v="2"/>
    <n v="55"/>
    <n v="35"/>
    <n v="20"/>
    <n v="71"/>
    <n v="42026"/>
    <n v="57778.29"/>
    <n v="840520"/>
    <n v="4"/>
    <n v="11"/>
    <n v="3.7"/>
    <d v="2026-01-23T00:00:00"/>
    <x v="1"/>
  </r>
  <r>
    <s v="P002"/>
    <s v="Laptop 2"/>
    <x v="0"/>
    <s v="Kolkata WH"/>
    <x v="2"/>
    <n v="422"/>
    <n v="149"/>
    <n v="273"/>
    <n v="45"/>
    <n v="41324"/>
    <n v="50082.01"/>
    <n v="11281452"/>
    <n v="5"/>
    <n v="13"/>
    <n v="4.3"/>
    <d v="2026-02-10T00:00:00"/>
    <x v="0"/>
  </r>
  <r>
    <s v="P084"/>
    <s v="Laptop 84"/>
    <x v="0"/>
    <s v="Mumbai WH"/>
    <x v="3"/>
    <n v="416"/>
    <n v="284"/>
    <n v="132"/>
    <n v="26"/>
    <n v="57705"/>
    <n v="80288.509999999995"/>
    <n v="7617060"/>
    <n v="5"/>
    <n v="10"/>
    <n v="4.0999999999999996"/>
    <d v="2026-02-11T00:00:00"/>
    <x v="0"/>
  </r>
  <r>
    <s v="P041"/>
    <s v="Table 41"/>
    <x v="1"/>
    <s v="Bengaluru WH"/>
    <x v="1"/>
    <n v="459"/>
    <n v="55"/>
    <n v="404"/>
    <n v="78"/>
    <n v="42217"/>
    <n v="46889.79"/>
    <n v="17055668"/>
    <n v="0"/>
    <n v="5"/>
    <n v="4.5999999999999996"/>
    <d v="2026-06-06T00:00:00"/>
    <x v="0"/>
  </r>
  <r>
    <s v="P073"/>
    <s v="Mixer 73"/>
    <x v="2"/>
    <s v="Kolkata WH"/>
    <x v="0"/>
    <n v="383"/>
    <n v="111"/>
    <n v="272"/>
    <n v="66"/>
    <n v="37010"/>
    <n v="48211.33"/>
    <n v="10066720"/>
    <n v="0"/>
    <n v="12"/>
    <n v="3.6"/>
    <d v="2026-05-10T00:00:00"/>
    <x v="0"/>
  </r>
  <r>
    <s v="P075"/>
    <s v="Mixer 75"/>
    <x v="2"/>
    <s v="Delhi WH"/>
    <x v="1"/>
    <n v="324"/>
    <n v="204"/>
    <n v="120"/>
    <n v="24"/>
    <n v="16321"/>
    <n v="22460.97"/>
    <n v="1958520"/>
    <n v="2"/>
    <n v="10"/>
    <n v="4.9000000000000004"/>
    <d v="2026-06-17T00:00:00"/>
    <x v="0"/>
  </r>
  <r>
    <s v="P096"/>
    <s v="Chair 96"/>
    <x v="1"/>
    <s v="Delhi WH"/>
    <x v="2"/>
    <n v="94"/>
    <n v="82"/>
    <n v="12"/>
    <n v="62"/>
    <n v="17294"/>
    <n v="21485.02"/>
    <n v="207528"/>
    <n v="1"/>
    <n v="11"/>
    <n v="3.9"/>
    <d v="2026-03-21T00:00:00"/>
    <x v="1"/>
  </r>
  <r>
    <s v="P089"/>
    <s v="Laptop 89"/>
    <x v="0"/>
    <s v="Kolkata WH"/>
    <x v="3"/>
    <n v="460"/>
    <n v="343"/>
    <n v="117"/>
    <n v="29"/>
    <n v="27614"/>
    <n v="35557.550000000003"/>
    <n v="3230838"/>
    <n v="0"/>
    <n v="13"/>
    <n v="4.7"/>
    <d v="2026-01-04T00:00:00"/>
    <x v="0"/>
  </r>
  <r>
    <s v="P061"/>
    <s v="Mobile 61"/>
    <x v="0"/>
    <s v="Bengaluru WH"/>
    <x v="0"/>
    <n v="113"/>
    <n v="60"/>
    <n v="53"/>
    <n v="80"/>
    <n v="30135"/>
    <n v="40867.47"/>
    <n v="1597155"/>
    <n v="4"/>
    <n v="10"/>
    <n v="4.9000000000000004"/>
    <d v="2026-05-18T00:00:00"/>
    <x v="1"/>
  </r>
  <r>
    <s v="P055"/>
    <s v="Chair 55"/>
    <x v="1"/>
    <s v="Bengaluru WH"/>
    <x v="1"/>
    <n v="215"/>
    <n v="120"/>
    <n v="95"/>
    <n v="39"/>
    <n v="15915"/>
    <n v="21028.12"/>
    <n v="1511925"/>
    <n v="3"/>
    <n v="10"/>
    <n v="4.9000000000000004"/>
    <d v="2026-06-09T00:00:00"/>
    <x v="0"/>
  </r>
  <r>
    <s v="P099"/>
    <s v="Chair 99"/>
    <x v="1"/>
    <s v="Delhi WH"/>
    <x v="2"/>
    <n v="81"/>
    <n v="65"/>
    <n v="16"/>
    <n v="43"/>
    <n v="7649"/>
    <n v="10378.379999999999"/>
    <n v="122384"/>
    <n v="5"/>
    <n v="11"/>
    <n v="4.5999999999999996"/>
    <d v="2026-01-03T00:00:00"/>
    <x v="1"/>
  </r>
  <r>
    <s v="P064"/>
    <s v="Table 64"/>
    <x v="1"/>
    <s v="Delhi WH"/>
    <x v="3"/>
    <n v="228"/>
    <n v="93"/>
    <n v="135"/>
    <n v="51"/>
    <n v="31505"/>
    <n v="41164.269999999997"/>
    <n v="4253175"/>
    <n v="2"/>
    <n v="8"/>
    <n v="4.5"/>
    <d v="2026-05-30T00:00:00"/>
    <x v="0"/>
  </r>
  <r>
    <s v="P002"/>
    <s v="Laptop 2"/>
    <x v="0"/>
    <s v="Mumbai WH"/>
    <x v="3"/>
    <n v="315"/>
    <n v="214"/>
    <n v="101"/>
    <n v="56"/>
    <n v="48057"/>
    <n v="58859.95"/>
    <n v="4853757"/>
    <n v="2"/>
    <n v="5"/>
    <n v="4.8"/>
    <d v="2026-03-25T00:00:00"/>
    <x v="0"/>
  </r>
  <r>
    <s v="P066"/>
    <s v="Mobile 66"/>
    <x v="0"/>
    <s v="Delhi WH"/>
    <x v="1"/>
    <n v="260"/>
    <n v="145"/>
    <n v="115"/>
    <n v="23"/>
    <n v="16945"/>
    <n v="22753.05"/>
    <n v="1948675"/>
    <n v="0"/>
    <n v="5"/>
    <n v="4.2"/>
    <d v="2026-03-24T00:00:00"/>
    <x v="0"/>
  </r>
  <r>
    <s v="P068"/>
    <s v="Mobile 68"/>
    <x v="0"/>
    <s v="Mumbai WH"/>
    <x v="0"/>
    <n v="92"/>
    <n v="67"/>
    <n v="25"/>
    <n v="26"/>
    <n v="36861"/>
    <n v="48538.23"/>
    <n v="921525"/>
    <n v="5"/>
    <n v="2"/>
    <n v="4.5999999999999996"/>
    <d v="2026-02-14T00:00:00"/>
    <x v="1"/>
  </r>
  <r>
    <s v="P003"/>
    <s v="Mixer 3"/>
    <x v="2"/>
    <s v="Bengaluru WH"/>
    <x v="3"/>
    <n v="220"/>
    <n v="13"/>
    <n v="207"/>
    <n v="42"/>
    <n v="59312"/>
    <n v="71335.399999999994"/>
    <n v="12277584"/>
    <n v="2"/>
    <n v="7"/>
    <n v="4.4000000000000004"/>
    <d v="2026-06-27T00:00:00"/>
    <x v="0"/>
  </r>
  <r>
    <s v="P028"/>
    <s v="Shoes 28"/>
    <x v="3"/>
    <s v="Kolkata WH"/>
    <x v="3"/>
    <n v="322"/>
    <n v="15"/>
    <n v="307"/>
    <n v="23"/>
    <n v="35272"/>
    <n v="41307.14"/>
    <n v="10828504"/>
    <n v="4"/>
    <n v="3"/>
    <n v="4.9000000000000004"/>
    <d v="2026-02-22T00:00:00"/>
    <x v="0"/>
  </r>
  <r>
    <s v="P063"/>
    <s v="Shoes 63"/>
    <x v="3"/>
    <s v="Delhi WH"/>
    <x v="0"/>
    <n v="428"/>
    <n v="394"/>
    <n v="34"/>
    <n v="37"/>
    <n v="57342"/>
    <n v="66565.56"/>
    <n v="1949628"/>
    <n v="2"/>
    <n v="11"/>
    <n v="3.6"/>
    <d v="2026-05-01T00:00:00"/>
    <x v="1"/>
  </r>
  <r>
    <s v="P073"/>
    <s v="Mixer 73"/>
    <x v="2"/>
    <s v="Kolkata WH"/>
    <x v="2"/>
    <n v="161"/>
    <n v="35"/>
    <n v="126"/>
    <n v="25"/>
    <n v="4572"/>
    <n v="5880.02"/>
    <n v="576072"/>
    <n v="3"/>
    <n v="4"/>
    <n v="4.8"/>
    <d v="2026-03-09T00:00:00"/>
    <x v="0"/>
  </r>
  <r>
    <s v="P088"/>
    <s v="Mobile 88"/>
    <x v="0"/>
    <s v="Kolkata WH"/>
    <x v="0"/>
    <n v="488"/>
    <n v="92"/>
    <n v="396"/>
    <n v="50"/>
    <n v="37616"/>
    <n v="42311.68"/>
    <n v="14895936"/>
    <n v="4"/>
    <n v="13"/>
    <n v="3.6"/>
    <d v="2026-06-28T00:00:00"/>
    <x v="0"/>
  </r>
  <r>
    <s v="P029"/>
    <s v="Mixer 29"/>
    <x v="2"/>
    <s v="Delhi WH"/>
    <x v="2"/>
    <n v="285"/>
    <n v="100"/>
    <n v="185"/>
    <n v="34"/>
    <n v="32223"/>
    <n v="40302.57"/>
    <n v="5961255"/>
    <n v="4"/>
    <n v="14"/>
    <n v="4.5"/>
    <d v="2026-03-13T00:00:00"/>
    <x v="0"/>
  </r>
  <r>
    <s v="P096"/>
    <s v="Chair 96"/>
    <x v="1"/>
    <s v="Mumbai WH"/>
    <x v="0"/>
    <n v="294"/>
    <n v="44"/>
    <n v="250"/>
    <n v="44"/>
    <n v="35284"/>
    <n v="45491.72"/>
    <n v="8821000"/>
    <n v="5"/>
    <n v="6"/>
    <n v="4.5999999999999996"/>
    <d v="2026-04-26T00:00:00"/>
    <x v="0"/>
  </r>
  <r>
    <s v="P036"/>
    <s v="Shoes 36"/>
    <x v="3"/>
    <s v="Mumbai WH"/>
    <x v="1"/>
    <n v="467"/>
    <n v="308"/>
    <n v="159"/>
    <n v="58"/>
    <n v="3854"/>
    <n v="5116.82"/>
    <n v="612786"/>
    <n v="5"/>
    <n v="4"/>
    <n v="3.7"/>
    <d v="2026-03-25T00:00:00"/>
    <x v="0"/>
  </r>
  <r>
    <s v="P012"/>
    <s v="Table 12"/>
    <x v="1"/>
    <s v="Mumbai WH"/>
    <x v="3"/>
    <n v="359"/>
    <n v="312"/>
    <n v="47"/>
    <n v="33"/>
    <n v="50164"/>
    <n v="67384.77"/>
    <n v="2357708"/>
    <n v="0"/>
    <n v="5"/>
    <n v="4.0999999999999996"/>
    <d v="2026-03-01T00:00:00"/>
    <x v="0"/>
  </r>
  <r>
    <s v="P004"/>
    <s v="Mixer 4"/>
    <x v="2"/>
    <s v="Delhi WH"/>
    <x v="2"/>
    <n v="137"/>
    <n v="79"/>
    <n v="58"/>
    <n v="26"/>
    <n v="13110"/>
    <n v="15271.56"/>
    <n v="760380"/>
    <n v="1"/>
    <n v="3"/>
    <n v="4.8"/>
    <d v="2026-02-20T00:00:00"/>
    <x v="0"/>
  </r>
  <r>
    <s v="P061"/>
    <s v="Mobile 61"/>
    <x v="0"/>
    <s v="Mumbai WH"/>
    <x v="2"/>
    <n v="59"/>
    <n v="26"/>
    <n v="33"/>
    <n v="24"/>
    <n v="29540"/>
    <n v="37922.03"/>
    <n v="974820"/>
    <n v="1"/>
    <n v="5"/>
    <n v="4.5"/>
    <d v="2026-03-07T00:00:00"/>
    <x v="0"/>
  </r>
  <r>
    <s v="P003"/>
    <s v="Mixer 3"/>
    <x v="2"/>
    <s v="Kolkata WH"/>
    <x v="2"/>
    <n v="162"/>
    <n v="11"/>
    <n v="151"/>
    <n v="67"/>
    <n v="30029"/>
    <n v="36683.89"/>
    <n v="4534379"/>
    <n v="1"/>
    <n v="5"/>
    <n v="4.5"/>
    <d v="2026-02-17T00:00:00"/>
    <x v="0"/>
  </r>
  <r>
    <s v="P019"/>
    <s v="Laptop 19"/>
    <x v="0"/>
    <s v="Delhi WH"/>
    <x v="3"/>
    <n v="251"/>
    <n v="169"/>
    <n v="82"/>
    <n v="66"/>
    <n v="13847"/>
    <n v="16314.64"/>
    <n v="1135454"/>
    <n v="4"/>
    <n v="12"/>
    <n v="4.5"/>
    <d v="2026-01-22T00:00:00"/>
    <x v="0"/>
  </r>
  <r>
    <s v="P081"/>
    <s v="Laptop 81"/>
    <x v="0"/>
    <s v="Kolkata WH"/>
    <x v="3"/>
    <n v="67"/>
    <n v="66"/>
    <n v="1"/>
    <n v="65"/>
    <n v="57637"/>
    <n v="72688.42"/>
    <n v="57637"/>
    <n v="1"/>
    <n v="7"/>
    <n v="4.5"/>
    <d v="2026-01-06T00:00:00"/>
    <x v="1"/>
  </r>
  <r>
    <s v="P056"/>
    <s v="Shoes 56"/>
    <x v="3"/>
    <s v="Mumbai WH"/>
    <x v="2"/>
    <n v="323"/>
    <n v="62"/>
    <n v="261"/>
    <n v="45"/>
    <n v="1590"/>
    <n v="2121.67"/>
    <n v="414990"/>
    <n v="5"/>
    <n v="9"/>
    <n v="3.5"/>
    <d v="2026-01-17T00:00:00"/>
    <x v="0"/>
  </r>
  <r>
    <s v="P079"/>
    <s v="Mobile 79"/>
    <x v="0"/>
    <s v="Kolkata WH"/>
    <x v="2"/>
    <n v="452"/>
    <n v="327"/>
    <n v="125"/>
    <n v="79"/>
    <n v="41045"/>
    <n v="52558.51"/>
    <n v="5130625"/>
    <n v="3"/>
    <n v="2"/>
    <n v="3.6"/>
    <d v="2026-03-05T00:00:00"/>
    <x v="0"/>
  </r>
  <r>
    <s v="P083"/>
    <s v="Table 83"/>
    <x v="1"/>
    <s v="Mumbai WH"/>
    <x v="0"/>
    <n v="442"/>
    <n v="333"/>
    <n v="109"/>
    <n v="33"/>
    <n v="43276"/>
    <n v="54549.19"/>
    <n v="4717084"/>
    <n v="4"/>
    <n v="12"/>
    <n v="4.5999999999999996"/>
    <d v="2026-04-24T00:00:00"/>
    <x v="0"/>
  </r>
  <r>
    <s v="P053"/>
    <s v="Laptop 53"/>
    <x v="0"/>
    <s v="Bengaluru WH"/>
    <x v="3"/>
    <n v="476"/>
    <n v="36"/>
    <n v="440"/>
    <n v="77"/>
    <n v="54325"/>
    <n v="64777.18"/>
    <n v="23903000"/>
    <n v="0"/>
    <n v="3"/>
    <n v="4.3"/>
    <d v="2026-06-28T00:00:00"/>
    <x v="0"/>
  </r>
  <r>
    <s v="P049"/>
    <s v="Shoes 49"/>
    <x v="3"/>
    <s v="Mumbai WH"/>
    <x v="1"/>
    <n v="450"/>
    <n v="209"/>
    <n v="241"/>
    <n v="78"/>
    <n v="17386"/>
    <n v="22791.29"/>
    <n v="4190026"/>
    <n v="2"/>
    <n v="8"/>
    <n v="4.2"/>
    <d v="2026-04-15T00:00:00"/>
    <x v="0"/>
  </r>
  <r>
    <s v="P080"/>
    <s v="Shoes 80"/>
    <x v="3"/>
    <s v="Bengaluru WH"/>
    <x v="3"/>
    <n v="113"/>
    <n v="29"/>
    <n v="84"/>
    <n v="54"/>
    <n v="4076"/>
    <n v="5239.95"/>
    <n v="342384"/>
    <n v="2"/>
    <n v="12"/>
    <n v="4.3"/>
    <d v="2026-02-21T00:00:00"/>
    <x v="0"/>
  </r>
  <r>
    <s v="P005"/>
    <s v="Chair 5"/>
    <x v="1"/>
    <s v="Kolkata WH"/>
    <x v="3"/>
    <n v="75"/>
    <n v="50"/>
    <n v="25"/>
    <n v="64"/>
    <n v="30197"/>
    <n v="40006.230000000003"/>
    <n v="754925"/>
    <n v="4"/>
    <n v="13"/>
    <n v="4.0999999999999996"/>
    <d v="2026-04-16T00:00:00"/>
    <x v="1"/>
  </r>
  <r>
    <s v="P002"/>
    <s v="Laptop 2"/>
    <x v="0"/>
    <s v="Kolkata WH"/>
    <x v="2"/>
    <n v="97"/>
    <n v="10"/>
    <n v="87"/>
    <n v="64"/>
    <n v="1660"/>
    <n v="1838.92"/>
    <n v="144420"/>
    <n v="5"/>
    <n v="12"/>
    <n v="4"/>
    <d v="2026-06-07T00:00:00"/>
    <x v="0"/>
  </r>
  <r>
    <s v="P069"/>
    <s v="Chair 69"/>
    <x v="1"/>
    <s v="Bengaluru WH"/>
    <x v="2"/>
    <n v="426"/>
    <n v="159"/>
    <n v="267"/>
    <n v="24"/>
    <n v="59944"/>
    <n v="78165.350000000006"/>
    <n v="16005048"/>
    <n v="3"/>
    <n v="11"/>
    <n v="3.5"/>
    <d v="2026-03-22T00:00:00"/>
    <x v="0"/>
  </r>
  <r>
    <s v="P046"/>
    <s v="Laptop 46"/>
    <x v="0"/>
    <s v="Delhi WH"/>
    <x v="0"/>
    <n v="457"/>
    <n v="116"/>
    <n v="341"/>
    <n v="49"/>
    <n v="42822"/>
    <n v="56772.24"/>
    <n v="14602302"/>
    <n v="1"/>
    <n v="14"/>
    <n v="4.7"/>
    <d v="2026-01-06T00:00:00"/>
    <x v="0"/>
  </r>
  <r>
    <s v="P054"/>
    <s v="Mixer 54"/>
    <x v="2"/>
    <s v="Bengaluru WH"/>
    <x v="3"/>
    <n v="141"/>
    <n v="93"/>
    <n v="48"/>
    <n v="77"/>
    <n v="19775"/>
    <n v="21910.73"/>
    <n v="949200"/>
    <n v="4"/>
    <n v="7"/>
    <n v="4.4000000000000004"/>
    <d v="2026-06-08T00:00:00"/>
    <x v="1"/>
  </r>
  <r>
    <s v="P023"/>
    <s v="Mobile 23"/>
    <x v="0"/>
    <s v="Delhi WH"/>
    <x v="2"/>
    <n v="148"/>
    <n v="118"/>
    <n v="30"/>
    <n v="41"/>
    <n v="52701"/>
    <n v="70971.7"/>
    <n v="1581030"/>
    <n v="2"/>
    <n v="4"/>
    <n v="5"/>
    <d v="2026-03-13T00:00:00"/>
    <x v="1"/>
  </r>
  <r>
    <s v="P064"/>
    <s v="Table 64"/>
    <x v="1"/>
    <s v="Mumbai WH"/>
    <x v="2"/>
    <n v="275"/>
    <n v="67"/>
    <n v="208"/>
    <n v="68"/>
    <n v="38632"/>
    <n v="49752.41"/>
    <n v="8035456"/>
    <n v="2"/>
    <n v="13"/>
    <n v="4"/>
    <d v="2026-05-23T00:00:00"/>
    <x v="0"/>
  </r>
  <r>
    <s v="P065"/>
    <s v="Mobile 65"/>
    <x v="0"/>
    <s v="Delhi WH"/>
    <x v="0"/>
    <n v="365"/>
    <n v="311"/>
    <n v="54"/>
    <n v="75"/>
    <n v="11404"/>
    <n v="15611.14"/>
    <n v="615816"/>
    <n v="3"/>
    <n v="15"/>
    <n v="3.5"/>
    <d v="2026-04-01T00:00:00"/>
    <x v="1"/>
  </r>
  <r>
    <s v="P095"/>
    <s v="Mobile 95"/>
    <x v="0"/>
    <s v="Mumbai WH"/>
    <x v="1"/>
    <n v="468"/>
    <n v="71"/>
    <n v="397"/>
    <n v="60"/>
    <n v="59156"/>
    <n v="66183.81"/>
    <n v="23484932"/>
    <n v="3"/>
    <n v="11"/>
    <n v="4.2"/>
    <d v="2026-04-16T00:00:00"/>
    <x v="0"/>
  </r>
  <r>
    <s v="P018"/>
    <s v="Laptop 18"/>
    <x v="0"/>
    <s v="Delhi WH"/>
    <x v="2"/>
    <n v="339"/>
    <n v="211"/>
    <n v="128"/>
    <n v="48"/>
    <n v="11826"/>
    <n v="13925.45"/>
    <n v="1513728"/>
    <n v="5"/>
    <n v="6"/>
    <n v="4.0999999999999996"/>
    <d v="2026-04-28T00:00:00"/>
    <x v="0"/>
  </r>
  <r>
    <s v="P050"/>
    <s v="Chair 50"/>
    <x v="1"/>
    <s v="Bengaluru WH"/>
    <x v="3"/>
    <n v="204"/>
    <n v="66"/>
    <n v="138"/>
    <n v="57"/>
    <n v="3180"/>
    <n v="4355.4799999999996"/>
    <n v="438840"/>
    <n v="2"/>
    <n v="12"/>
    <n v="4.5"/>
    <d v="2026-02-16T00:00:00"/>
    <x v="0"/>
  </r>
  <r>
    <s v="P044"/>
    <s v="Chair 44"/>
    <x v="1"/>
    <s v="Mumbai WH"/>
    <x v="0"/>
    <n v="114"/>
    <n v="90"/>
    <n v="24"/>
    <n v="65"/>
    <n v="48379"/>
    <n v="63991.7"/>
    <n v="1161096"/>
    <n v="0"/>
    <n v="3"/>
    <n v="4.2"/>
    <d v="2026-03-05T00:00:00"/>
    <x v="1"/>
  </r>
  <r>
    <s v="P090"/>
    <s v="Mixer 90"/>
    <x v="2"/>
    <s v="Mumbai WH"/>
    <x v="2"/>
    <n v="121"/>
    <n v="65"/>
    <n v="56"/>
    <n v="74"/>
    <n v="14064"/>
    <n v="18042.099999999999"/>
    <n v="787584"/>
    <n v="0"/>
    <n v="6"/>
    <n v="3.6"/>
    <d v="2026-01-02T00:00:00"/>
    <x v="1"/>
  </r>
  <r>
    <s v="P013"/>
    <s v="Chair 13"/>
    <x v="1"/>
    <s v="Kolkata WH"/>
    <x v="2"/>
    <n v="316"/>
    <n v="311"/>
    <n v="5"/>
    <n v="63"/>
    <n v="51609"/>
    <n v="68684.820000000007"/>
    <n v="258045"/>
    <n v="0"/>
    <n v="3"/>
    <n v="4.4000000000000004"/>
    <d v="2026-01-12T00:00:00"/>
    <x v="1"/>
  </r>
  <r>
    <s v="P043"/>
    <s v="Mobile 43"/>
    <x v="0"/>
    <s v="Delhi WH"/>
    <x v="3"/>
    <n v="387"/>
    <n v="104"/>
    <n v="283"/>
    <n v="62"/>
    <n v="27117"/>
    <n v="33934.29"/>
    <n v="7674111"/>
    <n v="4"/>
    <n v="7"/>
    <n v="3.9"/>
    <d v="2026-02-21T00:00:00"/>
    <x v="0"/>
  </r>
  <r>
    <s v="P022"/>
    <s v="Table 22"/>
    <x v="1"/>
    <s v="Bengaluru WH"/>
    <x v="0"/>
    <n v="376"/>
    <n v="292"/>
    <n v="84"/>
    <n v="35"/>
    <n v="10721"/>
    <n v="13785.89"/>
    <n v="900564"/>
    <n v="4"/>
    <n v="14"/>
    <n v="4.0999999999999996"/>
    <d v="2026-04-11T00:00:00"/>
    <x v="0"/>
  </r>
  <r>
    <s v="P042"/>
    <s v="Table 42"/>
    <x v="1"/>
    <s v="Bengaluru WH"/>
    <x v="0"/>
    <n v="479"/>
    <n v="168"/>
    <n v="311"/>
    <n v="74"/>
    <n v="21456"/>
    <n v="28512.31"/>
    <n v="6672816"/>
    <n v="5"/>
    <n v="5"/>
    <n v="4.9000000000000004"/>
    <d v="2026-04-28T00:00:00"/>
    <x v="0"/>
  </r>
  <r>
    <s v="P034"/>
    <s v="Chair 34"/>
    <x v="1"/>
    <s v="Bengaluru WH"/>
    <x v="2"/>
    <n v="123"/>
    <n v="34"/>
    <n v="89"/>
    <n v="69"/>
    <n v="34857"/>
    <n v="45824.88"/>
    <n v="3102273"/>
    <n v="5"/>
    <n v="14"/>
    <n v="3.6"/>
    <d v="2026-03-29T00:00:00"/>
    <x v="0"/>
  </r>
  <r>
    <s v="P096"/>
    <s v="Chair 96"/>
    <x v="1"/>
    <s v="Delhi WH"/>
    <x v="1"/>
    <n v="183"/>
    <n v="81"/>
    <n v="102"/>
    <n v="44"/>
    <n v="36918"/>
    <n v="44176.76"/>
    <n v="3765636"/>
    <n v="2"/>
    <n v="4"/>
    <n v="5"/>
    <d v="2026-05-01T00:00:00"/>
    <x v="0"/>
  </r>
  <r>
    <s v="P055"/>
    <s v="Chair 55"/>
    <x v="1"/>
    <s v="Mumbai WH"/>
    <x v="2"/>
    <n v="453"/>
    <n v="60"/>
    <n v="393"/>
    <n v="68"/>
    <n v="30885"/>
    <n v="40286.629999999997"/>
    <n v="12137805"/>
    <n v="4"/>
    <n v="2"/>
    <n v="4.5999999999999996"/>
    <d v="2026-03-15T00:00:00"/>
    <x v="0"/>
  </r>
  <r>
    <s v="P028"/>
    <s v="Shoes 28"/>
    <x v="3"/>
    <s v="Delhi WH"/>
    <x v="3"/>
    <n v="362"/>
    <n v="284"/>
    <n v="78"/>
    <n v="20"/>
    <n v="13768"/>
    <n v="18135.150000000001"/>
    <n v="1073904"/>
    <n v="1"/>
    <n v="12"/>
    <n v="3.8"/>
    <d v="2026-01-16T00:00:00"/>
    <x v="0"/>
  </r>
  <r>
    <s v="P045"/>
    <s v="Chair 45"/>
    <x v="1"/>
    <s v="Delhi WH"/>
    <x v="2"/>
    <n v="456"/>
    <n v="125"/>
    <n v="331"/>
    <n v="61"/>
    <n v="35038"/>
    <n v="40290.22"/>
    <n v="11597578"/>
    <n v="2"/>
    <n v="10"/>
    <n v="4"/>
    <d v="2026-02-01T00:00:00"/>
    <x v="0"/>
  </r>
  <r>
    <s v="P043"/>
    <s v="Mobile 43"/>
    <x v="0"/>
    <s v="Delhi WH"/>
    <x v="1"/>
    <n v="381"/>
    <n v="13"/>
    <n v="368"/>
    <n v="77"/>
    <n v="57184"/>
    <n v="77667.850000000006"/>
    <n v="21043712"/>
    <n v="3"/>
    <n v="14"/>
    <n v="4.0999999999999996"/>
    <d v="2026-01-03T00:00:00"/>
    <x v="0"/>
  </r>
  <r>
    <s v="P065"/>
    <s v="Mobile 65"/>
    <x v="0"/>
    <s v="Mumbai WH"/>
    <x v="3"/>
    <n v="55"/>
    <n v="39"/>
    <n v="16"/>
    <n v="31"/>
    <n v="31652"/>
    <n v="44311.42"/>
    <n v="506432"/>
    <n v="3"/>
    <n v="14"/>
    <n v="4.3"/>
    <d v="2026-01-19T00:00:00"/>
    <x v="1"/>
  </r>
  <r>
    <s v="P041"/>
    <s v="Table 41"/>
    <x v="1"/>
    <s v="Mumbai WH"/>
    <x v="1"/>
    <n v="239"/>
    <n v="160"/>
    <n v="79"/>
    <n v="30"/>
    <n v="46537"/>
    <n v="59006.9"/>
    <n v="3676423"/>
    <n v="5"/>
    <n v="8"/>
    <n v="4.7"/>
    <d v="2026-06-13T00:00:00"/>
    <x v="0"/>
  </r>
  <r>
    <s v="P030"/>
    <s v="Mixer 30"/>
    <x v="2"/>
    <s v="Mumbai WH"/>
    <x v="3"/>
    <n v="252"/>
    <n v="220"/>
    <n v="32"/>
    <n v="37"/>
    <n v="29262"/>
    <n v="35516.720000000001"/>
    <n v="936384"/>
    <n v="4"/>
    <n v="12"/>
    <n v="4.8"/>
    <d v="2026-01-06T00:00:00"/>
    <x v="1"/>
  </r>
  <r>
    <s v="P017"/>
    <s v="Shoes 17"/>
    <x v="3"/>
    <s v="Bengaluru WH"/>
    <x v="2"/>
    <n v="307"/>
    <n v="175"/>
    <n v="132"/>
    <n v="34"/>
    <n v="437"/>
    <n v="555.75"/>
    <n v="57684"/>
    <n v="5"/>
    <n v="15"/>
    <n v="4.5"/>
    <d v="2026-02-18T00:00:00"/>
    <x v="0"/>
  </r>
  <r>
    <s v="P072"/>
    <s v="Laptop 72"/>
    <x v="0"/>
    <s v="Bengaluru WH"/>
    <x v="0"/>
    <n v="75"/>
    <n v="40"/>
    <n v="35"/>
    <n v="36"/>
    <n v="43533"/>
    <n v="59761.63"/>
    <n v="1523655"/>
    <n v="4"/>
    <n v="4"/>
    <n v="4.5"/>
    <d v="2026-03-31T00:00:00"/>
    <x v="1"/>
  </r>
  <r>
    <s v="P067"/>
    <s v="Mixer 67"/>
    <x v="2"/>
    <s v="Bengaluru WH"/>
    <x v="3"/>
    <n v="208"/>
    <n v="91"/>
    <n v="117"/>
    <n v="37"/>
    <n v="45396"/>
    <n v="62578.33"/>
    <n v="5311332"/>
    <n v="2"/>
    <n v="4"/>
    <n v="3.8"/>
    <d v="2026-01-29T00:00:00"/>
    <x v="0"/>
  </r>
  <r>
    <s v="P072"/>
    <s v="Laptop 72"/>
    <x v="0"/>
    <s v="Mumbai WH"/>
    <x v="1"/>
    <n v="437"/>
    <n v="123"/>
    <n v="314"/>
    <n v="77"/>
    <n v="37786"/>
    <n v="44413.07"/>
    <n v="11864804"/>
    <n v="2"/>
    <n v="7"/>
    <n v="4.5"/>
    <d v="2026-06-05T00:00:00"/>
    <x v="0"/>
  </r>
  <r>
    <s v="P021"/>
    <s v="Mobile 21"/>
    <x v="0"/>
    <s v="Delhi WH"/>
    <x v="0"/>
    <n v="266"/>
    <n v="136"/>
    <n v="130"/>
    <n v="55"/>
    <n v="2037"/>
    <n v="2678.32"/>
    <n v="264810"/>
    <n v="5"/>
    <n v="2"/>
    <n v="3.9"/>
    <d v="2026-02-07T00:00:00"/>
    <x v="0"/>
  </r>
  <r>
    <s v="P056"/>
    <s v="Shoes 56"/>
    <x v="3"/>
    <s v="Kolkata WH"/>
    <x v="3"/>
    <n v="123"/>
    <n v="53"/>
    <n v="70"/>
    <n v="42"/>
    <n v="30390"/>
    <n v="40454.18"/>
    <n v="2127300"/>
    <n v="1"/>
    <n v="15"/>
    <n v="3.5"/>
    <d v="2026-04-29T00:00:00"/>
    <x v="0"/>
  </r>
  <r>
    <s v="P085"/>
    <s v="Chair 85"/>
    <x v="1"/>
    <s v="Mumbai WH"/>
    <x v="3"/>
    <n v="69"/>
    <n v="21"/>
    <n v="48"/>
    <n v="56"/>
    <n v="22767"/>
    <n v="25480.560000000001"/>
    <n v="1092816"/>
    <n v="2"/>
    <n v="3"/>
    <n v="4.4000000000000004"/>
    <d v="2026-06-26T00:00:00"/>
    <x v="1"/>
  </r>
  <r>
    <s v="P030"/>
    <s v="Mixer 30"/>
    <x v="2"/>
    <s v="Kolkata WH"/>
    <x v="2"/>
    <n v="152"/>
    <n v="140"/>
    <n v="12"/>
    <n v="38"/>
    <n v="24095"/>
    <n v="31235.05"/>
    <n v="289140"/>
    <n v="5"/>
    <n v="13"/>
    <n v="3.9"/>
    <d v="2026-05-19T00:00:00"/>
    <x v="1"/>
  </r>
  <r>
    <s v="P092"/>
    <s v="Laptop 92"/>
    <x v="0"/>
    <s v="Delhi WH"/>
    <x v="0"/>
    <n v="140"/>
    <n v="37"/>
    <n v="103"/>
    <n v="79"/>
    <n v="5931"/>
    <n v="8051.22"/>
    <n v="610893"/>
    <n v="4"/>
    <n v="7"/>
    <n v="4"/>
    <d v="2026-02-13T00:00:00"/>
    <x v="0"/>
  </r>
  <r>
    <s v="P059"/>
    <s v="Laptop 59"/>
    <x v="0"/>
    <s v="Delhi WH"/>
    <x v="0"/>
    <n v="208"/>
    <n v="175"/>
    <n v="33"/>
    <n v="30"/>
    <n v="14670"/>
    <n v="20444.27"/>
    <n v="484110"/>
    <n v="4"/>
    <n v="11"/>
    <n v="4.5999999999999996"/>
    <d v="2026-03-31T00:00:00"/>
    <x v="0"/>
  </r>
  <r>
    <s v="P003"/>
    <s v="Mixer 3"/>
    <x v="2"/>
    <s v="Bengaluru WH"/>
    <x v="2"/>
    <n v="210"/>
    <n v="44"/>
    <n v="166"/>
    <n v="32"/>
    <n v="18482"/>
    <n v="23389.87"/>
    <n v="3068012"/>
    <n v="4"/>
    <n v="13"/>
    <n v="4.8"/>
    <d v="2026-03-05T00:00:00"/>
    <x v="0"/>
  </r>
  <r>
    <s v="P094"/>
    <s v="Table 94"/>
    <x v="1"/>
    <s v="Bengaluru WH"/>
    <x v="3"/>
    <n v="293"/>
    <n v="77"/>
    <n v="216"/>
    <n v="74"/>
    <n v="46617"/>
    <n v="51830.33"/>
    <n v="10069272"/>
    <n v="5"/>
    <n v="6"/>
    <n v="4.3"/>
    <d v="2026-04-05T00:00:00"/>
    <x v="0"/>
  </r>
  <r>
    <s v="P084"/>
    <s v="Laptop 84"/>
    <x v="0"/>
    <s v="Kolkata WH"/>
    <x v="1"/>
    <n v="225"/>
    <n v="124"/>
    <n v="101"/>
    <n v="36"/>
    <n v="5220"/>
    <n v="6206.7"/>
    <n v="527220"/>
    <n v="0"/>
    <n v="2"/>
    <n v="4"/>
    <d v="2026-02-26T00:00:00"/>
    <x v="0"/>
  </r>
  <r>
    <s v="P026"/>
    <s v="Table 26"/>
    <x v="1"/>
    <s v="Bengaluru WH"/>
    <x v="3"/>
    <n v="459"/>
    <n v="357"/>
    <n v="102"/>
    <n v="58"/>
    <n v="57189"/>
    <n v="75890.070000000007"/>
    <n v="5833278"/>
    <n v="5"/>
    <n v="5"/>
    <n v="5"/>
    <d v="2026-04-03T00:00:00"/>
    <x v="0"/>
  </r>
  <r>
    <s v="P068"/>
    <s v="Mobile 68"/>
    <x v="0"/>
    <s v="Bengaluru WH"/>
    <x v="3"/>
    <n v="296"/>
    <n v="35"/>
    <n v="261"/>
    <n v="64"/>
    <n v="13998"/>
    <n v="16178.47"/>
    <n v="3653478"/>
    <n v="1"/>
    <n v="15"/>
    <n v="4.8"/>
    <d v="2026-04-27T00:00:00"/>
    <x v="0"/>
  </r>
  <r>
    <s v="P091"/>
    <s v="Laptop 91"/>
    <x v="0"/>
    <s v="Mumbai WH"/>
    <x v="3"/>
    <n v="271"/>
    <n v="162"/>
    <n v="109"/>
    <n v="65"/>
    <n v="13772"/>
    <n v="15739.38"/>
    <n v="1501148"/>
    <n v="1"/>
    <n v="2"/>
    <n v="3.6"/>
    <d v="2026-01-06T00:00:00"/>
    <x v="0"/>
  </r>
  <r>
    <s v="P062"/>
    <s v="Mixer 62"/>
    <x v="2"/>
    <s v="Delhi WH"/>
    <x v="2"/>
    <n v="186"/>
    <n v="36"/>
    <n v="150"/>
    <n v="76"/>
    <n v="27291"/>
    <n v="30554.61"/>
    <n v="4093650"/>
    <n v="5"/>
    <n v="11"/>
    <n v="4.0999999999999996"/>
    <d v="2026-03-17T00:00:00"/>
    <x v="0"/>
  </r>
  <r>
    <s v="P007"/>
    <s v="Laptop 7"/>
    <x v="0"/>
    <s v="Kolkata WH"/>
    <x v="0"/>
    <n v="356"/>
    <n v="42"/>
    <n v="314"/>
    <n v="61"/>
    <n v="6096"/>
    <n v="7381.56"/>
    <n v="1914144"/>
    <n v="4"/>
    <n v="7"/>
    <n v="4.8"/>
    <d v="2026-03-29T00:00:00"/>
    <x v="0"/>
  </r>
  <r>
    <s v="P076"/>
    <s v="Mixer 76"/>
    <x v="2"/>
    <s v="Delhi WH"/>
    <x v="0"/>
    <n v="234"/>
    <n v="130"/>
    <n v="104"/>
    <n v="56"/>
    <n v="8148"/>
    <n v="9021.36"/>
    <n v="847392"/>
    <n v="1"/>
    <n v="2"/>
    <n v="4.9000000000000004"/>
    <d v="2026-06-25T00:00:00"/>
    <x v="0"/>
  </r>
  <r>
    <s v="P084"/>
    <s v="Laptop 84"/>
    <x v="0"/>
    <s v="Kolkata WH"/>
    <x v="2"/>
    <n v="207"/>
    <n v="200"/>
    <n v="7"/>
    <n v="34"/>
    <n v="27991"/>
    <n v="35726.050000000003"/>
    <n v="195937"/>
    <n v="1"/>
    <n v="13"/>
    <n v="5"/>
    <d v="2026-06-28T00:00:00"/>
    <x v="1"/>
  </r>
  <r>
    <s v="P022"/>
    <s v="Table 22"/>
    <x v="1"/>
    <s v="Mumbai WH"/>
    <x v="0"/>
    <n v="239"/>
    <n v="40"/>
    <n v="199"/>
    <n v="65"/>
    <n v="12700"/>
    <n v="16584.310000000001"/>
    <n v="2527300"/>
    <n v="2"/>
    <n v="2"/>
    <n v="4.7"/>
    <d v="2026-02-03T00:00:00"/>
    <x v="0"/>
  </r>
  <r>
    <s v="P069"/>
    <s v="Chair 69"/>
    <x v="1"/>
    <s v="Mumbai WH"/>
    <x v="0"/>
    <n v="275"/>
    <n v="207"/>
    <n v="68"/>
    <n v="21"/>
    <n v="30927"/>
    <n v="40696.089999999997"/>
    <n v="2103036"/>
    <n v="1"/>
    <n v="13"/>
    <n v="3.7"/>
    <d v="2026-03-08T00:00:00"/>
    <x v="0"/>
  </r>
  <r>
    <s v="P019"/>
    <s v="Laptop 19"/>
    <x v="0"/>
    <s v="Bengaluru WH"/>
    <x v="2"/>
    <n v="145"/>
    <n v="28"/>
    <n v="117"/>
    <n v="56"/>
    <n v="3168"/>
    <n v="4217.3599999999997"/>
    <n v="370656"/>
    <n v="3"/>
    <n v="12"/>
    <n v="4.0999999999999996"/>
    <d v="2026-04-03T00:00:00"/>
    <x v="0"/>
  </r>
  <r>
    <s v="P098"/>
    <s v="Mobile 98"/>
    <x v="0"/>
    <s v="Bengaluru WH"/>
    <x v="0"/>
    <n v="352"/>
    <n v="172"/>
    <n v="180"/>
    <n v="58"/>
    <n v="37340"/>
    <n v="46917.2"/>
    <n v="6721200"/>
    <n v="1"/>
    <n v="9"/>
    <n v="4.7"/>
    <d v="2026-02-15T00:00:00"/>
    <x v="0"/>
  </r>
  <r>
    <s v="P060"/>
    <s v="Mixer 60"/>
    <x v="2"/>
    <s v="Bengaluru WH"/>
    <x v="3"/>
    <n v="496"/>
    <n v="130"/>
    <n v="366"/>
    <n v="46"/>
    <n v="54449"/>
    <n v="72085.320000000007"/>
    <n v="19928334"/>
    <n v="5"/>
    <n v="4"/>
    <n v="4.5999999999999996"/>
    <d v="2026-06-19T00:00:00"/>
    <x v="0"/>
  </r>
  <r>
    <s v="P057"/>
    <s v="Shoes 57"/>
    <x v="3"/>
    <s v="Bengaluru WH"/>
    <x v="0"/>
    <n v="89"/>
    <n v="27"/>
    <n v="62"/>
    <n v="55"/>
    <n v="56090"/>
    <n v="72152.600000000006"/>
    <n v="3477580"/>
    <n v="1"/>
    <n v="4"/>
    <n v="5"/>
    <d v="2026-01-11T00:00:00"/>
    <x v="0"/>
  </r>
  <r>
    <s v="P079"/>
    <s v="Mobile 79"/>
    <x v="0"/>
    <s v="Delhi WH"/>
    <x v="0"/>
    <n v="413"/>
    <n v="389"/>
    <n v="24"/>
    <n v="41"/>
    <n v="29931"/>
    <n v="34088.25"/>
    <n v="718344"/>
    <n v="1"/>
    <n v="4"/>
    <n v="3.6"/>
    <d v="2026-01-09T00:00:00"/>
    <x v="1"/>
  </r>
  <r>
    <s v="P064"/>
    <s v="Table 64"/>
    <x v="1"/>
    <s v="Bengaluru WH"/>
    <x v="3"/>
    <n v="276"/>
    <n v="94"/>
    <n v="182"/>
    <n v="55"/>
    <n v="30347"/>
    <n v="40485.42"/>
    <n v="5523154"/>
    <n v="1"/>
    <n v="11"/>
    <n v="4.9000000000000004"/>
    <d v="2026-04-09T00:00:00"/>
    <x v="0"/>
  </r>
  <r>
    <s v="P083"/>
    <s v="Table 83"/>
    <x v="1"/>
    <s v="Delhi WH"/>
    <x v="0"/>
    <n v="367"/>
    <n v="82"/>
    <n v="285"/>
    <n v="58"/>
    <n v="7673"/>
    <n v="9756.73"/>
    <n v="2186805"/>
    <n v="5"/>
    <n v="7"/>
    <n v="4.5"/>
    <d v="2026-03-25T00:00:00"/>
    <x v="0"/>
  </r>
  <r>
    <s v="P064"/>
    <s v="Table 64"/>
    <x v="1"/>
    <s v="Kolkata WH"/>
    <x v="2"/>
    <n v="455"/>
    <n v="101"/>
    <n v="354"/>
    <n v="52"/>
    <n v="18960"/>
    <n v="26132.36"/>
    <n v="6711840"/>
    <n v="5"/>
    <n v="13"/>
    <n v="3.6"/>
    <d v="2026-01-29T00:00:00"/>
    <x v="0"/>
  </r>
  <r>
    <s v="P041"/>
    <s v="Table 41"/>
    <x v="1"/>
    <s v="Kolkata WH"/>
    <x v="3"/>
    <n v="203"/>
    <n v="186"/>
    <n v="17"/>
    <n v="31"/>
    <n v="9405"/>
    <n v="10474.81"/>
    <n v="159885"/>
    <n v="3"/>
    <n v="14"/>
    <n v="3.5"/>
    <d v="2026-01-01T00:00:00"/>
    <x v="1"/>
  </r>
  <r>
    <s v="P090"/>
    <s v="Mixer 90"/>
    <x v="2"/>
    <s v="Mumbai WH"/>
    <x v="3"/>
    <n v="292"/>
    <n v="188"/>
    <n v="104"/>
    <n v="33"/>
    <n v="52414"/>
    <n v="63409.760000000002"/>
    <n v="5451056"/>
    <n v="0"/>
    <n v="12"/>
    <n v="4"/>
    <d v="2026-02-03T00:00:00"/>
    <x v="0"/>
  </r>
  <r>
    <s v="P058"/>
    <s v="Mobile 58"/>
    <x v="0"/>
    <s v="Bengaluru WH"/>
    <x v="0"/>
    <n v="377"/>
    <n v="299"/>
    <n v="78"/>
    <n v="31"/>
    <n v="23819"/>
    <n v="31343.07"/>
    <n v="1857882"/>
    <n v="5"/>
    <n v="12"/>
    <n v="4.5"/>
    <d v="2026-06-27T00:00:00"/>
    <x v="0"/>
  </r>
  <r>
    <s v="P037"/>
    <s v="Mixer 37"/>
    <x v="2"/>
    <s v="Mumbai WH"/>
    <x v="3"/>
    <n v="433"/>
    <n v="265"/>
    <n v="168"/>
    <n v="77"/>
    <n v="44351"/>
    <n v="52259.53"/>
    <n v="7450968"/>
    <n v="5"/>
    <n v="2"/>
    <n v="4.4000000000000004"/>
    <d v="2026-03-02T00:00:00"/>
    <x v="0"/>
  </r>
  <r>
    <s v="P042"/>
    <s v="Table 42"/>
    <x v="1"/>
    <s v="Bengaluru WH"/>
    <x v="3"/>
    <n v="401"/>
    <n v="398"/>
    <n v="3"/>
    <n v="22"/>
    <n v="53419"/>
    <n v="72832.13"/>
    <n v="160257"/>
    <n v="0"/>
    <n v="5"/>
    <n v="4.7"/>
    <d v="2026-02-23T00:00:00"/>
    <x v="1"/>
  </r>
  <r>
    <s v="P023"/>
    <s v="Mobile 23"/>
    <x v="0"/>
    <s v="Kolkata WH"/>
    <x v="2"/>
    <n v="336"/>
    <n v="249"/>
    <n v="87"/>
    <n v="47"/>
    <n v="35396"/>
    <n v="49407.32"/>
    <n v="3079452"/>
    <n v="3"/>
    <n v="3"/>
    <n v="4.5999999999999996"/>
    <d v="2026-05-15T00:00:00"/>
    <x v="0"/>
  </r>
  <r>
    <s v="P012"/>
    <s v="Table 12"/>
    <x v="1"/>
    <s v="Kolkata WH"/>
    <x v="2"/>
    <n v="390"/>
    <n v="80"/>
    <n v="310"/>
    <n v="60"/>
    <n v="11824"/>
    <n v="13820.09"/>
    <n v="3665440"/>
    <n v="3"/>
    <n v="11"/>
    <n v="5"/>
    <d v="2026-03-21T00:00:00"/>
    <x v="0"/>
  </r>
  <r>
    <s v="P064"/>
    <s v="Table 64"/>
    <x v="1"/>
    <s v="Mumbai WH"/>
    <x v="1"/>
    <n v="331"/>
    <n v="233"/>
    <n v="98"/>
    <n v="37"/>
    <n v="6538"/>
    <n v="9058.51"/>
    <n v="640724"/>
    <n v="3"/>
    <n v="4"/>
    <n v="4.8"/>
    <d v="2026-01-28T00:00:00"/>
    <x v="0"/>
  </r>
  <r>
    <s v="P050"/>
    <s v="Chair 50"/>
    <x v="1"/>
    <s v="Mumbai WH"/>
    <x v="3"/>
    <n v="420"/>
    <n v="118"/>
    <n v="302"/>
    <n v="35"/>
    <n v="54716"/>
    <n v="69307.59"/>
    <n v="16524232"/>
    <n v="3"/>
    <n v="13"/>
    <n v="3.6"/>
    <d v="2026-05-02T00:00:00"/>
    <x v="0"/>
  </r>
  <r>
    <s v="P071"/>
    <s v="Mobile 71"/>
    <x v="0"/>
    <s v="Delhi WH"/>
    <x v="0"/>
    <n v="203"/>
    <n v="61"/>
    <n v="142"/>
    <n v="43"/>
    <n v="52298"/>
    <n v="57815.77"/>
    <n v="7426316"/>
    <n v="5"/>
    <n v="12"/>
    <n v="4.7"/>
    <d v="2026-04-10T00:00:00"/>
    <x v="0"/>
  </r>
  <r>
    <s v="P052"/>
    <s v="Laptop 52"/>
    <x v="0"/>
    <s v="Bengaluru WH"/>
    <x v="3"/>
    <n v="423"/>
    <n v="402"/>
    <n v="21"/>
    <n v="43"/>
    <n v="44909"/>
    <n v="58667.06"/>
    <n v="943089"/>
    <n v="1"/>
    <n v="11"/>
    <n v="3.7"/>
    <d v="2026-02-10T00:00:00"/>
    <x v="1"/>
  </r>
  <r>
    <s v="P060"/>
    <s v="Mixer 60"/>
    <x v="2"/>
    <s v="Bengaluru WH"/>
    <x v="0"/>
    <n v="471"/>
    <n v="387"/>
    <n v="84"/>
    <n v="64"/>
    <n v="46556"/>
    <n v="64481.4"/>
    <n v="3910704"/>
    <n v="3"/>
    <n v="4"/>
    <n v="4.5"/>
    <d v="2026-05-30T00:00:00"/>
    <x v="0"/>
  </r>
  <r>
    <s v="P022"/>
    <s v="Table 22"/>
    <x v="1"/>
    <s v="Kolkata WH"/>
    <x v="1"/>
    <n v="281"/>
    <n v="30"/>
    <n v="251"/>
    <n v="59"/>
    <n v="27696"/>
    <n v="35825.29"/>
    <n v="6951696"/>
    <n v="0"/>
    <n v="8"/>
    <n v="4.2"/>
    <d v="2026-02-03T00:00:00"/>
    <x v="0"/>
  </r>
  <r>
    <s v="P019"/>
    <s v="Laptop 19"/>
    <x v="0"/>
    <s v="Mumbai WH"/>
    <x v="2"/>
    <n v="241"/>
    <n v="8"/>
    <n v="233"/>
    <n v="51"/>
    <n v="24739"/>
    <n v="32664.98"/>
    <n v="5764187"/>
    <n v="2"/>
    <n v="2"/>
    <n v="4.8"/>
    <d v="2026-03-04T00:00:00"/>
    <x v="0"/>
  </r>
  <r>
    <s v="P048"/>
    <s v="Shoes 48"/>
    <x v="3"/>
    <s v="Mumbai WH"/>
    <x v="2"/>
    <n v="82"/>
    <n v="4"/>
    <n v="78"/>
    <n v="26"/>
    <n v="25557"/>
    <n v="35539.199999999997"/>
    <n v="1993446"/>
    <n v="2"/>
    <n v="3"/>
    <n v="4.5"/>
    <d v="2026-02-10T00:00:00"/>
    <x v="0"/>
  </r>
  <r>
    <s v="P022"/>
    <s v="Table 22"/>
    <x v="1"/>
    <s v="Mumbai WH"/>
    <x v="2"/>
    <n v="415"/>
    <n v="302"/>
    <n v="113"/>
    <n v="41"/>
    <n v="57067"/>
    <n v="78147.47"/>
    <n v="6448571"/>
    <n v="3"/>
    <n v="5"/>
    <n v="3.9"/>
    <d v="2026-02-26T00:00:00"/>
    <x v="0"/>
  </r>
  <r>
    <s v="P071"/>
    <s v="Mobile 71"/>
    <x v="0"/>
    <s v="Mumbai WH"/>
    <x v="2"/>
    <n v="415"/>
    <n v="51"/>
    <n v="364"/>
    <n v="22"/>
    <n v="24795"/>
    <n v="28592.52"/>
    <n v="9025380"/>
    <n v="3"/>
    <n v="14"/>
    <n v="4"/>
    <d v="2026-02-22T00:00:00"/>
    <x v="0"/>
  </r>
  <r>
    <s v="P059"/>
    <s v="Laptop 59"/>
    <x v="0"/>
    <s v="Kolkata WH"/>
    <x v="3"/>
    <n v="274"/>
    <n v="50"/>
    <n v="224"/>
    <n v="63"/>
    <n v="38360"/>
    <n v="48058.1"/>
    <n v="8592640"/>
    <n v="4"/>
    <n v="11"/>
    <n v="4.3"/>
    <d v="2026-06-11T00:00:00"/>
    <x v="0"/>
  </r>
  <r>
    <s v="P071"/>
    <s v="Mobile 71"/>
    <x v="0"/>
    <s v="Bengaluru WH"/>
    <x v="3"/>
    <n v="248"/>
    <n v="106"/>
    <n v="142"/>
    <n v="63"/>
    <n v="57165"/>
    <n v="75224.399999999994"/>
    <n v="8117430"/>
    <n v="1"/>
    <n v="4"/>
    <n v="4.2"/>
    <d v="2026-04-28T00:00:00"/>
    <x v="0"/>
  </r>
  <r>
    <s v="P073"/>
    <s v="Mixer 73"/>
    <x v="2"/>
    <s v="Delhi WH"/>
    <x v="3"/>
    <n v="371"/>
    <n v="183"/>
    <n v="188"/>
    <n v="24"/>
    <n v="13786"/>
    <n v="17354.91"/>
    <n v="2591768"/>
    <n v="0"/>
    <n v="14"/>
    <n v="4.2"/>
    <d v="2026-03-24T00:00:00"/>
    <x v="0"/>
  </r>
  <r>
    <s v="P008"/>
    <s v="Shoes 8"/>
    <x v="3"/>
    <s v="Bengaluru WH"/>
    <x v="0"/>
    <n v="324"/>
    <n v="299"/>
    <n v="25"/>
    <n v="41"/>
    <n v="25991"/>
    <n v="35187.870000000003"/>
    <n v="649775"/>
    <n v="4"/>
    <n v="15"/>
    <n v="4.5"/>
    <d v="2026-05-12T00:00:00"/>
    <x v="1"/>
  </r>
  <r>
    <s v="P019"/>
    <s v="Laptop 19"/>
    <x v="0"/>
    <s v="Bengaluru WH"/>
    <x v="3"/>
    <n v="368"/>
    <n v="167"/>
    <n v="201"/>
    <n v="39"/>
    <n v="24463"/>
    <n v="33796.11"/>
    <n v="4917063"/>
    <n v="5"/>
    <n v="10"/>
    <n v="4.3"/>
    <d v="2026-04-11T00:00:00"/>
    <x v="0"/>
  </r>
  <r>
    <s v="P009"/>
    <s v="Laptop 9"/>
    <x v="0"/>
    <s v="Mumbai WH"/>
    <x v="3"/>
    <n v="224"/>
    <n v="118"/>
    <n v="106"/>
    <n v="78"/>
    <n v="36544"/>
    <n v="45605.05"/>
    <n v="3873664"/>
    <n v="4"/>
    <n v="9"/>
    <n v="4.0999999999999996"/>
    <d v="2026-02-17T00:00:00"/>
    <x v="0"/>
  </r>
  <r>
    <s v="P100"/>
    <s v="Mobile 100"/>
    <x v="0"/>
    <s v="Delhi WH"/>
    <x v="0"/>
    <n v="138"/>
    <n v="119"/>
    <n v="19"/>
    <n v="20"/>
    <n v="2472"/>
    <n v="3192.22"/>
    <n v="46968"/>
    <n v="1"/>
    <n v="9"/>
    <n v="4.4000000000000004"/>
    <d v="2026-04-06T00:00:00"/>
    <x v="1"/>
  </r>
  <r>
    <s v="P092"/>
    <s v="Laptop 92"/>
    <x v="0"/>
    <s v="Delhi WH"/>
    <x v="3"/>
    <n v="330"/>
    <n v="22"/>
    <n v="308"/>
    <n v="30"/>
    <n v="52531"/>
    <n v="59938.83"/>
    <n v="16179548"/>
    <n v="0"/>
    <n v="2"/>
    <n v="4.0999999999999996"/>
    <d v="2026-01-14T00:00:00"/>
    <x v="0"/>
  </r>
  <r>
    <s v="P041"/>
    <s v="Table 41"/>
    <x v="1"/>
    <s v="Delhi WH"/>
    <x v="0"/>
    <n v="278"/>
    <n v="73"/>
    <n v="205"/>
    <n v="63"/>
    <n v="36312"/>
    <n v="48985.77"/>
    <n v="7443960"/>
    <n v="4"/>
    <n v="2"/>
    <n v="4.5999999999999996"/>
    <d v="2026-05-14T00:00:00"/>
    <x v="0"/>
  </r>
  <r>
    <s v="P095"/>
    <s v="Mobile 95"/>
    <x v="0"/>
    <s v="Delhi WH"/>
    <x v="0"/>
    <n v="184"/>
    <n v="93"/>
    <n v="91"/>
    <n v="67"/>
    <n v="49883"/>
    <n v="60693.59"/>
    <n v="4539353"/>
    <n v="4"/>
    <n v="9"/>
    <n v="3.9"/>
    <d v="2026-01-14T00:00:00"/>
    <x v="0"/>
  </r>
  <r>
    <s v="P095"/>
    <s v="Mobile 95"/>
    <x v="0"/>
    <s v="Mumbai WH"/>
    <x v="3"/>
    <n v="297"/>
    <n v="47"/>
    <n v="250"/>
    <n v="74"/>
    <n v="54243"/>
    <n v="61976.35"/>
    <n v="13560750"/>
    <n v="2"/>
    <n v="4"/>
    <n v="4.5999999999999996"/>
    <d v="2026-03-20T00:00:00"/>
    <x v="0"/>
  </r>
  <r>
    <s v="P078"/>
    <s v="Chair 78"/>
    <x v="1"/>
    <s v="Delhi WH"/>
    <x v="2"/>
    <n v="280"/>
    <n v="186"/>
    <n v="94"/>
    <n v="54"/>
    <n v="10596"/>
    <n v="13287.67"/>
    <n v="996024"/>
    <n v="0"/>
    <n v="15"/>
    <n v="4.0999999999999996"/>
    <d v="2026-06-22T00:00:00"/>
    <x v="0"/>
  </r>
  <r>
    <s v="P052"/>
    <s v="Laptop 52"/>
    <x v="0"/>
    <s v="Bengaluru WH"/>
    <x v="1"/>
    <n v="102"/>
    <n v="12"/>
    <n v="90"/>
    <n v="37"/>
    <n v="44194"/>
    <n v="53375.16"/>
    <n v="3977460"/>
    <n v="4"/>
    <n v="7"/>
    <n v="4.9000000000000004"/>
    <d v="2026-04-21T00:00:00"/>
    <x v="0"/>
  </r>
  <r>
    <s v="P097"/>
    <s v="Mobile 97"/>
    <x v="0"/>
    <s v="Delhi WH"/>
    <x v="1"/>
    <n v="313"/>
    <n v="282"/>
    <n v="31"/>
    <n v="75"/>
    <n v="38333"/>
    <n v="45395.82"/>
    <n v="1188323"/>
    <n v="1"/>
    <n v="7"/>
    <n v="4.3"/>
    <d v="2026-04-15T00:00:00"/>
    <x v="1"/>
  </r>
  <r>
    <s v="P029"/>
    <s v="Mixer 29"/>
    <x v="2"/>
    <s v="Delhi WH"/>
    <x v="3"/>
    <n v="301"/>
    <n v="231"/>
    <n v="70"/>
    <n v="57"/>
    <n v="46688"/>
    <n v="58140.15"/>
    <n v="3268160"/>
    <n v="1"/>
    <n v="13"/>
    <n v="4.7"/>
    <d v="2026-03-08T00:00:00"/>
    <x v="0"/>
  </r>
  <r>
    <s v="P042"/>
    <s v="Table 42"/>
    <x v="1"/>
    <s v="Mumbai WH"/>
    <x v="3"/>
    <n v="336"/>
    <n v="221"/>
    <n v="115"/>
    <n v="36"/>
    <n v="56870"/>
    <n v="66996.47"/>
    <n v="6540050"/>
    <n v="2"/>
    <n v="7"/>
    <n v="4.9000000000000004"/>
    <d v="2026-03-12T00:00:00"/>
    <x v="0"/>
  </r>
  <r>
    <s v="P063"/>
    <s v="Shoes 63"/>
    <x v="3"/>
    <s v="Bengaluru WH"/>
    <x v="2"/>
    <n v="67"/>
    <n v="41"/>
    <n v="26"/>
    <n v="48"/>
    <n v="37550"/>
    <n v="52366.64"/>
    <n v="976300"/>
    <n v="2"/>
    <n v="12"/>
    <n v="4.4000000000000004"/>
    <d v="2026-02-21T00:00:00"/>
    <x v="1"/>
  </r>
  <r>
    <s v="P048"/>
    <s v="Shoes 48"/>
    <x v="3"/>
    <s v="Bengaluru WH"/>
    <x v="1"/>
    <n v="158"/>
    <n v="0"/>
    <n v="158"/>
    <n v="50"/>
    <n v="54933"/>
    <n v="76499.11"/>
    <n v="8679414"/>
    <n v="5"/>
    <n v="10"/>
    <n v="4.0999999999999996"/>
    <d v="2026-02-25T00:00:00"/>
    <x v="0"/>
  </r>
  <r>
    <s v="P088"/>
    <s v="Mobile 88"/>
    <x v="0"/>
    <s v="Mumbai WH"/>
    <x v="3"/>
    <n v="182"/>
    <n v="146"/>
    <n v="36"/>
    <n v="36"/>
    <n v="56864"/>
    <n v="63279.77"/>
    <n v="2047104"/>
    <n v="1"/>
    <n v="3"/>
    <n v="3.6"/>
    <d v="2026-02-03T00:00:00"/>
    <x v="0"/>
  </r>
  <r>
    <s v="P031"/>
    <s v="Table 31"/>
    <x v="1"/>
    <s v="Mumbai WH"/>
    <x v="0"/>
    <n v="475"/>
    <n v="134"/>
    <n v="341"/>
    <n v="74"/>
    <n v="54334"/>
    <n v="65123.55"/>
    <n v="18527894"/>
    <n v="1"/>
    <n v="12"/>
    <n v="3.9"/>
    <d v="2026-05-17T00:00:00"/>
    <x v="0"/>
  </r>
  <r>
    <s v="P054"/>
    <s v="Mixer 54"/>
    <x v="2"/>
    <s v="Bengaluru WH"/>
    <x v="2"/>
    <n v="318"/>
    <n v="186"/>
    <n v="132"/>
    <n v="48"/>
    <n v="13644"/>
    <n v="16677.38"/>
    <n v="1801008"/>
    <n v="2"/>
    <n v="13"/>
    <n v="4.4000000000000004"/>
    <d v="2026-05-18T00:00:00"/>
    <x v="0"/>
  </r>
  <r>
    <s v="P064"/>
    <s v="Table 64"/>
    <x v="1"/>
    <s v="Delhi WH"/>
    <x v="1"/>
    <n v="440"/>
    <n v="174"/>
    <n v="266"/>
    <n v="65"/>
    <n v="6843"/>
    <n v="7772.86"/>
    <n v="1820238"/>
    <n v="1"/>
    <n v="12"/>
    <n v="4"/>
    <d v="2026-04-17T00:00:00"/>
    <x v="0"/>
  </r>
  <r>
    <s v="P099"/>
    <s v="Chair 99"/>
    <x v="1"/>
    <s v="Mumbai WH"/>
    <x v="1"/>
    <n v="141"/>
    <n v="40"/>
    <n v="101"/>
    <n v="38"/>
    <n v="48037"/>
    <n v="63977.08"/>
    <n v="4851737"/>
    <n v="0"/>
    <n v="4"/>
    <n v="4.2"/>
    <d v="2026-04-15T00:00:00"/>
    <x v="0"/>
  </r>
  <r>
    <s v="P012"/>
    <s v="Table 12"/>
    <x v="1"/>
    <s v="Delhi WH"/>
    <x v="1"/>
    <n v="498"/>
    <n v="396"/>
    <n v="102"/>
    <n v="63"/>
    <n v="44448"/>
    <n v="55013.8"/>
    <n v="4533696"/>
    <n v="3"/>
    <n v="9"/>
    <n v="4"/>
    <d v="2026-06-01T00:00:00"/>
    <x v="0"/>
  </r>
  <r>
    <s v="P064"/>
    <s v="Table 64"/>
    <x v="1"/>
    <s v="Bengaluru WH"/>
    <x v="2"/>
    <n v="97"/>
    <n v="39"/>
    <n v="58"/>
    <n v="42"/>
    <n v="13465"/>
    <n v="17483.439999999999"/>
    <n v="780970"/>
    <n v="0"/>
    <n v="12"/>
    <n v="4.9000000000000004"/>
    <d v="2026-06-24T00:00:00"/>
    <x v="0"/>
  </r>
  <r>
    <s v="P075"/>
    <s v="Mixer 75"/>
    <x v="2"/>
    <s v="Mumbai WH"/>
    <x v="3"/>
    <n v="347"/>
    <n v="336"/>
    <n v="11"/>
    <n v="29"/>
    <n v="1658"/>
    <n v="2176.34"/>
    <n v="18238"/>
    <n v="4"/>
    <n v="14"/>
    <n v="3.6"/>
    <d v="2026-05-31T00:00:00"/>
    <x v="1"/>
  </r>
  <r>
    <s v="P060"/>
    <s v="Mixer 60"/>
    <x v="2"/>
    <s v="Mumbai WH"/>
    <x v="1"/>
    <n v="331"/>
    <n v="255"/>
    <n v="76"/>
    <n v="32"/>
    <n v="50606"/>
    <n v="59446.879999999997"/>
    <n v="3846056"/>
    <n v="5"/>
    <n v="12"/>
    <n v="4.8"/>
    <d v="2026-03-15T00:00:00"/>
    <x v="0"/>
  </r>
  <r>
    <s v="P001"/>
    <s v="Shoes 1"/>
    <x v="3"/>
    <s v="Bengaluru WH"/>
    <x v="3"/>
    <n v="442"/>
    <n v="442"/>
    <n v="0"/>
    <n v="73"/>
    <n v="1516"/>
    <n v="1825.6"/>
    <n v="0"/>
    <n v="5"/>
    <n v="2"/>
    <n v="4.5"/>
    <d v="2026-06-04T00:00:00"/>
    <x v="2"/>
  </r>
  <r>
    <s v="P091"/>
    <s v="Laptop 91"/>
    <x v="0"/>
    <s v="Bengaluru WH"/>
    <x v="3"/>
    <n v="397"/>
    <n v="229"/>
    <n v="168"/>
    <n v="50"/>
    <n v="57849"/>
    <n v="65567.53"/>
    <n v="9718632"/>
    <n v="1"/>
    <n v="12"/>
    <n v="4.3"/>
    <d v="2026-02-10T00:00:00"/>
    <x v="0"/>
  </r>
  <r>
    <s v="P006"/>
    <s v="Mobile 6"/>
    <x v="0"/>
    <s v="Delhi WH"/>
    <x v="2"/>
    <n v="401"/>
    <n v="263"/>
    <n v="138"/>
    <n v="80"/>
    <n v="4844"/>
    <n v="6516.45"/>
    <n v="668472"/>
    <n v="4"/>
    <n v="12"/>
    <n v="4.2"/>
    <d v="2026-06-12T00:00:00"/>
    <x v="0"/>
  </r>
  <r>
    <s v="P070"/>
    <s v="Laptop 70"/>
    <x v="0"/>
    <s v="Delhi WH"/>
    <x v="2"/>
    <n v="146"/>
    <n v="108"/>
    <n v="38"/>
    <n v="58"/>
    <n v="2323"/>
    <n v="2753.22"/>
    <n v="88274"/>
    <n v="4"/>
    <n v="3"/>
    <n v="4.5"/>
    <d v="2026-02-03T00:00:00"/>
    <x v="1"/>
  </r>
  <r>
    <s v="P082"/>
    <s v="Mobile 82"/>
    <x v="0"/>
    <s v="Delhi WH"/>
    <x v="0"/>
    <n v="279"/>
    <n v="20"/>
    <n v="259"/>
    <n v="41"/>
    <n v="54453"/>
    <n v="62530.47"/>
    <n v="14103327"/>
    <n v="0"/>
    <n v="8"/>
    <n v="4.0999999999999996"/>
    <d v="2026-03-07T00:00:00"/>
    <x v="0"/>
  </r>
  <r>
    <s v="P055"/>
    <s v="Chair 55"/>
    <x v="1"/>
    <s v="Kolkata WH"/>
    <x v="1"/>
    <n v="178"/>
    <n v="1"/>
    <n v="177"/>
    <n v="69"/>
    <n v="34031"/>
    <n v="45331.13"/>
    <n v="6023487"/>
    <n v="0"/>
    <n v="6"/>
    <n v="4.5999999999999996"/>
    <d v="2026-04-18T00:00:00"/>
    <x v="0"/>
  </r>
  <r>
    <s v="P008"/>
    <s v="Shoes 8"/>
    <x v="3"/>
    <s v="Mumbai WH"/>
    <x v="0"/>
    <n v="295"/>
    <n v="62"/>
    <n v="233"/>
    <n v="30"/>
    <n v="5689"/>
    <n v="7743.88"/>
    <n v="1325537"/>
    <n v="4"/>
    <n v="8"/>
    <n v="4.5999999999999996"/>
    <d v="2026-04-07T00:00:00"/>
    <x v="0"/>
  </r>
  <r>
    <s v="P041"/>
    <s v="Table 41"/>
    <x v="1"/>
    <s v="Bengaluru WH"/>
    <x v="2"/>
    <n v="75"/>
    <n v="35"/>
    <n v="40"/>
    <n v="40"/>
    <n v="23748"/>
    <n v="31823.48"/>
    <n v="949920"/>
    <n v="2"/>
    <n v="7"/>
    <n v="4.7"/>
    <d v="2026-03-20T00:00:00"/>
    <x v="0"/>
  </r>
  <r>
    <s v="P086"/>
    <s v="Mobile 86"/>
    <x v="0"/>
    <s v="Kolkata WH"/>
    <x v="0"/>
    <n v="271"/>
    <n v="113"/>
    <n v="158"/>
    <n v="76"/>
    <n v="8715"/>
    <n v="11466.63"/>
    <n v="1376970"/>
    <n v="3"/>
    <n v="5"/>
    <n v="4.5999999999999996"/>
    <d v="2026-06-09T00:00:00"/>
    <x v="0"/>
  </r>
  <r>
    <s v="P027"/>
    <s v="Chair 27"/>
    <x v="1"/>
    <s v="Delhi WH"/>
    <x v="2"/>
    <n v="455"/>
    <n v="281"/>
    <n v="174"/>
    <n v="66"/>
    <n v="20889"/>
    <n v="25963.7"/>
    <n v="3634686"/>
    <n v="3"/>
    <n v="8"/>
    <n v="4.2"/>
    <d v="2026-05-15T00:00:00"/>
    <x v="0"/>
  </r>
  <r>
    <s v="P042"/>
    <s v="Table 42"/>
    <x v="1"/>
    <s v="Kolkata WH"/>
    <x v="1"/>
    <n v="255"/>
    <n v="3"/>
    <n v="252"/>
    <n v="35"/>
    <n v="46244"/>
    <n v="64352.79"/>
    <n v="11653488"/>
    <n v="3"/>
    <n v="13"/>
    <n v="4.5"/>
    <d v="2026-05-02T00:00:00"/>
    <x v="0"/>
  </r>
  <r>
    <s v="P080"/>
    <s v="Shoes 80"/>
    <x v="3"/>
    <s v="Kolkata WH"/>
    <x v="3"/>
    <n v="182"/>
    <n v="106"/>
    <n v="76"/>
    <n v="60"/>
    <n v="9302"/>
    <n v="12920.62"/>
    <n v="706952"/>
    <n v="2"/>
    <n v="15"/>
    <n v="3.9"/>
    <d v="2026-04-26T00:00:00"/>
    <x v="0"/>
  </r>
  <r>
    <s v="P086"/>
    <s v="Mobile 86"/>
    <x v="0"/>
    <s v="Kolkata WH"/>
    <x v="1"/>
    <n v="140"/>
    <n v="12"/>
    <n v="128"/>
    <n v="34"/>
    <n v="44131"/>
    <n v="60544.480000000003"/>
    <n v="5648768"/>
    <n v="0"/>
    <n v="14"/>
    <n v="4.3"/>
    <d v="2026-04-03T00:00:00"/>
    <x v="0"/>
  </r>
  <r>
    <s v="P094"/>
    <s v="Table 94"/>
    <x v="1"/>
    <s v="Delhi WH"/>
    <x v="3"/>
    <n v="157"/>
    <n v="5"/>
    <n v="152"/>
    <n v="62"/>
    <n v="57986"/>
    <n v="65349.01"/>
    <n v="8813872"/>
    <n v="5"/>
    <n v="10"/>
    <n v="3.9"/>
    <d v="2026-03-26T00:00:00"/>
    <x v="0"/>
  </r>
  <r>
    <s v="P059"/>
    <s v="Laptop 59"/>
    <x v="0"/>
    <s v="Kolkata WH"/>
    <x v="2"/>
    <n v="498"/>
    <n v="374"/>
    <n v="124"/>
    <n v="43"/>
    <n v="57157"/>
    <n v="65706.64"/>
    <n v="7087468"/>
    <n v="0"/>
    <n v="3"/>
    <n v="4.5"/>
    <d v="2026-06-11T00:00:00"/>
    <x v="0"/>
  </r>
  <r>
    <s v="P053"/>
    <s v="Laptop 53"/>
    <x v="0"/>
    <s v="Delhi WH"/>
    <x v="3"/>
    <n v="108"/>
    <n v="49"/>
    <n v="59"/>
    <n v="78"/>
    <n v="18754"/>
    <n v="24380.89"/>
    <n v="1106486"/>
    <n v="4"/>
    <n v="8"/>
    <n v="3.8"/>
    <d v="2026-06-03T00:00:00"/>
    <x v="1"/>
  </r>
  <r>
    <s v="P039"/>
    <s v="Shoes 39"/>
    <x v="3"/>
    <s v="Mumbai WH"/>
    <x v="1"/>
    <n v="56"/>
    <n v="18"/>
    <n v="38"/>
    <n v="44"/>
    <n v="15798"/>
    <n v="20417.45"/>
    <n v="600324"/>
    <n v="4"/>
    <n v="8"/>
    <n v="4.9000000000000004"/>
    <d v="2026-01-12T00:00:00"/>
    <x v="1"/>
  </r>
  <r>
    <s v="P088"/>
    <s v="Mobile 88"/>
    <x v="0"/>
    <s v="Kolkata WH"/>
    <x v="3"/>
    <n v="300"/>
    <n v="6"/>
    <n v="294"/>
    <n v="38"/>
    <n v="30814"/>
    <n v="34938.31"/>
    <n v="9059316"/>
    <n v="3"/>
    <n v="15"/>
    <n v="3.5"/>
    <d v="2026-06-14T00:00:00"/>
    <x v="0"/>
  </r>
  <r>
    <s v="P083"/>
    <s v="Table 83"/>
    <x v="1"/>
    <s v="Mumbai WH"/>
    <x v="2"/>
    <n v="476"/>
    <n v="464"/>
    <n v="12"/>
    <n v="39"/>
    <n v="13495"/>
    <n v="14945.49"/>
    <n v="161940"/>
    <n v="1"/>
    <n v="12"/>
    <n v="4.7"/>
    <d v="2026-01-28T00:00:00"/>
    <x v="1"/>
  </r>
  <r>
    <s v="P003"/>
    <s v="Mixer 3"/>
    <x v="2"/>
    <s v="Mumbai WH"/>
    <x v="3"/>
    <n v="179"/>
    <n v="168"/>
    <n v="11"/>
    <n v="27"/>
    <n v="16934"/>
    <n v="21409.97"/>
    <n v="186274"/>
    <n v="4"/>
    <n v="14"/>
    <n v="3.7"/>
    <d v="2026-05-03T00:00:00"/>
    <x v="1"/>
  </r>
  <r>
    <s v="P035"/>
    <s v="Table 35"/>
    <x v="1"/>
    <s v="Bengaluru WH"/>
    <x v="3"/>
    <n v="496"/>
    <n v="153"/>
    <n v="343"/>
    <n v="39"/>
    <n v="19474"/>
    <n v="25280.37"/>
    <n v="6679582"/>
    <n v="2"/>
    <n v="10"/>
    <n v="3.6"/>
    <d v="2026-02-13T00:00:00"/>
    <x v="0"/>
  </r>
  <r>
    <s v="P032"/>
    <s v="Chair 32"/>
    <x v="1"/>
    <s v="Delhi WH"/>
    <x v="1"/>
    <n v="267"/>
    <n v="146"/>
    <n v="121"/>
    <n v="38"/>
    <n v="39551"/>
    <n v="54162.44"/>
    <n v="4785671"/>
    <n v="5"/>
    <n v="12"/>
    <n v="3.8"/>
    <d v="2026-05-02T00:00:00"/>
    <x v="0"/>
  </r>
  <r>
    <s v="P017"/>
    <s v="Shoes 17"/>
    <x v="3"/>
    <s v="Bengaluru WH"/>
    <x v="0"/>
    <n v="373"/>
    <n v="204"/>
    <n v="169"/>
    <n v="34"/>
    <n v="40404"/>
    <n v="52869.38"/>
    <n v="6828276"/>
    <n v="1"/>
    <n v="10"/>
    <n v="3.7"/>
    <d v="2026-06-01T00:00:00"/>
    <x v="0"/>
  </r>
  <r>
    <s v="P096"/>
    <s v="Chair 96"/>
    <x v="1"/>
    <s v="Bengaluru WH"/>
    <x v="2"/>
    <n v="229"/>
    <n v="71"/>
    <n v="158"/>
    <n v="38"/>
    <n v="53447"/>
    <n v="68045"/>
    <n v="8444626"/>
    <n v="0"/>
    <n v="3"/>
    <n v="3.6"/>
    <d v="2026-04-27T00:00:00"/>
    <x v="0"/>
  </r>
  <r>
    <s v="P094"/>
    <s v="Table 94"/>
    <x v="1"/>
    <s v="Bengaluru WH"/>
    <x v="3"/>
    <n v="476"/>
    <n v="415"/>
    <n v="61"/>
    <n v="21"/>
    <n v="31301"/>
    <n v="41221.449999999997"/>
    <n v="1909361"/>
    <n v="5"/>
    <n v="7"/>
    <n v="3.5"/>
    <d v="2026-03-30T00:00:00"/>
    <x v="0"/>
  </r>
  <r>
    <s v="P046"/>
    <s v="Laptop 46"/>
    <x v="0"/>
    <s v="Kolkata WH"/>
    <x v="1"/>
    <n v="212"/>
    <n v="138"/>
    <n v="74"/>
    <n v="62"/>
    <n v="50936"/>
    <n v="60888.83"/>
    <n v="3769264"/>
    <n v="1"/>
    <n v="8"/>
    <n v="4.0999999999999996"/>
    <d v="2026-04-05T00:00:00"/>
    <x v="0"/>
  </r>
  <r>
    <s v="P040"/>
    <s v="Chair 40"/>
    <x v="1"/>
    <s v="Bengaluru WH"/>
    <x v="1"/>
    <n v="284"/>
    <n v="207"/>
    <n v="77"/>
    <n v="42"/>
    <n v="16970"/>
    <n v="21221.56"/>
    <n v="1306690"/>
    <n v="4"/>
    <n v="3"/>
    <n v="4.2"/>
    <d v="2026-05-05T00:00:00"/>
    <x v="0"/>
  </r>
  <r>
    <s v="P047"/>
    <s v="Table 47"/>
    <x v="1"/>
    <s v="Bengaluru WH"/>
    <x v="3"/>
    <n v="394"/>
    <n v="250"/>
    <n v="144"/>
    <n v="41"/>
    <n v="56649"/>
    <n v="72794.320000000007"/>
    <n v="8157456"/>
    <n v="4"/>
    <n v="15"/>
    <n v="4"/>
    <d v="2026-05-11T00:00:00"/>
    <x v="0"/>
  </r>
  <r>
    <s v="P047"/>
    <s v="Table 47"/>
    <x v="1"/>
    <s v="Delhi WH"/>
    <x v="1"/>
    <n v="448"/>
    <n v="414"/>
    <n v="34"/>
    <n v="64"/>
    <n v="25478"/>
    <n v="30807.99"/>
    <n v="866252"/>
    <n v="0"/>
    <n v="7"/>
    <n v="4.3"/>
    <d v="2026-05-28T00:00:00"/>
    <x v="1"/>
  </r>
  <r>
    <s v="P080"/>
    <s v="Shoes 80"/>
    <x v="3"/>
    <s v="Delhi WH"/>
    <x v="0"/>
    <n v="480"/>
    <n v="28"/>
    <n v="452"/>
    <n v="38"/>
    <n v="30626"/>
    <n v="35391.18"/>
    <n v="13842952"/>
    <n v="1"/>
    <n v="11"/>
    <n v="3.9"/>
    <d v="2026-03-20T00:00:00"/>
    <x v="0"/>
  </r>
  <r>
    <s v="P044"/>
    <s v="Chair 44"/>
    <x v="1"/>
    <s v="Delhi WH"/>
    <x v="1"/>
    <n v="451"/>
    <n v="397"/>
    <n v="54"/>
    <n v="42"/>
    <n v="36636"/>
    <n v="47567.49"/>
    <n v="1978344"/>
    <n v="0"/>
    <n v="14"/>
    <n v="4.8"/>
    <d v="2026-04-07T00:00:00"/>
    <x v="0"/>
  </r>
  <r>
    <s v="P053"/>
    <s v="Laptop 53"/>
    <x v="0"/>
    <s v="Mumbai WH"/>
    <x v="0"/>
    <n v="478"/>
    <n v="400"/>
    <n v="78"/>
    <n v="77"/>
    <n v="12790"/>
    <n v="17203.79"/>
    <n v="997620"/>
    <n v="0"/>
    <n v="10"/>
    <n v="4.2"/>
    <d v="2026-05-12T00:00:00"/>
    <x v="0"/>
  </r>
  <r>
    <s v="P004"/>
    <s v="Mixer 4"/>
    <x v="2"/>
    <s v="Delhi WH"/>
    <x v="0"/>
    <n v="472"/>
    <n v="436"/>
    <n v="36"/>
    <n v="35"/>
    <n v="19783"/>
    <n v="22317.51"/>
    <n v="712188"/>
    <n v="1"/>
    <n v="15"/>
    <n v="3.6"/>
    <d v="2026-01-09T00:00:00"/>
    <x v="0"/>
  </r>
  <r>
    <s v="P009"/>
    <s v="Laptop 9"/>
    <x v="0"/>
    <s v="Bengaluru WH"/>
    <x v="1"/>
    <n v="53"/>
    <n v="41"/>
    <n v="12"/>
    <n v="22"/>
    <n v="46631"/>
    <n v="52185.95"/>
    <n v="559572"/>
    <n v="5"/>
    <n v="11"/>
    <n v="3.7"/>
    <d v="2026-02-16T00:00:00"/>
    <x v="1"/>
  </r>
  <r>
    <s v="P036"/>
    <s v="Shoes 36"/>
    <x v="3"/>
    <s v="Bengaluru WH"/>
    <x v="0"/>
    <n v="265"/>
    <n v="2"/>
    <n v="263"/>
    <n v="72"/>
    <n v="10656"/>
    <n v="12774.78"/>
    <n v="2802528"/>
    <n v="5"/>
    <n v="10"/>
    <n v="4.8"/>
    <d v="2026-03-12T00:00:00"/>
    <x v="0"/>
  </r>
  <r>
    <s v="P043"/>
    <s v="Mobile 43"/>
    <x v="0"/>
    <s v="Delhi WH"/>
    <x v="1"/>
    <n v="232"/>
    <n v="74"/>
    <n v="158"/>
    <n v="28"/>
    <n v="57823"/>
    <n v="69958.05"/>
    <n v="9136034"/>
    <n v="5"/>
    <n v="13"/>
    <n v="3.8"/>
    <d v="2026-01-23T00:00:00"/>
    <x v="0"/>
  </r>
  <r>
    <s v="P081"/>
    <s v="Laptop 81"/>
    <x v="0"/>
    <s v="Mumbai WH"/>
    <x v="1"/>
    <n v="240"/>
    <n v="162"/>
    <n v="78"/>
    <n v="35"/>
    <n v="25231"/>
    <n v="33355.839999999997"/>
    <n v="1968018"/>
    <n v="2"/>
    <n v="12"/>
    <n v="4.5999999999999996"/>
    <d v="2026-01-18T00:00:00"/>
    <x v="0"/>
  </r>
  <r>
    <s v="P078"/>
    <s v="Chair 78"/>
    <x v="1"/>
    <s v="Kolkata WH"/>
    <x v="0"/>
    <n v="76"/>
    <n v="36"/>
    <n v="40"/>
    <n v="76"/>
    <n v="5103"/>
    <n v="5716.85"/>
    <n v="204120"/>
    <n v="3"/>
    <n v="14"/>
    <n v="4.5999999999999996"/>
    <d v="2026-03-22T00:00:00"/>
    <x v="1"/>
  </r>
  <r>
    <s v="P032"/>
    <s v="Chair 32"/>
    <x v="1"/>
    <s v="Bengaluru WH"/>
    <x v="2"/>
    <n v="406"/>
    <n v="48"/>
    <n v="358"/>
    <n v="71"/>
    <n v="21152"/>
    <n v="28464.639999999999"/>
    <n v="7572416"/>
    <n v="5"/>
    <n v="12"/>
    <n v="3.9"/>
    <d v="2026-04-06T00:00:00"/>
    <x v="0"/>
  </r>
  <r>
    <s v="P057"/>
    <s v="Shoes 57"/>
    <x v="3"/>
    <s v="Kolkata WH"/>
    <x v="3"/>
    <n v="429"/>
    <n v="72"/>
    <n v="357"/>
    <n v="60"/>
    <n v="24331"/>
    <n v="32541.32"/>
    <n v="8686167"/>
    <n v="0"/>
    <n v="12"/>
    <n v="4.0999999999999996"/>
    <d v="2026-05-21T00:00:00"/>
    <x v="0"/>
  </r>
  <r>
    <s v="P072"/>
    <s v="Laptop 72"/>
    <x v="0"/>
    <s v="Bengaluru WH"/>
    <x v="0"/>
    <n v="111"/>
    <n v="26"/>
    <n v="85"/>
    <n v="54"/>
    <n v="44107"/>
    <n v="56382.879999999997"/>
    <n v="3749095"/>
    <n v="2"/>
    <n v="9"/>
    <n v="4.8"/>
    <d v="2026-06-16T00:00:00"/>
    <x v="0"/>
  </r>
  <r>
    <s v="P056"/>
    <s v="Shoes 56"/>
    <x v="3"/>
    <s v="Mumbai WH"/>
    <x v="2"/>
    <n v="53"/>
    <n v="4"/>
    <n v="49"/>
    <n v="52"/>
    <n v="41934"/>
    <n v="55713.1"/>
    <n v="2054766"/>
    <n v="1"/>
    <n v="10"/>
    <n v="4.8"/>
    <d v="2026-06-07T00:00:00"/>
    <x v="1"/>
  </r>
  <r>
    <s v="P096"/>
    <s v="Chair 96"/>
    <x v="1"/>
    <s v="Mumbai WH"/>
    <x v="0"/>
    <n v="219"/>
    <n v="135"/>
    <n v="84"/>
    <n v="80"/>
    <n v="34491"/>
    <n v="44464.04"/>
    <n v="2897244"/>
    <n v="3"/>
    <n v="14"/>
    <n v="3.6"/>
    <d v="2026-04-22T00:00:00"/>
    <x v="0"/>
  </r>
  <r>
    <s v="P073"/>
    <s v="Mixer 73"/>
    <x v="2"/>
    <s v="Bengaluru WH"/>
    <x v="3"/>
    <n v="149"/>
    <n v="59"/>
    <n v="90"/>
    <n v="36"/>
    <n v="18620"/>
    <n v="22844.58"/>
    <n v="1675800"/>
    <n v="2"/>
    <n v="3"/>
    <n v="3.7"/>
    <d v="2026-06-23T00:00:00"/>
    <x v="0"/>
  </r>
  <r>
    <s v="P059"/>
    <s v="Laptop 59"/>
    <x v="0"/>
    <s v="Mumbai WH"/>
    <x v="2"/>
    <n v="155"/>
    <n v="54"/>
    <n v="101"/>
    <n v="70"/>
    <n v="39540"/>
    <n v="51326.71"/>
    <n v="3993540"/>
    <n v="3"/>
    <n v="7"/>
    <n v="4.7"/>
    <d v="2026-04-30T00:00:00"/>
    <x v="0"/>
  </r>
  <r>
    <s v="P016"/>
    <s v="Chair 16"/>
    <x v="1"/>
    <s v="Bengaluru WH"/>
    <x v="2"/>
    <n v="255"/>
    <n v="250"/>
    <n v="5"/>
    <n v="49"/>
    <n v="47674"/>
    <n v="61068.06"/>
    <n v="238370"/>
    <n v="4"/>
    <n v="13"/>
    <n v="3.6"/>
    <d v="2026-05-24T00:00:00"/>
    <x v="1"/>
  </r>
  <r>
    <s v="P058"/>
    <s v="Mobile 58"/>
    <x v="0"/>
    <s v="Mumbai WH"/>
    <x v="0"/>
    <n v="114"/>
    <n v="93"/>
    <n v="21"/>
    <n v="48"/>
    <n v="39569"/>
    <n v="51875.73"/>
    <n v="830949"/>
    <n v="2"/>
    <n v="2"/>
    <n v="4.9000000000000004"/>
    <d v="2026-03-30T00:00:00"/>
    <x v="1"/>
  </r>
  <r>
    <s v="P019"/>
    <s v="Laptop 19"/>
    <x v="0"/>
    <s v="Kolkata WH"/>
    <x v="1"/>
    <n v="498"/>
    <n v="163"/>
    <n v="335"/>
    <n v="71"/>
    <n v="14250"/>
    <n v="18499.689999999999"/>
    <n v="4773750"/>
    <n v="5"/>
    <n v="12"/>
    <n v="4.9000000000000004"/>
    <d v="2026-04-05T00:00:00"/>
    <x v="0"/>
  </r>
  <r>
    <s v="P098"/>
    <s v="Mobile 98"/>
    <x v="0"/>
    <s v="Delhi WH"/>
    <x v="0"/>
    <n v="333"/>
    <n v="173"/>
    <n v="160"/>
    <n v="44"/>
    <n v="37440"/>
    <n v="44718.42"/>
    <n v="5990400"/>
    <n v="0"/>
    <n v="14"/>
    <n v="4.2"/>
    <d v="2026-01-14T00:00:00"/>
    <x v="0"/>
  </r>
  <r>
    <s v="P045"/>
    <s v="Chair 45"/>
    <x v="1"/>
    <s v="Mumbai WH"/>
    <x v="2"/>
    <n v="420"/>
    <n v="169"/>
    <n v="251"/>
    <n v="51"/>
    <n v="10030"/>
    <n v="12643.71"/>
    <n v="2517530"/>
    <n v="0"/>
    <n v="15"/>
    <n v="4.9000000000000004"/>
    <d v="2026-03-26T00:00:00"/>
    <x v="0"/>
  </r>
  <r>
    <s v="P093"/>
    <s v="Shoes 93"/>
    <x v="3"/>
    <s v="Delhi WH"/>
    <x v="3"/>
    <n v="470"/>
    <n v="12"/>
    <n v="458"/>
    <n v="21"/>
    <n v="12282"/>
    <n v="16851.07"/>
    <n v="5625156"/>
    <n v="0"/>
    <n v="3"/>
    <n v="4.8"/>
    <d v="2026-06-29T00:00:00"/>
    <x v="0"/>
  </r>
  <r>
    <s v="P088"/>
    <s v="Mobile 88"/>
    <x v="0"/>
    <s v="Delhi WH"/>
    <x v="0"/>
    <n v="383"/>
    <n v="305"/>
    <n v="78"/>
    <n v="51"/>
    <n v="47187"/>
    <n v="58169.18"/>
    <n v="3680586"/>
    <n v="3"/>
    <n v="7"/>
    <n v="4.4000000000000004"/>
    <d v="2026-01-07T00:00:00"/>
    <x v="0"/>
  </r>
  <r>
    <s v="P093"/>
    <s v="Shoes 93"/>
    <x v="3"/>
    <s v="Bengaluru WH"/>
    <x v="3"/>
    <n v="126"/>
    <n v="125"/>
    <n v="1"/>
    <n v="48"/>
    <n v="6997"/>
    <n v="7797.13"/>
    <n v="6997"/>
    <n v="4"/>
    <n v="7"/>
    <n v="4.4000000000000004"/>
    <d v="2026-03-07T00:00:00"/>
    <x v="1"/>
  </r>
  <r>
    <s v="P009"/>
    <s v="Laptop 9"/>
    <x v="0"/>
    <s v="Mumbai WH"/>
    <x v="3"/>
    <n v="225"/>
    <n v="61"/>
    <n v="164"/>
    <n v="37"/>
    <n v="5297"/>
    <n v="7373.41"/>
    <n v="868708"/>
    <n v="3"/>
    <n v="8"/>
    <n v="5"/>
    <d v="2026-02-25T00:00:00"/>
    <x v="0"/>
  </r>
  <r>
    <s v="P040"/>
    <s v="Chair 40"/>
    <x v="1"/>
    <s v="Bengaluru WH"/>
    <x v="2"/>
    <n v="293"/>
    <n v="58"/>
    <n v="235"/>
    <n v="78"/>
    <n v="59665"/>
    <n v="81307.100000000006"/>
    <n v="14021275"/>
    <n v="0"/>
    <n v="2"/>
    <n v="4.7"/>
    <d v="2026-02-24T00:00:00"/>
    <x v="0"/>
  </r>
  <r>
    <s v="P074"/>
    <s v="Mixer 74"/>
    <x v="2"/>
    <s v="Bengaluru WH"/>
    <x v="0"/>
    <n v="139"/>
    <n v="4"/>
    <n v="135"/>
    <n v="57"/>
    <n v="18066"/>
    <n v="21293.91"/>
    <n v="2438910"/>
    <n v="5"/>
    <n v="3"/>
    <n v="4.8"/>
    <d v="2026-02-12T00:00:00"/>
    <x v="0"/>
  </r>
  <r>
    <s v="P027"/>
    <s v="Chair 27"/>
    <x v="1"/>
    <s v="Mumbai WH"/>
    <x v="0"/>
    <n v="169"/>
    <n v="116"/>
    <n v="53"/>
    <n v="72"/>
    <n v="37151"/>
    <n v="47595.5"/>
    <n v="1969003"/>
    <n v="0"/>
    <n v="14"/>
    <n v="4.8"/>
    <d v="2026-04-25T00:00:00"/>
    <x v="1"/>
  </r>
  <r>
    <s v="P012"/>
    <s v="Table 12"/>
    <x v="1"/>
    <s v="Mumbai WH"/>
    <x v="1"/>
    <n v="482"/>
    <n v="268"/>
    <n v="214"/>
    <n v="22"/>
    <n v="41369"/>
    <n v="47961.72"/>
    <n v="8852966"/>
    <n v="5"/>
    <n v="8"/>
    <n v="4.7"/>
    <d v="2026-04-18T00:00:00"/>
    <x v="0"/>
  </r>
  <r>
    <s v="P081"/>
    <s v="Laptop 81"/>
    <x v="0"/>
    <s v="Kolkata WH"/>
    <x v="1"/>
    <n v="269"/>
    <n v="29"/>
    <n v="240"/>
    <n v="35"/>
    <n v="19158"/>
    <n v="23842.79"/>
    <n v="4597920"/>
    <n v="5"/>
    <n v="5"/>
    <n v="4.2"/>
    <d v="2026-05-16T00:00:00"/>
    <x v="0"/>
  </r>
  <r>
    <s v="P038"/>
    <s v="Mobile 38"/>
    <x v="0"/>
    <s v="Bengaluru WH"/>
    <x v="0"/>
    <n v="438"/>
    <n v="80"/>
    <n v="358"/>
    <n v="48"/>
    <n v="23186"/>
    <n v="30291.03"/>
    <n v="8300588"/>
    <n v="0"/>
    <n v="7"/>
    <n v="3.8"/>
    <d v="2026-02-06T00:00:00"/>
    <x v="0"/>
  </r>
  <r>
    <s v="P008"/>
    <s v="Shoes 8"/>
    <x v="3"/>
    <s v="Delhi WH"/>
    <x v="1"/>
    <n v="431"/>
    <n v="123"/>
    <n v="308"/>
    <n v="29"/>
    <n v="10649"/>
    <n v="13575.53"/>
    <n v="3279892"/>
    <n v="5"/>
    <n v="15"/>
    <n v="4.4000000000000004"/>
    <d v="2026-06-18T00:00:00"/>
    <x v="0"/>
  </r>
  <r>
    <s v="P027"/>
    <s v="Chair 27"/>
    <x v="1"/>
    <s v="Mumbai WH"/>
    <x v="3"/>
    <n v="131"/>
    <n v="109"/>
    <n v="22"/>
    <n v="24"/>
    <n v="29623"/>
    <n v="37864.019999999997"/>
    <n v="651706"/>
    <n v="1"/>
    <n v="11"/>
    <n v="4.3"/>
    <d v="2026-06-07T00:00:00"/>
    <x v="1"/>
  </r>
  <r>
    <s v="P091"/>
    <s v="Laptop 91"/>
    <x v="0"/>
    <s v="Mumbai WH"/>
    <x v="3"/>
    <n v="183"/>
    <n v="108"/>
    <n v="75"/>
    <n v="22"/>
    <n v="57717"/>
    <n v="68071.8"/>
    <n v="4328775"/>
    <n v="3"/>
    <n v="7"/>
    <n v="4.8"/>
    <d v="2026-02-13T00:00:00"/>
    <x v="0"/>
  </r>
  <r>
    <s v="P084"/>
    <s v="Laptop 84"/>
    <x v="0"/>
    <s v="Kolkata WH"/>
    <x v="3"/>
    <n v="156"/>
    <n v="6"/>
    <n v="150"/>
    <n v="41"/>
    <n v="16807"/>
    <n v="18984.240000000002"/>
    <n v="2521050"/>
    <n v="0"/>
    <n v="8"/>
    <n v="4.5"/>
    <d v="2026-05-02T00:00:00"/>
    <x v="0"/>
  </r>
  <r>
    <s v="P030"/>
    <s v="Mixer 30"/>
    <x v="2"/>
    <s v="Kolkata WH"/>
    <x v="0"/>
    <n v="498"/>
    <n v="143"/>
    <n v="355"/>
    <n v="50"/>
    <n v="53455"/>
    <n v="61134.6"/>
    <n v="18976525"/>
    <n v="4"/>
    <n v="10"/>
    <n v="3.9"/>
    <d v="2026-03-25T00:00:00"/>
    <x v="0"/>
  </r>
  <r>
    <s v="P020"/>
    <s v="Shoes 20"/>
    <x v="3"/>
    <s v="Delhi WH"/>
    <x v="0"/>
    <n v="380"/>
    <n v="301"/>
    <n v="79"/>
    <n v="36"/>
    <n v="15283"/>
    <n v="21029.83"/>
    <n v="1207357"/>
    <n v="1"/>
    <n v="4"/>
    <n v="4"/>
    <d v="2026-04-29T00:00:00"/>
    <x v="0"/>
  </r>
  <r>
    <s v="P016"/>
    <s v="Chair 16"/>
    <x v="1"/>
    <s v="Delhi WH"/>
    <x v="3"/>
    <n v="435"/>
    <n v="246"/>
    <n v="189"/>
    <n v="25"/>
    <n v="39426"/>
    <n v="52374.37"/>
    <n v="7451514"/>
    <n v="2"/>
    <n v="15"/>
    <n v="4.2"/>
    <d v="2026-01-30T00:00:00"/>
    <x v="0"/>
  </r>
  <r>
    <s v="P084"/>
    <s v="Laptop 84"/>
    <x v="0"/>
    <s v="Delhi WH"/>
    <x v="3"/>
    <n v="331"/>
    <n v="137"/>
    <n v="194"/>
    <n v="21"/>
    <n v="18722"/>
    <n v="25365.3"/>
    <n v="3632068"/>
    <n v="3"/>
    <n v="8"/>
    <n v="3.8"/>
    <d v="2026-03-19T00:00:00"/>
    <x v="0"/>
  </r>
  <r>
    <s v="P075"/>
    <s v="Mixer 75"/>
    <x v="2"/>
    <s v="Delhi WH"/>
    <x v="1"/>
    <n v="88"/>
    <n v="41"/>
    <n v="47"/>
    <n v="25"/>
    <n v="43460"/>
    <n v="54098.02"/>
    <n v="2042620"/>
    <n v="1"/>
    <n v="6"/>
    <n v="4.9000000000000004"/>
    <d v="2026-03-14T00:00:00"/>
    <x v="0"/>
  </r>
  <r>
    <s v="P067"/>
    <s v="Mixer 67"/>
    <x v="2"/>
    <s v="Bengaluru WH"/>
    <x v="3"/>
    <n v="312"/>
    <n v="82"/>
    <n v="230"/>
    <n v="60"/>
    <n v="4729"/>
    <n v="5968.29"/>
    <n v="1087670"/>
    <n v="0"/>
    <n v="15"/>
    <n v="4.7"/>
    <d v="2026-05-11T00:00:00"/>
    <x v="0"/>
  </r>
  <r>
    <s v="P088"/>
    <s v="Mobile 88"/>
    <x v="0"/>
    <s v="Delhi WH"/>
    <x v="3"/>
    <n v="177"/>
    <n v="2"/>
    <n v="175"/>
    <n v="50"/>
    <n v="47986"/>
    <n v="55462.05"/>
    <n v="8397550"/>
    <n v="2"/>
    <n v="14"/>
    <n v="3.9"/>
    <d v="2026-04-29T00:00:00"/>
    <x v="0"/>
  </r>
  <r>
    <s v="P055"/>
    <s v="Chair 55"/>
    <x v="1"/>
    <s v="Bengaluru WH"/>
    <x v="0"/>
    <n v="158"/>
    <n v="93"/>
    <n v="65"/>
    <n v="47"/>
    <n v="58103"/>
    <n v="76464.800000000003"/>
    <n v="3776695"/>
    <n v="0"/>
    <n v="7"/>
    <n v="4.4000000000000004"/>
    <d v="2026-02-09T00:00:00"/>
    <x v="0"/>
  </r>
  <r>
    <s v="P066"/>
    <s v="Mobile 66"/>
    <x v="0"/>
    <s v="Bengaluru WH"/>
    <x v="3"/>
    <n v="387"/>
    <n v="135"/>
    <n v="252"/>
    <n v="41"/>
    <n v="42912"/>
    <n v="49921.35"/>
    <n v="10813824"/>
    <n v="1"/>
    <n v="3"/>
    <n v="3.8"/>
    <d v="2026-03-24T00:00:00"/>
    <x v="0"/>
  </r>
  <r>
    <s v="P073"/>
    <s v="Mixer 73"/>
    <x v="2"/>
    <s v="Mumbai WH"/>
    <x v="1"/>
    <n v="456"/>
    <n v="134"/>
    <n v="322"/>
    <n v="20"/>
    <n v="4594"/>
    <n v="5996.3"/>
    <n v="1479268"/>
    <n v="1"/>
    <n v="2"/>
    <n v="4.5999999999999996"/>
    <d v="2026-05-02T00:00:00"/>
    <x v="0"/>
  </r>
  <r>
    <s v="P019"/>
    <s v="Laptop 19"/>
    <x v="0"/>
    <s v="Mumbai WH"/>
    <x v="3"/>
    <n v="141"/>
    <n v="119"/>
    <n v="22"/>
    <n v="44"/>
    <n v="5126"/>
    <n v="6918.75"/>
    <n v="112772"/>
    <n v="2"/>
    <n v="5"/>
    <n v="4.0999999999999996"/>
    <d v="2026-06-10T00:00:00"/>
    <x v="1"/>
  </r>
  <r>
    <s v="P008"/>
    <s v="Shoes 8"/>
    <x v="3"/>
    <s v="Kolkata WH"/>
    <x v="1"/>
    <n v="456"/>
    <n v="58"/>
    <n v="398"/>
    <n v="20"/>
    <n v="41955"/>
    <n v="46811.33"/>
    <n v="16698090"/>
    <n v="5"/>
    <n v="2"/>
    <n v="3.5"/>
    <d v="2026-04-14T00:00:00"/>
    <x v="0"/>
  </r>
  <r>
    <s v="P003"/>
    <s v="Mixer 3"/>
    <x v="2"/>
    <s v="Bengaluru WH"/>
    <x v="1"/>
    <n v="198"/>
    <n v="59"/>
    <n v="139"/>
    <n v="65"/>
    <n v="42594"/>
    <n v="49837.26"/>
    <n v="5920566"/>
    <n v="5"/>
    <n v="14"/>
    <n v="4.7"/>
    <d v="2026-03-23T00:00:00"/>
    <x v="0"/>
  </r>
  <r>
    <s v="P006"/>
    <s v="Mobile 6"/>
    <x v="0"/>
    <s v="Delhi WH"/>
    <x v="3"/>
    <n v="488"/>
    <n v="202"/>
    <n v="286"/>
    <n v="43"/>
    <n v="14590"/>
    <n v="19862.84"/>
    <n v="4172740"/>
    <n v="2"/>
    <n v="13"/>
    <n v="4.3"/>
    <d v="2026-01-02T00:00:00"/>
    <x v="0"/>
  </r>
  <r>
    <s v="P035"/>
    <s v="Table 35"/>
    <x v="1"/>
    <s v="Bengaluru WH"/>
    <x v="1"/>
    <n v="277"/>
    <n v="172"/>
    <n v="105"/>
    <n v="24"/>
    <n v="34132"/>
    <n v="39527.58"/>
    <n v="3583860"/>
    <n v="5"/>
    <n v="2"/>
    <n v="3.7"/>
    <d v="2026-06-19T00:00:00"/>
    <x v="0"/>
  </r>
  <r>
    <s v="P010"/>
    <s v="Shoes 10"/>
    <x v="3"/>
    <s v="Bengaluru WH"/>
    <x v="1"/>
    <n v="296"/>
    <n v="35"/>
    <n v="261"/>
    <n v="35"/>
    <n v="57320"/>
    <n v="77295.45"/>
    <n v="14960520"/>
    <n v="3"/>
    <n v="5"/>
    <n v="3.7"/>
    <d v="2026-01-27T00:00:00"/>
    <x v="0"/>
  </r>
  <r>
    <s v="P007"/>
    <s v="Laptop 7"/>
    <x v="0"/>
    <s v="Mumbai WH"/>
    <x v="0"/>
    <n v="129"/>
    <n v="20"/>
    <n v="109"/>
    <n v="60"/>
    <n v="28004"/>
    <n v="32252.92"/>
    <n v="3052436"/>
    <n v="2"/>
    <n v="9"/>
    <n v="4"/>
    <d v="2026-04-14T00:00:00"/>
    <x v="0"/>
  </r>
  <r>
    <s v="P038"/>
    <s v="Mobile 38"/>
    <x v="0"/>
    <s v="Bengaluru WH"/>
    <x v="1"/>
    <n v="53"/>
    <n v="31"/>
    <n v="22"/>
    <n v="27"/>
    <n v="7266"/>
    <n v="8381.9699999999993"/>
    <n v="159852"/>
    <n v="3"/>
    <n v="14"/>
    <n v="4.0999999999999996"/>
    <d v="2026-01-18T00:00:00"/>
    <x v="1"/>
  </r>
  <r>
    <s v="P037"/>
    <s v="Mixer 37"/>
    <x v="2"/>
    <s v="Mumbai WH"/>
    <x v="3"/>
    <n v="206"/>
    <n v="154"/>
    <n v="52"/>
    <n v="32"/>
    <n v="17254"/>
    <n v="19347.55"/>
    <n v="897208"/>
    <n v="3"/>
    <n v="4"/>
    <n v="4.5999999999999996"/>
    <d v="2026-03-15T00:00:00"/>
    <x v="0"/>
  </r>
  <r>
    <s v="P016"/>
    <s v="Chair 16"/>
    <x v="1"/>
    <s v="Delhi WH"/>
    <x v="0"/>
    <n v="63"/>
    <n v="24"/>
    <n v="39"/>
    <n v="74"/>
    <n v="23980"/>
    <n v="28102"/>
    <n v="935220"/>
    <n v="1"/>
    <n v="15"/>
    <n v="4.4000000000000004"/>
    <d v="2026-03-30T00:00:00"/>
    <x v="1"/>
  </r>
  <r>
    <s v="P064"/>
    <s v="Table 64"/>
    <x v="1"/>
    <s v="Kolkata WH"/>
    <x v="0"/>
    <n v="490"/>
    <n v="245"/>
    <n v="245"/>
    <n v="64"/>
    <n v="48503"/>
    <n v="66945.45"/>
    <n v="11883235"/>
    <n v="2"/>
    <n v="6"/>
    <n v="3.9"/>
    <d v="2026-05-02T00:00:00"/>
    <x v="0"/>
  </r>
  <r>
    <s v="P013"/>
    <s v="Chair 13"/>
    <x v="1"/>
    <s v="Delhi WH"/>
    <x v="1"/>
    <n v="346"/>
    <n v="133"/>
    <n v="213"/>
    <n v="73"/>
    <n v="37954"/>
    <n v="51241.33"/>
    <n v="8084202"/>
    <n v="2"/>
    <n v="14"/>
    <n v="4.9000000000000004"/>
    <d v="2026-03-03T00:00:00"/>
    <x v="0"/>
  </r>
  <r>
    <s v="P010"/>
    <s v="Shoes 10"/>
    <x v="3"/>
    <s v="Kolkata WH"/>
    <x v="1"/>
    <n v="383"/>
    <n v="123"/>
    <n v="260"/>
    <n v="34"/>
    <n v="44246"/>
    <n v="56752.54"/>
    <n v="11503960"/>
    <n v="4"/>
    <n v="6"/>
    <n v="4.5999999999999996"/>
    <d v="2026-01-17T00:00:00"/>
    <x v="0"/>
  </r>
  <r>
    <s v="P067"/>
    <s v="Mixer 67"/>
    <x v="2"/>
    <s v="Mumbai WH"/>
    <x v="0"/>
    <n v="286"/>
    <n v="258"/>
    <n v="28"/>
    <n v="79"/>
    <n v="16089"/>
    <n v="21857.02"/>
    <n v="450492"/>
    <n v="4"/>
    <n v="11"/>
    <n v="4.3"/>
    <d v="2026-03-03T00:00:00"/>
    <x v="1"/>
  </r>
  <r>
    <s v="P025"/>
    <s v="Shoes 25"/>
    <x v="3"/>
    <s v="Mumbai WH"/>
    <x v="0"/>
    <n v="463"/>
    <n v="91"/>
    <n v="372"/>
    <n v="27"/>
    <n v="50619"/>
    <n v="61052.73"/>
    <n v="18830268"/>
    <n v="3"/>
    <n v="9"/>
    <n v="4.5"/>
    <d v="2026-02-21T00:00:00"/>
    <x v="0"/>
  </r>
  <r>
    <s v="P054"/>
    <s v="Mixer 54"/>
    <x v="2"/>
    <s v="Bengaluru WH"/>
    <x v="3"/>
    <n v="60"/>
    <n v="58"/>
    <n v="2"/>
    <n v="55"/>
    <n v="50678"/>
    <n v="58256.57"/>
    <n v="101356"/>
    <n v="0"/>
    <n v="9"/>
    <n v="4.5"/>
    <d v="2026-02-01T00:00:00"/>
    <x v="1"/>
  </r>
  <r>
    <s v="P044"/>
    <s v="Chair 44"/>
    <x v="1"/>
    <s v="Mumbai WH"/>
    <x v="0"/>
    <n v="490"/>
    <n v="272"/>
    <n v="218"/>
    <n v="29"/>
    <n v="2876"/>
    <n v="3828.02"/>
    <n v="626968"/>
    <n v="0"/>
    <n v="3"/>
    <n v="4.4000000000000004"/>
    <d v="2026-05-12T00:00:00"/>
    <x v="0"/>
  </r>
  <r>
    <s v="P026"/>
    <s v="Table 26"/>
    <x v="1"/>
    <s v="Mumbai WH"/>
    <x v="2"/>
    <n v="53"/>
    <n v="53"/>
    <n v="0"/>
    <n v="78"/>
    <n v="16304"/>
    <n v="22232.63"/>
    <n v="0"/>
    <n v="2"/>
    <n v="12"/>
    <n v="4.3"/>
    <d v="2026-02-28T00:00:00"/>
    <x v="2"/>
  </r>
  <r>
    <s v="P062"/>
    <s v="Mixer 62"/>
    <x v="2"/>
    <s v="Mumbai WH"/>
    <x v="3"/>
    <n v="159"/>
    <n v="119"/>
    <n v="40"/>
    <n v="68"/>
    <n v="8581"/>
    <n v="10282.48"/>
    <n v="343240"/>
    <n v="5"/>
    <n v="6"/>
    <n v="3.9"/>
    <d v="2026-06-07T00:00:00"/>
    <x v="1"/>
  </r>
  <r>
    <s v="P027"/>
    <s v="Chair 27"/>
    <x v="1"/>
    <s v="Mumbai WH"/>
    <x v="2"/>
    <n v="428"/>
    <n v="349"/>
    <n v="79"/>
    <n v="41"/>
    <n v="29485"/>
    <n v="36138.21"/>
    <n v="2329315"/>
    <n v="0"/>
    <n v="14"/>
    <n v="4.9000000000000004"/>
    <d v="2026-01-22T00:00:00"/>
    <x v="0"/>
  </r>
  <r>
    <s v="P083"/>
    <s v="Table 83"/>
    <x v="1"/>
    <s v="Kolkata WH"/>
    <x v="1"/>
    <n v="437"/>
    <n v="87"/>
    <n v="350"/>
    <n v="41"/>
    <n v="20843"/>
    <n v="28689.01"/>
    <n v="7295050"/>
    <n v="4"/>
    <n v="10"/>
    <n v="4.5999999999999996"/>
    <d v="2026-05-19T00:00:00"/>
    <x v="0"/>
  </r>
  <r>
    <s v="P019"/>
    <s v="Laptop 19"/>
    <x v="0"/>
    <s v="Kolkata WH"/>
    <x v="3"/>
    <n v="190"/>
    <n v="90"/>
    <n v="100"/>
    <n v="69"/>
    <n v="40069"/>
    <n v="50710.86"/>
    <n v="4006900"/>
    <n v="5"/>
    <n v="5"/>
    <n v="4.2"/>
    <d v="2026-02-08T00:00:00"/>
    <x v="0"/>
  </r>
  <r>
    <s v="P024"/>
    <s v="Laptop 24"/>
    <x v="0"/>
    <s v="Kolkata WH"/>
    <x v="1"/>
    <n v="92"/>
    <n v="74"/>
    <n v="18"/>
    <n v="31"/>
    <n v="50015"/>
    <n v="55020.49"/>
    <n v="900270"/>
    <n v="5"/>
    <n v="15"/>
    <n v="4.7"/>
    <d v="2026-03-07T00:00:00"/>
    <x v="1"/>
  </r>
  <r>
    <s v="P017"/>
    <s v="Shoes 17"/>
    <x v="3"/>
    <s v="Kolkata WH"/>
    <x v="3"/>
    <n v="402"/>
    <n v="313"/>
    <n v="89"/>
    <n v="25"/>
    <n v="57085"/>
    <n v="76585.929999999993"/>
    <n v="5080565"/>
    <n v="2"/>
    <n v="2"/>
    <n v="4.3"/>
    <d v="2026-04-09T00:00:00"/>
    <x v="0"/>
  </r>
  <r>
    <s v="P053"/>
    <s v="Laptop 53"/>
    <x v="0"/>
    <s v="Delhi WH"/>
    <x v="0"/>
    <n v="64"/>
    <n v="28"/>
    <n v="36"/>
    <n v="52"/>
    <n v="46305"/>
    <n v="52920.37"/>
    <n v="1666980"/>
    <n v="4"/>
    <n v="2"/>
    <n v="3.9"/>
    <d v="2026-04-24T00:00:00"/>
    <x v="1"/>
  </r>
  <r>
    <s v="P072"/>
    <s v="Laptop 72"/>
    <x v="0"/>
    <s v="Bengaluru WH"/>
    <x v="2"/>
    <n v="276"/>
    <n v="216"/>
    <n v="60"/>
    <n v="73"/>
    <n v="19601"/>
    <n v="26162.04"/>
    <n v="1176060"/>
    <n v="4"/>
    <n v="8"/>
    <n v="3.7"/>
    <d v="2026-03-07T00:00:00"/>
    <x v="1"/>
  </r>
  <r>
    <s v="P075"/>
    <s v="Mixer 75"/>
    <x v="2"/>
    <s v="Mumbai WH"/>
    <x v="1"/>
    <n v="111"/>
    <n v="95"/>
    <n v="16"/>
    <n v="77"/>
    <n v="7443"/>
    <n v="9257.9699999999993"/>
    <n v="119088"/>
    <n v="5"/>
    <n v="13"/>
    <n v="3.6"/>
    <d v="2026-05-16T00:00:00"/>
    <x v="1"/>
  </r>
  <r>
    <s v="P024"/>
    <s v="Laptop 24"/>
    <x v="0"/>
    <s v="Mumbai WH"/>
    <x v="1"/>
    <n v="181"/>
    <n v="135"/>
    <n v="46"/>
    <n v="26"/>
    <n v="58147"/>
    <n v="65023.25"/>
    <n v="2674762"/>
    <n v="4"/>
    <n v="2"/>
    <n v="5"/>
    <d v="2026-05-09T00:00:00"/>
    <x v="0"/>
  </r>
  <r>
    <s v="P022"/>
    <s v="Table 22"/>
    <x v="1"/>
    <s v="Kolkata WH"/>
    <x v="0"/>
    <n v="126"/>
    <n v="40"/>
    <n v="86"/>
    <n v="62"/>
    <n v="5629"/>
    <n v="7339.71"/>
    <n v="484094"/>
    <n v="3"/>
    <n v="9"/>
    <n v="3.7"/>
    <d v="2026-04-09T00:00:00"/>
    <x v="0"/>
  </r>
  <r>
    <s v="P039"/>
    <s v="Shoes 39"/>
    <x v="3"/>
    <s v="Mumbai WH"/>
    <x v="3"/>
    <n v="455"/>
    <n v="33"/>
    <n v="422"/>
    <n v="64"/>
    <n v="58099"/>
    <n v="73915.66"/>
    <n v="24517778"/>
    <n v="5"/>
    <n v="15"/>
    <n v="4.5"/>
    <d v="2026-02-23T00:00:00"/>
    <x v="0"/>
  </r>
  <r>
    <s v="P003"/>
    <s v="Mixer 3"/>
    <x v="2"/>
    <s v="Delhi WH"/>
    <x v="3"/>
    <n v="122"/>
    <n v="46"/>
    <n v="76"/>
    <n v="53"/>
    <n v="55429"/>
    <n v="62259.76"/>
    <n v="4212604"/>
    <n v="1"/>
    <n v="15"/>
    <n v="4.5999999999999996"/>
    <d v="2026-04-17T00:00:00"/>
    <x v="0"/>
  </r>
  <r>
    <s v="P033"/>
    <s v="Mixer 33"/>
    <x v="2"/>
    <s v="Mumbai WH"/>
    <x v="2"/>
    <n v="156"/>
    <n v="59"/>
    <n v="97"/>
    <n v="34"/>
    <n v="17890"/>
    <n v="24514.25"/>
    <n v="1735330"/>
    <n v="4"/>
    <n v="15"/>
    <n v="4.2"/>
    <d v="2026-04-06T00:00:00"/>
    <x v="0"/>
  </r>
  <r>
    <s v="P039"/>
    <s v="Shoes 39"/>
    <x v="3"/>
    <s v="Bengaluru WH"/>
    <x v="1"/>
    <n v="307"/>
    <n v="126"/>
    <n v="181"/>
    <n v="62"/>
    <n v="40203"/>
    <n v="45907.76"/>
    <n v="7276743"/>
    <n v="2"/>
    <n v="2"/>
    <n v="3.7"/>
    <d v="2026-05-29T00:00:00"/>
    <x v="0"/>
  </r>
  <r>
    <s v="P069"/>
    <s v="Chair 69"/>
    <x v="1"/>
    <s v="Delhi WH"/>
    <x v="0"/>
    <n v="74"/>
    <n v="45"/>
    <n v="29"/>
    <n v="54"/>
    <n v="36287"/>
    <n v="40823.67"/>
    <n v="1052323"/>
    <n v="2"/>
    <n v="4"/>
    <n v="4.9000000000000004"/>
    <d v="2026-01-17T00:00:00"/>
    <x v="1"/>
  </r>
  <r>
    <s v="P024"/>
    <s v="Laptop 24"/>
    <x v="0"/>
    <s v="Mumbai WH"/>
    <x v="1"/>
    <n v="408"/>
    <n v="353"/>
    <n v="55"/>
    <n v="64"/>
    <n v="26951"/>
    <n v="36512.99"/>
    <n v="1482305"/>
    <n v="2"/>
    <n v="5"/>
    <n v="3.5"/>
    <d v="2026-04-06T00:00:00"/>
    <x v="1"/>
  </r>
  <r>
    <s v="P072"/>
    <s v="Laptop 72"/>
    <x v="0"/>
    <s v="Delhi WH"/>
    <x v="2"/>
    <n v="289"/>
    <n v="135"/>
    <n v="154"/>
    <n v="21"/>
    <n v="27216"/>
    <n v="32595.48"/>
    <n v="4191264"/>
    <n v="1"/>
    <n v="7"/>
    <n v="4.0999999999999996"/>
    <d v="2026-02-02T00:00:00"/>
    <x v="0"/>
  </r>
  <r>
    <s v="P011"/>
    <s v="Laptop 11"/>
    <x v="0"/>
    <s v="Delhi WH"/>
    <x v="2"/>
    <n v="461"/>
    <n v="1"/>
    <n v="460"/>
    <n v="49"/>
    <n v="1221"/>
    <n v="1393.4"/>
    <n v="561660"/>
    <n v="5"/>
    <n v="5"/>
    <n v="4"/>
    <d v="2026-01-05T00:00:00"/>
    <x v="0"/>
  </r>
  <r>
    <s v="P096"/>
    <s v="Chair 96"/>
    <x v="1"/>
    <s v="Mumbai WH"/>
    <x v="2"/>
    <n v="339"/>
    <n v="328"/>
    <n v="11"/>
    <n v="72"/>
    <n v="50267"/>
    <n v="66130.45"/>
    <n v="552937"/>
    <n v="0"/>
    <n v="13"/>
    <n v="4.8"/>
    <d v="2026-01-25T00:00:00"/>
    <x v="1"/>
  </r>
  <r>
    <s v="P085"/>
    <s v="Chair 85"/>
    <x v="1"/>
    <s v="Mumbai WH"/>
    <x v="2"/>
    <n v="232"/>
    <n v="169"/>
    <n v="63"/>
    <n v="29"/>
    <n v="5178"/>
    <n v="6396.67"/>
    <n v="326214"/>
    <n v="5"/>
    <n v="15"/>
    <n v="3.6"/>
    <d v="2026-03-22T00:00:00"/>
    <x v="0"/>
  </r>
  <r>
    <s v="P062"/>
    <s v="Mixer 62"/>
    <x v="2"/>
    <s v="Kolkata WH"/>
    <x v="1"/>
    <n v="411"/>
    <n v="236"/>
    <n v="175"/>
    <n v="46"/>
    <n v="12646"/>
    <n v="14534.87"/>
    <n v="2213050"/>
    <n v="3"/>
    <n v="14"/>
    <n v="3.8"/>
    <d v="2026-05-05T00:00:00"/>
    <x v="0"/>
  </r>
  <r>
    <s v="P004"/>
    <s v="Mixer 4"/>
    <x v="2"/>
    <s v="Mumbai WH"/>
    <x v="3"/>
    <n v="114"/>
    <n v="1"/>
    <n v="113"/>
    <n v="73"/>
    <n v="9622"/>
    <n v="10679.53"/>
    <n v="1087286"/>
    <n v="2"/>
    <n v="3"/>
    <n v="4.3"/>
    <d v="2026-05-08T00:00:00"/>
    <x v="0"/>
  </r>
  <r>
    <s v="P012"/>
    <s v="Table 12"/>
    <x v="1"/>
    <s v="Bengaluru WH"/>
    <x v="1"/>
    <n v="264"/>
    <n v="89"/>
    <n v="175"/>
    <n v="49"/>
    <n v="41751"/>
    <n v="52132.57"/>
    <n v="7306425"/>
    <n v="5"/>
    <n v="11"/>
    <n v="4.4000000000000004"/>
    <d v="2026-02-21T00:00:00"/>
    <x v="0"/>
  </r>
  <r>
    <s v="P045"/>
    <s v="Chair 45"/>
    <x v="1"/>
    <s v="Bengaluru WH"/>
    <x v="3"/>
    <n v="435"/>
    <n v="42"/>
    <n v="393"/>
    <n v="44"/>
    <n v="19754"/>
    <n v="27613.22"/>
    <n v="7763322"/>
    <n v="2"/>
    <n v="12"/>
    <n v="4.2"/>
    <d v="2026-04-06T00:00:00"/>
    <x v="0"/>
  </r>
  <r>
    <s v="P070"/>
    <s v="Laptop 70"/>
    <x v="0"/>
    <s v="Bengaluru WH"/>
    <x v="1"/>
    <n v="349"/>
    <n v="69"/>
    <n v="280"/>
    <n v="69"/>
    <n v="24211"/>
    <n v="27565.01"/>
    <n v="6779080"/>
    <n v="4"/>
    <n v="8"/>
    <n v="4"/>
    <d v="2026-01-15T00:00:00"/>
    <x v="0"/>
  </r>
  <r>
    <s v="P022"/>
    <s v="Table 22"/>
    <x v="1"/>
    <s v="Kolkata WH"/>
    <x v="2"/>
    <n v="385"/>
    <n v="338"/>
    <n v="47"/>
    <n v="55"/>
    <n v="37829"/>
    <n v="46799.27"/>
    <n v="1777963"/>
    <n v="4"/>
    <n v="8"/>
    <n v="4.5999999999999996"/>
    <d v="2026-01-23T00:00:00"/>
    <x v="1"/>
  </r>
  <r>
    <s v="P032"/>
    <s v="Chair 32"/>
    <x v="1"/>
    <s v="Bengaluru WH"/>
    <x v="2"/>
    <n v="417"/>
    <n v="256"/>
    <n v="161"/>
    <n v="48"/>
    <n v="41729"/>
    <n v="52809.98"/>
    <n v="6718369"/>
    <n v="1"/>
    <n v="11"/>
    <n v="3.5"/>
    <d v="2026-02-20T00:00:00"/>
    <x v="0"/>
  </r>
  <r>
    <s v="P032"/>
    <s v="Chair 32"/>
    <x v="1"/>
    <s v="Bengaluru WH"/>
    <x v="2"/>
    <n v="401"/>
    <n v="338"/>
    <n v="63"/>
    <n v="60"/>
    <n v="26165"/>
    <n v="34702.550000000003"/>
    <n v="1648395"/>
    <n v="1"/>
    <n v="4"/>
    <n v="4.3"/>
    <d v="2026-02-20T00:00:00"/>
    <x v="0"/>
  </r>
  <r>
    <s v="P094"/>
    <s v="Table 94"/>
    <x v="1"/>
    <s v="Kolkata WH"/>
    <x v="1"/>
    <n v="370"/>
    <n v="83"/>
    <n v="287"/>
    <n v="65"/>
    <n v="3168"/>
    <n v="3811.29"/>
    <n v="909216"/>
    <n v="4"/>
    <n v="10"/>
    <n v="3.9"/>
    <d v="2026-05-04T00:00:00"/>
    <x v="0"/>
  </r>
  <r>
    <s v="P029"/>
    <s v="Mixer 29"/>
    <x v="2"/>
    <s v="Kolkata WH"/>
    <x v="3"/>
    <n v="292"/>
    <n v="213"/>
    <n v="79"/>
    <n v="67"/>
    <n v="35449"/>
    <n v="40975.730000000003"/>
    <n v="2800471"/>
    <n v="4"/>
    <n v="10"/>
    <n v="4.9000000000000004"/>
    <d v="2026-03-08T00:00:00"/>
    <x v="0"/>
  </r>
  <r>
    <s v="P019"/>
    <s v="Laptop 19"/>
    <x v="0"/>
    <s v="Kolkata WH"/>
    <x v="1"/>
    <n v="378"/>
    <n v="291"/>
    <n v="87"/>
    <n v="38"/>
    <n v="28980"/>
    <n v="39068.449999999997"/>
    <n v="2521260"/>
    <n v="0"/>
    <n v="11"/>
    <n v="4"/>
    <d v="2026-01-16T00:00:00"/>
    <x v="0"/>
  </r>
  <r>
    <s v="P033"/>
    <s v="Mixer 33"/>
    <x v="2"/>
    <s v="Bengaluru WH"/>
    <x v="2"/>
    <n v="257"/>
    <n v="22"/>
    <n v="235"/>
    <n v="63"/>
    <n v="38416"/>
    <n v="47545.11"/>
    <n v="9027760"/>
    <n v="4"/>
    <n v="5"/>
    <n v="4.5"/>
    <d v="2026-06-27T00:00:00"/>
    <x v="0"/>
  </r>
  <r>
    <s v="P022"/>
    <s v="Table 22"/>
    <x v="1"/>
    <s v="Delhi WH"/>
    <x v="2"/>
    <n v="454"/>
    <n v="249"/>
    <n v="205"/>
    <n v="36"/>
    <n v="2964"/>
    <n v="4097.03"/>
    <n v="607620"/>
    <n v="1"/>
    <n v="13"/>
    <n v="4.0999999999999996"/>
    <d v="2026-05-08T00:00:00"/>
    <x v="0"/>
  </r>
  <r>
    <s v="P025"/>
    <s v="Shoes 25"/>
    <x v="3"/>
    <s v="Kolkata WH"/>
    <x v="1"/>
    <n v="380"/>
    <n v="182"/>
    <n v="198"/>
    <n v="36"/>
    <n v="26540"/>
    <n v="33211.06"/>
    <n v="5254920"/>
    <n v="3"/>
    <n v="12"/>
    <n v="4.3"/>
    <d v="2026-05-15T00:00:00"/>
    <x v="0"/>
  </r>
  <r>
    <s v="P039"/>
    <s v="Shoes 39"/>
    <x v="3"/>
    <s v="Delhi WH"/>
    <x v="1"/>
    <n v="211"/>
    <n v="209"/>
    <n v="2"/>
    <n v="42"/>
    <n v="57750"/>
    <n v="66601.899999999994"/>
    <n v="115500"/>
    <n v="2"/>
    <n v="2"/>
    <n v="3.9"/>
    <d v="2026-03-21T00:00:00"/>
    <x v="1"/>
  </r>
  <r>
    <s v="P002"/>
    <s v="Laptop 2"/>
    <x v="0"/>
    <s v="Kolkata WH"/>
    <x v="0"/>
    <n v="440"/>
    <n v="376"/>
    <n v="64"/>
    <n v="69"/>
    <n v="40155"/>
    <n v="46376.27"/>
    <n v="2569920"/>
    <n v="2"/>
    <n v="6"/>
    <n v="4.3"/>
    <d v="2026-05-22T00:00:00"/>
    <x v="1"/>
  </r>
  <r>
    <s v="P017"/>
    <s v="Shoes 17"/>
    <x v="3"/>
    <s v="Bengaluru WH"/>
    <x v="1"/>
    <n v="390"/>
    <n v="200"/>
    <n v="190"/>
    <n v="52"/>
    <n v="26722"/>
    <n v="32600.11"/>
    <n v="5077180"/>
    <n v="4"/>
    <n v="13"/>
    <n v="4.4000000000000004"/>
    <d v="2026-02-02T00:00:00"/>
    <x v="0"/>
  </r>
  <r>
    <s v="P075"/>
    <s v="Mixer 75"/>
    <x v="2"/>
    <s v="Delhi WH"/>
    <x v="1"/>
    <n v="200"/>
    <n v="8"/>
    <n v="192"/>
    <n v="46"/>
    <n v="44560"/>
    <n v="56369.42"/>
    <n v="8555520"/>
    <n v="4"/>
    <n v="7"/>
    <n v="3.8"/>
    <d v="2026-01-12T00:00:00"/>
    <x v="0"/>
  </r>
  <r>
    <s v="P077"/>
    <s v="Table 77"/>
    <x v="1"/>
    <s v="Delhi WH"/>
    <x v="1"/>
    <n v="355"/>
    <n v="326"/>
    <n v="29"/>
    <n v="40"/>
    <n v="6060"/>
    <n v="7498.3"/>
    <n v="175740"/>
    <n v="3"/>
    <n v="2"/>
    <n v="4.9000000000000004"/>
    <d v="2026-05-14T00:00:00"/>
    <x v="1"/>
  </r>
  <r>
    <s v="P041"/>
    <s v="Table 41"/>
    <x v="1"/>
    <s v="Bengaluru WH"/>
    <x v="2"/>
    <n v="121"/>
    <n v="6"/>
    <n v="115"/>
    <n v="49"/>
    <n v="3496"/>
    <n v="4736.28"/>
    <n v="402040"/>
    <n v="2"/>
    <n v="15"/>
    <n v="4.8"/>
    <d v="2026-04-24T00:00:00"/>
    <x v="0"/>
  </r>
  <r>
    <s v="P025"/>
    <s v="Shoes 25"/>
    <x v="3"/>
    <s v="Mumbai WH"/>
    <x v="2"/>
    <n v="460"/>
    <n v="444"/>
    <n v="16"/>
    <n v="59"/>
    <n v="32376"/>
    <n v="38099.589999999997"/>
    <n v="518016"/>
    <n v="1"/>
    <n v="9"/>
    <n v="5"/>
    <d v="2026-03-27T00:00:00"/>
    <x v="1"/>
  </r>
  <r>
    <s v="P075"/>
    <s v="Mixer 75"/>
    <x v="2"/>
    <s v="Bengaluru WH"/>
    <x v="0"/>
    <n v="83"/>
    <n v="76"/>
    <n v="7"/>
    <n v="30"/>
    <n v="22523"/>
    <n v="28289.33"/>
    <n v="157661"/>
    <n v="4"/>
    <n v="3"/>
    <n v="4.3"/>
    <d v="2026-03-17T00:00:00"/>
    <x v="1"/>
  </r>
  <r>
    <s v="P060"/>
    <s v="Mixer 60"/>
    <x v="2"/>
    <s v="Bengaluru WH"/>
    <x v="2"/>
    <n v="89"/>
    <n v="58"/>
    <n v="31"/>
    <n v="60"/>
    <n v="32877"/>
    <n v="44416.86"/>
    <n v="1019187"/>
    <n v="1"/>
    <n v="9"/>
    <n v="4.5"/>
    <d v="2026-01-04T00:00:00"/>
    <x v="1"/>
  </r>
  <r>
    <s v="P070"/>
    <s v="Laptop 70"/>
    <x v="0"/>
    <s v="Delhi WH"/>
    <x v="2"/>
    <n v="185"/>
    <n v="23"/>
    <n v="162"/>
    <n v="36"/>
    <n v="57375"/>
    <n v="68496.850000000006"/>
    <n v="9294750"/>
    <n v="4"/>
    <n v="12"/>
    <n v="4.5"/>
    <d v="2026-03-23T00:00:00"/>
    <x v="0"/>
  </r>
  <r>
    <s v="P081"/>
    <s v="Laptop 81"/>
    <x v="0"/>
    <s v="Mumbai WH"/>
    <x v="1"/>
    <n v="459"/>
    <n v="0"/>
    <n v="459"/>
    <n v="27"/>
    <n v="35362"/>
    <n v="43634.84"/>
    <n v="16231158"/>
    <n v="2"/>
    <n v="7"/>
    <n v="4.7"/>
    <d v="2026-06-18T00:00:00"/>
    <x v="0"/>
  </r>
  <r>
    <s v="P014"/>
    <s v="Mixer 14"/>
    <x v="2"/>
    <s v="Bengaluru WH"/>
    <x v="1"/>
    <n v="341"/>
    <n v="324"/>
    <n v="17"/>
    <n v="68"/>
    <n v="23034"/>
    <n v="29049.91"/>
    <n v="391578"/>
    <n v="4"/>
    <n v="12"/>
    <n v="4"/>
    <d v="2026-04-14T00:00:00"/>
    <x v="1"/>
  </r>
  <r>
    <s v="P074"/>
    <s v="Mixer 74"/>
    <x v="2"/>
    <s v="Delhi WH"/>
    <x v="3"/>
    <n v="257"/>
    <n v="226"/>
    <n v="31"/>
    <n v="75"/>
    <n v="16369"/>
    <n v="20553.2"/>
    <n v="507439"/>
    <n v="1"/>
    <n v="4"/>
    <n v="3.8"/>
    <d v="2026-01-17T00:00:00"/>
    <x v="1"/>
  </r>
  <r>
    <s v="P082"/>
    <s v="Mobile 82"/>
    <x v="0"/>
    <s v="Bengaluru WH"/>
    <x v="2"/>
    <n v="184"/>
    <n v="162"/>
    <n v="22"/>
    <n v="68"/>
    <n v="15046"/>
    <n v="18886.439999999999"/>
    <n v="331012"/>
    <n v="1"/>
    <n v="4"/>
    <n v="4.5"/>
    <d v="2026-02-12T00:00:00"/>
    <x v="1"/>
  </r>
  <r>
    <s v="P003"/>
    <s v="Mixer 3"/>
    <x v="2"/>
    <s v="Bengaluru WH"/>
    <x v="0"/>
    <n v="171"/>
    <n v="114"/>
    <n v="57"/>
    <n v="66"/>
    <n v="785"/>
    <n v="1002.26"/>
    <n v="44745"/>
    <n v="1"/>
    <n v="12"/>
    <n v="4.2"/>
    <d v="2026-01-01T00:00:00"/>
    <x v="1"/>
  </r>
  <r>
    <s v="P019"/>
    <s v="Laptop 19"/>
    <x v="0"/>
    <s v="Mumbai WH"/>
    <x v="1"/>
    <n v="143"/>
    <n v="50"/>
    <n v="93"/>
    <n v="62"/>
    <n v="34387"/>
    <n v="44384.14"/>
    <n v="3197991"/>
    <n v="2"/>
    <n v="10"/>
    <n v="4.3"/>
    <d v="2026-03-08T00:00:00"/>
    <x v="0"/>
  </r>
  <r>
    <s v="P095"/>
    <s v="Mobile 95"/>
    <x v="0"/>
    <s v="Bengaluru WH"/>
    <x v="2"/>
    <n v="163"/>
    <n v="89"/>
    <n v="74"/>
    <n v="29"/>
    <n v="2141"/>
    <n v="2722.97"/>
    <n v="158434"/>
    <n v="0"/>
    <n v="8"/>
    <n v="4.4000000000000004"/>
    <d v="2026-04-18T00:00:00"/>
    <x v="0"/>
  </r>
  <r>
    <s v="P057"/>
    <s v="Shoes 57"/>
    <x v="3"/>
    <s v="Delhi WH"/>
    <x v="0"/>
    <n v="202"/>
    <n v="36"/>
    <n v="166"/>
    <n v="64"/>
    <n v="57645"/>
    <n v="77354.64"/>
    <n v="9569070"/>
    <n v="2"/>
    <n v="2"/>
    <n v="3.7"/>
    <d v="2026-06-01T00:00:00"/>
    <x v="0"/>
  </r>
  <r>
    <s v="P047"/>
    <s v="Table 47"/>
    <x v="1"/>
    <s v="Bengaluru WH"/>
    <x v="0"/>
    <n v="349"/>
    <n v="157"/>
    <n v="192"/>
    <n v="31"/>
    <n v="50225"/>
    <n v="66623.03"/>
    <n v="9643200"/>
    <n v="1"/>
    <n v="15"/>
    <n v="4.0999999999999996"/>
    <d v="2026-06-15T00:00:00"/>
    <x v="0"/>
  </r>
  <r>
    <s v="P084"/>
    <s v="Laptop 84"/>
    <x v="0"/>
    <s v="Bengaluru WH"/>
    <x v="3"/>
    <n v="422"/>
    <n v="334"/>
    <n v="88"/>
    <n v="23"/>
    <n v="56182"/>
    <n v="66141.06"/>
    <n v="4944016"/>
    <n v="5"/>
    <n v="8"/>
    <n v="4.5999999999999996"/>
    <d v="2026-01-11T00:00:00"/>
    <x v="0"/>
  </r>
  <r>
    <s v="P093"/>
    <s v="Shoes 93"/>
    <x v="3"/>
    <s v="Bengaluru WH"/>
    <x v="3"/>
    <n v="241"/>
    <n v="134"/>
    <n v="107"/>
    <n v="34"/>
    <n v="33571"/>
    <n v="44394"/>
    <n v="3592097"/>
    <n v="0"/>
    <n v="9"/>
    <n v="4.9000000000000004"/>
    <d v="2026-03-14T00:00:00"/>
    <x v="0"/>
  </r>
  <r>
    <s v="P091"/>
    <s v="Laptop 91"/>
    <x v="0"/>
    <s v="Kolkata WH"/>
    <x v="0"/>
    <n v="215"/>
    <n v="149"/>
    <n v="66"/>
    <n v="27"/>
    <n v="21825"/>
    <n v="25007.73"/>
    <n v="1440450"/>
    <n v="4"/>
    <n v="5"/>
    <n v="5"/>
    <d v="2026-03-09T00:00:00"/>
    <x v="0"/>
  </r>
  <r>
    <s v="P028"/>
    <s v="Shoes 28"/>
    <x v="3"/>
    <s v="Kolkata WH"/>
    <x v="1"/>
    <n v="287"/>
    <n v="106"/>
    <n v="181"/>
    <n v="60"/>
    <n v="33481"/>
    <n v="38809.360000000001"/>
    <n v="6060061"/>
    <n v="5"/>
    <n v="5"/>
    <n v="4.5999999999999996"/>
    <d v="2026-06-19T00:00:00"/>
    <x v="0"/>
  </r>
  <r>
    <s v="P072"/>
    <s v="Laptop 72"/>
    <x v="0"/>
    <s v="Kolkata WH"/>
    <x v="1"/>
    <n v="147"/>
    <n v="82"/>
    <n v="65"/>
    <n v="66"/>
    <n v="36916"/>
    <n v="46112.42"/>
    <n v="2399540"/>
    <n v="2"/>
    <n v="11"/>
    <n v="4.4000000000000004"/>
    <d v="2026-02-15T00:00:00"/>
    <x v="1"/>
  </r>
  <r>
    <s v="P073"/>
    <s v="Mixer 73"/>
    <x v="2"/>
    <s v="Bengaluru WH"/>
    <x v="0"/>
    <n v="500"/>
    <n v="448"/>
    <n v="52"/>
    <n v="76"/>
    <n v="37914"/>
    <n v="48128.27"/>
    <n v="1971528"/>
    <n v="5"/>
    <n v="12"/>
    <n v="5"/>
    <d v="2026-03-26T00:00:00"/>
    <x v="1"/>
  </r>
  <r>
    <s v="P010"/>
    <s v="Shoes 10"/>
    <x v="3"/>
    <s v="Bengaluru WH"/>
    <x v="3"/>
    <n v="224"/>
    <n v="96"/>
    <n v="128"/>
    <n v="64"/>
    <n v="8591"/>
    <n v="9468.32"/>
    <n v="1099648"/>
    <n v="1"/>
    <n v="7"/>
    <n v="4.5"/>
    <d v="2026-01-20T00:00:00"/>
    <x v="0"/>
  </r>
  <r>
    <s v="P028"/>
    <s v="Shoes 28"/>
    <x v="3"/>
    <s v="Kolkata WH"/>
    <x v="3"/>
    <n v="78"/>
    <n v="66"/>
    <n v="12"/>
    <n v="77"/>
    <n v="28816"/>
    <n v="35248.449999999997"/>
    <n v="345792"/>
    <n v="3"/>
    <n v="12"/>
    <n v="3.7"/>
    <d v="2026-05-28T00:00:00"/>
    <x v="1"/>
  </r>
  <r>
    <s v="P070"/>
    <s v="Laptop 70"/>
    <x v="0"/>
    <s v="Delhi WH"/>
    <x v="3"/>
    <n v="170"/>
    <n v="104"/>
    <n v="66"/>
    <n v="30"/>
    <n v="15541"/>
    <n v="17796.95"/>
    <n v="1025706"/>
    <n v="4"/>
    <n v="8"/>
    <n v="3.6"/>
    <d v="2026-02-14T00:00:00"/>
    <x v="0"/>
  </r>
  <r>
    <s v="P098"/>
    <s v="Mobile 98"/>
    <x v="0"/>
    <s v="Delhi WH"/>
    <x v="3"/>
    <n v="165"/>
    <n v="75"/>
    <n v="90"/>
    <n v="35"/>
    <n v="32607"/>
    <n v="44529.65"/>
    <n v="2934630"/>
    <n v="4"/>
    <n v="9"/>
    <n v="3.6"/>
    <d v="2026-05-18T00:00:00"/>
    <x v="0"/>
  </r>
  <r>
    <s v="P028"/>
    <s v="Shoes 28"/>
    <x v="3"/>
    <s v="Mumbai WH"/>
    <x v="1"/>
    <n v="454"/>
    <n v="174"/>
    <n v="280"/>
    <n v="30"/>
    <n v="53980"/>
    <n v="64415.28"/>
    <n v="15114400"/>
    <n v="5"/>
    <n v="15"/>
    <n v="4.9000000000000004"/>
    <d v="2026-06-09T00:00:00"/>
    <x v="0"/>
  </r>
  <r>
    <s v="P016"/>
    <s v="Chair 16"/>
    <x v="1"/>
    <s v="Bengaluru WH"/>
    <x v="1"/>
    <n v="102"/>
    <n v="63"/>
    <n v="39"/>
    <n v="45"/>
    <n v="34522"/>
    <n v="41880.79"/>
    <n v="1346358"/>
    <n v="0"/>
    <n v="2"/>
    <n v="4.9000000000000004"/>
    <d v="2026-06-04T00:00:00"/>
    <x v="1"/>
  </r>
  <r>
    <s v="P080"/>
    <s v="Shoes 80"/>
    <x v="3"/>
    <s v="Kolkata WH"/>
    <x v="2"/>
    <n v="351"/>
    <n v="78"/>
    <n v="273"/>
    <n v="26"/>
    <n v="54516"/>
    <n v="60015.08"/>
    <n v="14882868"/>
    <n v="4"/>
    <n v="7"/>
    <n v="4.8"/>
    <d v="2026-06-24T00:00:00"/>
    <x v="0"/>
  </r>
  <r>
    <s v="P019"/>
    <s v="Laptop 19"/>
    <x v="0"/>
    <s v="Bengaluru WH"/>
    <x v="1"/>
    <n v="251"/>
    <n v="128"/>
    <n v="123"/>
    <n v="61"/>
    <n v="22194"/>
    <n v="27508.63"/>
    <n v="2729862"/>
    <n v="0"/>
    <n v="14"/>
    <n v="3.7"/>
    <d v="2026-02-07T00:00:00"/>
    <x v="0"/>
  </r>
  <r>
    <s v="P067"/>
    <s v="Mixer 67"/>
    <x v="2"/>
    <s v="Bengaluru WH"/>
    <x v="3"/>
    <n v="347"/>
    <n v="79"/>
    <n v="268"/>
    <n v="60"/>
    <n v="1672"/>
    <n v="2072.7399999999998"/>
    <n v="448096"/>
    <n v="4"/>
    <n v="13"/>
    <n v="4.9000000000000004"/>
    <d v="2026-06-25T00:00:00"/>
    <x v="0"/>
  </r>
  <r>
    <s v="P038"/>
    <s v="Mobile 38"/>
    <x v="0"/>
    <s v="Mumbai WH"/>
    <x v="3"/>
    <n v="476"/>
    <n v="297"/>
    <n v="179"/>
    <n v="48"/>
    <n v="13838"/>
    <n v="17771.310000000001"/>
    <n v="2477002"/>
    <n v="0"/>
    <n v="5"/>
    <n v="3.7"/>
    <d v="2026-01-21T00:00:00"/>
    <x v="0"/>
  </r>
  <r>
    <s v="P080"/>
    <s v="Shoes 80"/>
    <x v="3"/>
    <s v="Bengaluru WH"/>
    <x v="0"/>
    <n v="215"/>
    <n v="63"/>
    <n v="152"/>
    <n v="69"/>
    <n v="46305"/>
    <n v="57455.11"/>
    <n v="7038360"/>
    <n v="1"/>
    <n v="12"/>
    <n v="4.2"/>
    <d v="2026-06-28T00:00:00"/>
    <x v="0"/>
  </r>
  <r>
    <s v="P029"/>
    <s v="Mixer 29"/>
    <x v="2"/>
    <s v="Delhi WH"/>
    <x v="0"/>
    <n v="82"/>
    <n v="19"/>
    <n v="63"/>
    <n v="56"/>
    <n v="55631"/>
    <n v="67943.740000000005"/>
    <n v="3504753"/>
    <n v="1"/>
    <n v="14"/>
    <n v="3.7"/>
    <d v="2026-04-29T00:00:00"/>
    <x v="0"/>
  </r>
  <r>
    <s v="P069"/>
    <s v="Chair 69"/>
    <x v="1"/>
    <s v="Delhi WH"/>
    <x v="2"/>
    <n v="432"/>
    <n v="0"/>
    <n v="432"/>
    <n v="51"/>
    <n v="38268"/>
    <n v="44911.15"/>
    <n v="16531776"/>
    <n v="1"/>
    <n v="4"/>
    <n v="4.9000000000000004"/>
    <d v="2026-06-26T00:00:00"/>
    <x v="0"/>
  </r>
  <r>
    <s v="P081"/>
    <s v="Laptop 81"/>
    <x v="0"/>
    <s v="Delhi WH"/>
    <x v="1"/>
    <n v="255"/>
    <n v="42"/>
    <n v="213"/>
    <n v="38"/>
    <n v="13876"/>
    <n v="18048.66"/>
    <n v="2955588"/>
    <n v="2"/>
    <n v="13"/>
    <n v="3.9"/>
    <d v="2026-04-14T00:00:00"/>
    <x v="0"/>
  </r>
  <r>
    <s v="P074"/>
    <s v="Mixer 74"/>
    <x v="2"/>
    <s v="Kolkata WH"/>
    <x v="0"/>
    <n v="73"/>
    <n v="32"/>
    <n v="41"/>
    <n v="54"/>
    <n v="19188"/>
    <n v="22639.22"/>
    <n v="786708"/>
    <n v="2"/>
    <n v="10"/>
    <n v="4.8"/>
    <d v="2026-02-22T00:00:00"/>
    <x v="1"/>
  </r>
  <r>
    <s v="P037"/>
    <s v="Mixer 37"/>
    <x v="2"/>
    <s v="Kolkata WH"/>
    <x v="0"/>
    <n v="123"/>
    <n v="97"/>
    <n v="26"/>
    <n v="68"/>
    <n v="17145"/>
    <n v="21557.119999999999"/>
    <n v="445770"/>
    <n v="2"/>
    <n v="4"/>
    <n v="4.8"/>
    <d v="2026-04-07T00:00:00"/>
    <x v="1"/>
  </r>
  <r>
    <s v="P019"/>
    <s v="Laptop 19"/>
    <x v="0"/>
    <s v="Bengaluru WH"/>
    <x v="2"/>
    <n v="265"/>
    <n v="265"/>
    <n v="0"/>
    <n v="66"/>
    <n v="22656"/>
    <n v="26764.07"/>
    <n v="0"/>
    <n v="1"/>
    <n v="9"/>
    <n v="4.4000000000000004"/>
    <d v="2026-03-25T00:00:00"/>
    <x v="2"/>
  </r>
  <r>
    <s v="P004"/>
    <s v="Mixer 4"/>
    <x v="2"/>
    <s v="Kolkata WH"/>
    <x v="2"/>
    <n v="411"/>
    <n v="383"/>
    <n v="28"/>
    <n v="38"/>
    <n v="25373"/>
    <n v="28900.41"/>
    <n v="710444"/>
    <n v="3"/>
    <n v="13"/>
    <n v="3.8"/>
    <d v="2026-06-20T00:00:00"/>
    <x v="1"/>
  </r>
  <r>
    <s v="P008"/>
    <s v="Shoes 8"/>
    <x v="3"/>
    <s v="Bengaluru WH"/>
    <x v="2"/>
    <n v="57"/>
    <n v="44"/>
    <n v="13"/>
    <n v="77"/>
    <n v="31199"/>
    <n v="41580.050000000003"/>
    <n v="405587"/>
    <n v="2"/>
    <n v="7"/>
    <n v="4.0999999999999996"/>
    <d v="2026-01-02T00:00:00"/>
    <x v="1"/>
  </r>
  <r>
    <s v="P095"/>
    <s v="Mobile 95"/>
    <x v="0"/>
    <s v="Mumbai WH"/>
    <x v="2"/>
    <n v="54"/>
    <n v="8"/>
    <n v="46"/>
    <n v="58"/>
    <n v="49667"/>
    <n v="67090.77"/>
    <n v="2284682"/>
    <n v="4"/>
    <n v="6"/>
    <n v="4.9000000000000004"/>
    <d v="2026-06-02T00:00:00"/>
    <x v="1"/>
  </r>
  <r>
    <s v="P056"/>
    <s v="Shoes 56"/>
    <x v="3"/>
    <s v="Bengaluru WH"/>
    <x v="0"/>
    <n v="420"/>
    <n v="414"/>
    <n v="6"/>
    <n v="23"/>
    <n v="19653"/>
    <n v="23531.53"/>
    <n v="117918"/>
    <n v="5"/>
    <n v="9"/>
    <n v="4.7"/>
    <d v="2026-04-16T00:00:00"/>
    <x v="1"/>
  </r>
  <r>
    <s v="P013"/>
    <s v="Chair 13"/>
    <x v="1"/>
    <s v="Delhi WH"/>
    <x v="0"/>
    <n v="238"/>
    <n v="17"/>
    <n v="221"/>
    <n v="74"/>
    <n v="26939"/>
    <n v="37140.269999999997"/>
    <n v="5953519"/>
    <n v="0"/>
    <n v="12"/>
    <n v="4.3"/>
    <d v="2026-05-22T00:00:00"/>
    <x v="0"/>
  </r>
  <r>
    <s v="P080"/>
    <s v="Shoes 80"/>
    <x v="3"/>
    <s v="Bengaluru WH"/>
    <x v="0"/>
    <n v="126"/>
    <n v="116"/>
    <n v="10"/>
    <n v="32"/>
    <n v="21789"/>
    <n v="28048.080000000002"/>
    <n v="217890"/>
    <n v="5"/>
    <n v="3"/>
    <n v="3.6"/>
    <d v="2026-02-03T00:00:00"/>
    <x v="1"/>
  </r>
  <r>
    <s v="P045"/>
    <s v="Chair 45"/>
    <x v="1"/>
    <s v="Kolkata WH"/>
    <x v="2"/>
    <n v="356"/>
    <n v="272"/>
    <n v="84"/>
    <n v="38"/>
    <n v="3712"/>
    <n v="4176.8900000000003"/>
    <n v="311808"/>
    <n v="3"/>
    <n v="5"/>
    <n v="4.0999999999999996"/>
    <d v="2026-02-03T00:00:00"/>
    <x v="0"/>
  </r>
  <r>
    <s v="P096"/>
    <s v="Chair 96"/>
    <x v="1"/>
    <s v="Bengaluru WH"/>
    <x v="1"/>
    <n v="369"/>
    <n v="43"/>
    <n v="326"/>
    <n v="56"/>
    <n v="59124"/>
    <n v="74296.22"/>
    <n v="19274424"/>
    <n v="2"/>
    <n v="12"/>
    <n v="4.3"/>
    <d v="2026-03-27T00:00:00"/>
    <x v="0"/>
  </r>
  <r>
    <s v="P037"/>
    <s v="Mixer 37"/>
    <x v="2"/>
    <s v="Mumbai WH"/>
    <x v="3"/>
    <n v="181"/>
    <n v="137"/>
    <n v="44"/>
    <n v="57"/>
    <n v="42582"/>
    <n v="50200.89"/>
    <n v="1873608"/>
    <n v="3"/>
    <n v="7"/>
    <n v="4.0999999999999996"/>
    <d v="2026-06-15T00:00:00"/>
    <x v="1"/>
  </r>
  <r>
    <s v="P069"/>
    <s v="Chair 69"/>
    <x v="1"/>
    <s v="Kolkata WH"/>
    <x v="1"/>
    <n v="469"/>
    <n v="377"/>
    <n v="92"/>
    <n v="70"/>
    <n v="50534"/>
    <n v="66149.179999999993"/>
    <n v="4649128"/>
    <n v="1"/>
    <n v="6"/>
    <n v="3.6"/>
    <d v="2026-01-31T00:00:00"/>
    <x v="0"/>
  </r>
  <r>
    <s v="P061"/>
    <s v="Mobile 61"/>
    <x v="0"/>
    <s v="Bengaluru WH"/>
    <x v="0"/>
    <n v="91"/>
    <n v="74"/>
    <n v="17"/>
    <n v="56"/>
    <n v="31850"/>
    <n v="38997.629999999997"/>
    <n v="541450"/>
    <n v="5"/>
    <n v="7"/>
    <n v="3.7"/>
    <d v="2026-04-22T00:00:00"/>
    <x v="1"/>
  </r>
  <r>
    <s v="P008"/>
    <s v="Shoes 8"/>
    <x v="3"/>
    <s v="Bengaluru WH"/>
    <x v="2"/>
    <n v="101"/>
    <n v="97"/>
    <n v="4"/>
    <n v="52"/>
    <n v="58651"/>
    <n v="66063.570000000007"/>
    <n v="234604"/>
    <n v="5"/>
    <n v="5"/>
    <n v="4.5999999999999996"/>
    <d v="2026-02-04T00:00:00"/>
    <x v="1"/>
  </r>
  <r>
    <s v="P038"/>
    <s v="Mobile 38"/>
    <x v="0"/>
    <s v="Mumbai WH"/>
    <x v="1"/>
    <n v="489"/>
    <n v="461"/>
    <n v="28"/>
    <n v="61"/>
    <n v="42014"/>
    <n v="48053.49"/>
    <n v="1176392"/>
    <n v="1"/>
    <n v="8"/>
    <n v="4.4000000000000004"/>
    <d v="2026-04-23T00:00:00"/>
    <x v="1"/>
  </r>
  <r>
    <s v="P062"/>
    <s v="Mixer 62"/>
    <x v="2"/>
    <s v="Mumbai WH"/>
    <x v="0"/>
    <n v="254"/>
    <n v="52"/>
    <n v="202"/>
    <n v="68"/>
    <n v="20751"/>
    <n v="27812.48"/>
    <n v="4191702"/>
    <n v="3"/>
    <n v="13"/>
    <n v="3.9"/>
    <d v="2026-06-15T00:00:00"/>
    <x v="0"/>
  </r>
  <r>
    <s v="P042"/>
    <s v="Table 42"/>
    <x v="1"/>
    <s v="Kolkata WH"/>
    <x v="0"/>
    <n v="151"/>
    <n v="98"/>
    <n v="53"/>
    <n v="73"/>
    <n v="53950"/>
    <n v="59350.73"/>
    <n v="2859350"/>
    <n v="2"/>
    <n v="2"/>
    <n v="4.2"/>
    <d v="2026-01-14T00:00:00"/>
    <x v="1"/>
  </r>
  <r>
    <s v="P074"/>
    <s v="Mixer 74"/>
    <x v="2"/>
    <s v="Mumbai WH"/>
    <x v="1"/>
    <n v="172"/>
    <n v="63"/>
    <n v="109"/>
    <n v="44"/>
    <n v="28440"/>
    <n v="32903.65"/>
    <n v="3099960"/>
    <n v="5"/>
    <n v="12"/>
    <n v="4.7"/>
    <d v="2026-01-25T00:00:00"/>
    <x v="0"/>
  </r>
  <r>
    <s v="P069"/>
    <s v="Chair 69"/>
    <x v="1"/>
    <s v="Kolkata WH"/>
    <x v="2"/>
    <n v="166"/>
    <n v="14"/>
    <n v="152"/>
    <n v="37"/>
    <n v="19843"/>
    <n v="22561.47"/>
    <n v="3016136"/>
    <n v="0"/>
    <n v="8"/>
    <n v="4.5999999999999996"/>
    <d v="2026-04-23T00:00:00"/>
    <x v="0"/>
  </r>
  <r>
    <s v="P010"/>
    <s v="Shoes 10"/>
    <x v="3"/>
    <s v="Mumbai WH"/>
    <x v="0"/>
    <n v="364"/>
    <n v="120"/>
    <n v="244"/>
    <n v="60"/>
    <n v="18292"/>
    <n v="20591.39"/>
    <n v="4463248"/>
    <n v="3"/>
    <n v="13"/>
    <n v="3.7"/>
    <d v="2026-04-22T00:00:00"/>
    <x v="0"/>
  </r>
  <r>
    <s v="P066"/>
    <s v="Mobile 66"/>
    <x v="0"/>
    <s v="Mumbai WH"/>
    <x v="3"/>
    <n v="258"/>
    <n v="196"/>
    <n v="62"/>
    <n v="60"/>
    <n v="30715"/>
    <n v="35954.58"/>
    <n v="1904330"/>
    <n v="5"/>
    <n v="7"/>
    <n v="5"/>
    <d v="2026-01-07T00:00:00"/>
    <x v="0"/>
  </r>
  <r>
    <s v="P052"/>
    <s v="Laptop 52"/>
    <x v="0"/>
    <s v="Mumbai WH"/>
    <x v="2"/>
    <n v="466"/>
    <n v="60"/>
    <n v="406"/>
    <n v="47"/>
    <n v="32182"/>
    <n v="39759.71"/>
    <n v="13065892"/>
    <n v="0"/>
    <n v="13"/>
    <n v="4"/>
    <d v="2026-01-11T00:00:00"/>
    <x v="0"/>
  </r>
  <r>
    <s v="P090"/>
    <s v="Mixer 90"/>
    <x v="2"/>
    <s v="Delhi WH"/>
    <x v="0"/>
    <n v="171"/>
    <n v="60"/>
    <n v="111"/>
    <n v="25"/>
    <n v="52023"/>
    <n v="71040.350000000006"/>
    <n v="5774553"/>
    <n v="3"/>
    <n v="12"/>
    <n v="4.0999999999999996"/>
    <d v="2026-06-14T00:00:00"/>
    <x v="0"/>
  </r>
  <r>
    <s v="P034"/>
    <s v="Chair 34"/>
    <x v="1"/>
    <s v="Mumbai WH"/>
    <x v="0"/>
    <n v="104"/>
    <n v="23"/>
    <n v="81"/>
    <n v="30"/>
    <n v="41600"/>
    <n v="47324.74"/>
    <n v="3369600"/>
    <n v="3"/>
    <n v="11"/>
    <n v="4.5"/>
    <d v="2026-06-10T00:00:00"/>
    <x v="0"/>
  </r>
  <r>
    <s v="P047"/>
    <s v="Table 47"/>
    <x v="1"/>
    <s v="Bengaluru WH"/>
    <x v="3"/>
    <n v="406"/>
    <n v="49"/>
    <n v="357"/>
    <n v="64"/>
    <n v="34429"/>
    <n v="39855.410000000003"/>
    <n v="12291153"/>
    <n v="3"/>
    <n v="4"/>
    <n v="4.5999999999999996"/>
    <d v="2026-05-01T00:00:00"/>
    <x v="0"/>
  </r>
  <r>
    <s v="P038"/>
    <s v="Mobile 38"/>
    <x v="0"/>
    <s v="Kolkata WH"/>
    <x v="3"/>
    <n v="182"/>
    <n v="154"/>
    <n v="28"/>
    <n v="47"/>
    <n v="13654"/>
    <n v="17852.189999999999"/>
    <n v="382312"/>
    <n v="2"/>
    <n v="7"/>
    <n v="4"/>
    <d v="2026-06-21T00:00:00"/>
    <x v="1"/>
  </r>
  <r>
    <s v="P055"/>
    <s v="Chair 55"/>
    <x v="1"/>
    <s v="Bengaluru WH"/>
    <x v="0"/>
    <n v="452"/>
    <n v="272"/>
    <n v="180"/>
    <n v="76"/>
    <n v="30482"/>
    <n v="39325.58"/>
    <n v="5486760"/>
    <n v="0"/>
    <n v="12"/>
    <n v="3.7"/>
    <d v="2026-03-23T00:00:00"/>
    <x v="0"/>
  </r>
  <r>
    <s v="P024"/>
    <s v="Laptop 24"/>
    <x v="0"/>
    <s v="Delhi WH"/>
    <x v="2"/>
    <n v="178"/>
    <n v="56"/>
    <n v="122"/>
    <n v="71"/>
    <n v="36379"/>
    <n v="46138.21"/>
    <n v="4438238"/>
    <n v="3"/>
    <n v="13"/>
    <n v="4.9000000000000004"/>
    <d v="2026-01-19T00:00:00"/>
    <x v="0"/>
  </r>
  <r>
    <s v="P100"/>
    <s v="Mobile 100"/>
    <x v="0"/>
    <s v="Bengaluru WH"/>
    <x v="0"/>
    <n v="260"/>
    <n v="47"/>
    <n v="213"/>
    <n v="50"/>
    <n v="33771"/>
    <n v="44894.62"/>
    <n v="7193223"/>
    <n v="3"/>
    <n v="6"/>
    <n v="4"/>
    <d v="2026-06-19T00:00:00"/>
    <x v="0"/>
  </r>
  <r>
    <s v="P001"/>
    <s v="Shoes 1"/>
    <x v="3"/>
    <s v="Delhi WH"/>
    <x v="1"/>
    <n v="273"/>
    <n v="79"/>
    <n v="194"/>
    <n v="67"/>
    <n v="47818"/>
    <n v="56055.17"/>
    <n v="9276692"/>
    <n v="0"/>
    <n v="3"/>
    <n v="4.5"/>
    <d v="2026-04-01T00:00:00"/>
    <x v="0"/>
  </r>
  <r>
    <s v="P037"/>
    <s v="Mixer 37"/>
    <x v="2"/>
    <s v="Mumbai WH"/>
    <x v="1"/>
    <n v="207"/>
    <n v="170"/>
    <n v="37"/>
    <n v="69"/>
    <n v="5813"/>
    <n v="7243.83"/>
    <n v="215081"/>
    <n v="3"/>
    <n v="12"/>
    <n v="3.6"/>
    <d v="2026-02-17T00:00:00"/>
    <x v="1"/>
  </r>
  <r>
    <s v="P077"/>
    <s v="Table 77"/>
    <x v="1"/>
    <s v="Delhi WH"/>
    <x v="3"/>
    <n v="61"/>
    <n v="29"/>
    <n v="32"/>
    <n v="36"/>
    <n v="23866"/>
    <n v="31820.75"/>
    <n v="763712"/>
    <n v="0"/>
    <n v="14"/>
    <n v="3.9"/>
    <d v="2026-01-14T00:00:00"/>
    <x v="1"/>
  </r>
  <r>
    <s v="P036"/>
    <s v="Shoes 36"/>
    <x v="3"/>
    <s v="Mumbai WH"/>
    <x v="2"/>
    <n v="475"/>
    <n v="172"/>
    <n v="303"/>
    <n v="41"/>
    <n v="50650"/>
    <n v="64722.17"/>
    <n v="15346950"/>
    <n v="1"/>
    <n v="12"/>
    <n v="4.3"/>
    <d v="2026-04-22T00:00:00"/>
    <x v="0"/>
  </r>
  <r>
    <s v="P054"/>
    <s v="Mixer 54"/>
    <x v="2"/>
    <s v="Delhi WH"/>
    <x v="2"/>
    <n v="182"/>
    <n v="92"/>
    <n v="90"/>
    <n v="76"/>
    <n v="28186"/>
    <n v="31063.93"/>
    <n v="2536740"/>
    <n v="5"/>
    <n v="9"/>
    <n v="4.9000000000000004"/>
    <d v="2026-02-14T00:00:00"/>
    <x v="0"/>
  </r>
  <r>
    <s v="P011"/>
    <s v="Laptop 11"/>
    <x v="0"/>
    <s v="Delhi WH"/>
    <x v="2"/>
    <n v="473"/>
    <n v="469"/>
    <n v="4"/>
    <n v="71"/>
    <n v="37916"/>
    <n v="52277.8"/>
    <n v="151664"/>
    <n v="0"/>
    <n v="6"/>
    <n v="4.9000000000000004"/>
    <d v="2026-03-15T00:00:00"/>
    <x v="1"/>
  </r>
  <r>
    <s v="P076"/>
    <s v="Mixer 76"/>
    <x v="2"/>
    <s v="Kolkata WH"/>
    <x v="2"/>
    <n v="229"/>
    <n v="85"/>
    <n v="144"/>
    <n v="28"/>
    <n v="26849"/>
    <n v="30886.42"/>
    <n v="3866256"/>
    <n v="1"/>
    <n v="11"/>
    <n v="4.5"/>
    <d v="2026-02-25T00:00:00"/>
    <x v="0"/>
  </r>
  <r>
    <s v="P081"/>
    <s v="Laptop 81"/>
    <x v="0"/>
    <s v="Bengaluru WH"/>
    <x v="0"/>
    <n v="232"/>
    <n v="83"/>
    <n v="149"/>
    <n v="40"/>
    <n v="7363"/>
    <n v="8444.01"/>
    <n v="1097087"/>
    <n v="1"/>
    <n v="13"/>
    <n v="3.7"/>
    <d v="2026-02-09T00:00:00"/>
    <x v="0"/>
  </r>
  <r>
    <s v="P100"/>
    <s v="Mobile 100"/>
    <x v="0"/>
    <s v="Bengaluru WH"/>
    <x v="1"/>
    <n v="121"/>
    <n v="114"/>
    <n v="7"/>
    <n v="60"/>
    <n v="18433"/>
    <n v="24174.07"/>
    <n v="129031"/>
    <n v="3"/>
    <n v="12"/>
    <n v="4.9000000000000004"/>
    <d v="2026-05-14T00:00:00"/>
    <x v="1"/>
  </r>
  <r>
    <s v="P011"/>
    <s v="Laptop 11"/>
    <x v="0"/>
    <s v="Kolkata WH"/>
    <x v="1"/>
    <n v="252"/>
    <n v="185"/>
    <n v="67"/>
    <n v="73"/>
    <n v="8965"/>
    <n v="11369.88"/>
    <n v="600655"/>
    <n v="3"/>
    <n v="15"/>
    <n v="3.7"/>
    <d v="2026-01-05T00:00:00"/>
    <x v="1"/>
  </r>
  <r>
    <s v="P063"/>
    <s v="Shoes 63"/>
    <x v="3"/>
    <s v="Kolkata WH"/>
    <x v="3"/>
    <n v="147"/>
    <n v="69"/>
    <n v="78"/>
    <n v="68"/>
    <n v="44709"/>
    <n v="59392.91"/>
    <n v="3487302"/>
    <n v="4"/>
    <n v="9"/>
    <n v="3.5"/>
    <d v="2026-01-21T00:00:00"/>
    <x v="0"/>
  </r>
  <r>
    <s v="P056"/>
    <s v="Shoes 56"/>
    <x v="3"/>
    <s v="Delhi WH"/>
    <x v="3"/>
    <n v="198"/>
    <n v="39"/>
    <n v="159"/>
    <n v="69"/>
    <n v="54027"/>
    <n v="68310.460000000006"/>
    <n v="8590293"/>
    <n v="3"/>
    <n v="12"/>
    <n v="4.0999999999999996"/>
    <d v="2026-03-27T00:00:00"/>
    <x v="0"/>
  </r>
  <r>
    <s v="P021"/>
    <s v="Mobile 21"/>
    <x v="0"/>
    <s v="Bengaluru WH"/>
    <x v="0"/>
    <n v="348"/>
    <n v="347"/>
    <n v="1"/>
    <n v="30"/>
    <n v="399"/>
    <n v="529.23"/>
    <n v="399"/>
    <n v="4"/>
    <n v="14"/>
    <n v="3.7"/>
    <d v="2026-02-10T00:00:00"/>
    <x v="1"/>
  </r>
  <r>
    <s v="P057"/>
    <s v="Shoes 57"/>
    <x v="3"/>
    <s v="Kolkata WH"/>
    <x v="0"/>
    <n v="324"/>
    <n v="149"/>
    <n v="175"/>
    <n v="76"/>
    <n v="34723"/>
    <n v="39795.57"/>
    <n v="6076525"/>
    <n v="2"/>
    <n v="2"/>
    <n v="4.2"/>
    <d v="2026-04-17T00:00:00"/>
    <x v="0"/>
  </r>
  <r>
    <s v="P024"/>
    <s v="Laptop 24"/>
    <x v="0"/>
    <s v="Mumbai WH"/>
    <x v="3"/>
    <n v="166"/>
    <n v="6"/>
    <n v="160"/>
    <n v="36"/>
    <n v="41424"/>
    <n v="53443.7"/>
    <n v="6627840"/>
    <n v="1"/>
    <n v="4"/>
    <n v="4.0999999999999996"/>
    <d v="2026-01-06T00:00:00"/>
    <x v="0"/>
  </r>
  <r>
    <s v="P046"/>
    <s v="Laptop 46"/>
    <x v="0"/>
    <s v="Delhi WH"/>
    <x v="0"/>
    <n v="145"/>
    <n v="90"/>
    <n v="55"/>
    <n v="56"/>
    <n v="55794"/>
    <n v="77608.759999999995"/>
    <n v="3068670"/>
    <n v="2"/>
    <n v="15"/>
    <n v="3.8"/>
    <d v="2026-03-23T00:00:00"/>
    <x v="1"/>
  </r>
  <r>
    <s v="P031"/>
    <s v="Table 31"/>
    <x v="1"/>
    <s v="Bengaluru WH"/>
    <x v="0"/>
    <n v="186"/>
    <n v="181"/>
    <n v="5"/>
    <n v="46"/>
    <n v="9365"/>
    <n v="12403.2"/>
    <n v="46825"/>
    <n v="5"/>
    <n v="6"/>
    <n v="4.8"/>
    <d v="2026-06-25T00:00:00"/>
    <x v="1"/>
  </r>
  <r>
    <s v="P084"/>
    <s v="Laptop 84"/>
    <x v="0"/>
    <s v="Bengaluru WH"/>
    <x v="1"/>
    <n v="105"/>
    <n v="43"/>
    <n v="62"/>
    <n v="40"/>
    <n v="21446"/>
    <n v="26246.61"/>
    <n v="1329652"/>
    <n v="3"/>
    <n v="9"/>
    <n v="4.9000000000000004"/>
    <d v="2026-02-11T00:00:00"/>
    <x v="0"/>
  </r>
  <r>
    <s v="P029"/>
    <s v="Mixer 29"/>
    <x v="2"/>
    <s v="Mumbai WH"/>
    <x v="2"/>
    <n v="76"/>
    <n v="33"/>
    <n v="43"/>
    <n v="45"/>
    <n v="23202"/>
    <n v="29582.61"/>
    <n v="997686"/>
    <n v="2"/>
    <n v="13"/>
    <n v="4.4000000000000004"/>
    <d v="2026-05-29T00:00:00"/>
    <x v="1"/>
  </r>
  <r>
    <s v="P033"/>
    <s v="Mixer 33"/>
    <x v="2"/>
    <s v="Bengaluru WH"/>
    <x v="3"/>
    <n v="369"/>
    <n v="354"/>
    <n v="15"/>
    <n v="32"/>
    <n v="24286"/>
    <n v="31352.13"/>
    <n v="364290"/>
    <n v="0"/>
    <n v="10"/>
    <n v="3.7"/>
    <d v="2026-02-05T00:00:00"/>
    <x v="1"/>
  </r>
  <r>
    <s v="P035"/>
    <s v="Table 35"/>
    <x v="1"/>
    <s v="Delhi WH"/>
    <x v="1"/>
    <n v="311"/>
    <n v="214"/>
    <n v="97"/>
    <n v="79"/>
    <n v="23750"/>
    <n v="32215.46"/>
    <n v="2303750"/>
    <n v="3"/>
    <n v="4"/>
    <n v="4.0999999999999996"/>
    <d v="2026-01-07T00:00:00"/>
    <x v="0"/>
  </r>
  <r>
    <s v="P003"/>
    <s v="Mixer 3"/>
    <x v="2"/>
    <s v="Mumbai WH"/>
    <x v="1"/>
    <n v="458"/>
    <n v="342"/>
    <n v="116"/>
    <n v="77"/>
    <n v="52869"/>
    <n v="67883.91"/>
    <n v="6132804"/>
    <n v="3"/>
    <n v="7"/>
    <n v="3.9"/>
    <d v="2026-01-08T00:00:00"/>
    <x v="0"/>
  </r>
  <r>
    <s v="P090"/>
    <s v="Mixer 90"/>
    <x v="2"/>
    <s v="Kolkata WH"/>
    <x v="3"/>
    <n v="393"/>
    <n v="9"/>
    <n v="384"/>
    <n v="80"/>
    <n v="41434"/>
    <n v="56967.64"/>
    <n v="15910656"/>
    <n v="1"/>
    <n v="3"/>
    <n v="4.3"/>
    <d v="2026-05-15T00:00:00"/>
    <x v="0"/>
  </r>
  <r>
    <s v="P077"/>
    <s v="Table 77"/>
    <x v="1"/>
    <s v="Delhi WH"/>
    <x v="1"/>
    <n v="166"/>
    <n v="47"/>
    <n v="119"/>
    <n v="54"/>
    <n v="48123"/>
    <n v="53305.440000000002"/>
    <n v="5726637"/>
    <n v="4"/>
    <n v="2"/>
    <n v="3.8"/>
    <d v="2026-01-04T00:00:00"/>
    <x v="0"/>
  </r>
  <r>
    <s v="P007"/>
    <s v="Laptop 7"/>
    <x v="0"/>
    <s v="Delhi WH"/>
    <x v="2"/>
    <n v="424"/>
    <n v="331"/>
    <n v="93"/>
    <n v="40"/>
    <n v="37103"/>
    <n v="45138.05"/>
    <n v="3450579"/>
    <n v="1"/>
    <n v="11"/>
    <n v="4.5"/>
    <d v="2026-02-02T00:00:00"/>
    <x v="0"/>
  </r>
  <r>
    <s v="P093"/>
    <s v="Shoes 93"/>
    <x v="3"/>
    <s v="Bengaluru WH"/>
    <x v="1"/>
    <n v="342"/>
    <n v="97"/>
    <n v="245"/>
    <n v="69"/>
    <n v="11484"/>
    <n v="15532.12"/>
    <n v="2813580"/>
    <n v="4"/>
    <n v="11"/>
    <n v="4.3"/>
    <d v="2026-04-03T00:00:00"/>
    <x v="0"/>
  </r>
  <r>
    <s v="P097"/>
    <s v="Mobile 97"/>
    <x v="0"/>
    <s v="Delhi WH"/>
    <x v="1"/>
    <n v="478"/>
    <n v="17"/>
    <n v="461"/>
    <n v="53"/>
    <n v="51639"/>
    <n v="61803.95"/>
    <n v="23805579"/>
    <n v="3"/>
    <n v="10"/>
    <n v="4.0999999999999996"/>
    <d v="2026-05-04T00:00:00"/>
    <x v="0"/>
  </r>
  <r>
    <s v="P011"/>
    <s v="Laptop 11"/>
    <x v="0"/>
    <s v="Delhi WH"/>
    <x v="3"/>
    <n v="154"/>
    <n v="86"/>
    <n v="68"/>
    <n v="46"/>
    <n v="15913"/>
    <n v="20708.53"/>
    <n v="1082084"/>
    <n v="4"/>
    <n v="5"/>
    <n v="4.0999999999999996"/>
    <d v="2026-02-18T00:00:00"/>
    <x v="0"/>
  </r>
  <r>
    <s v="P082"/>
    <s v="Mobile 82"/>
    <x v="0"/>
    <s v="Kolkata WH"/>
    <x v="2"/>
    <n v="326"/>
    <n v="22"/>
    <n v="304"/>
    <n v="20"/>
    <n v="53395"/>
    <n v="61535.83"/>
    <n v="16232080"/>
    <n v="0"/>
    <n v="13"/>
    <n v="4.8"/>
    <d v="2026-04-23T00:00:00"/>
    <x v="0"/>
  </r>
  <r>
    <s v="P007"/>
    <s v="Laptop 7"/>
    <x v="0"/>
    <s v="Delhi WH"/>
    <x v="2"/>
    <n v="391"/>
    <n v="14"/>
    <n v="377"/>
    <n v="36"/>
    <n v="45382"/>
    <n v="59451.06"/>
    <n v="17109014"/>
    <n v="2"/>
    <n v="9"/>
    <n v="4.3"/>
    <d v="2026-06-15T00:00:00"/>
    <x v="0"/>
  </r>
  <r>
    <s v="P100"/>
    <s v="Mobile 100"/>
    <x v="0"/>
    <s v="Delhi WH"/>
    <x v="2"/>
    <n v="427"/>
    <n v="144"/>
    <n v="283"/>
    <n v="36"/>
    <n v="57937"/>
    <n v="79050.98"/>
    <n v="16396171"/>
    <n v="5"/>
    <n v="14"/>
    <n v="3.8"/>
    <d v="2026-04-07T00:00:00"/>
    <x v="0"/>
  </r>
  <r>
    <s v="P033"/>
    <s v="Mixer 33"/>
    <x v="2"/>
    <s v="Kolkata WH"/>
    <x v="3"/>
    <n v="439"/>
    <n v="121"/>
    <n v="318"/>
    <n v="39"/>
    <n v="58088"/>
    <n v="77752.95"/>
    <n v="18471984"/>
    <n v="2"/>
    <n v="7"/>
    <n v="3.9"/>
    <d v="2026-05-29T00:00:00"/>
    <x v="0"/>
  </r>
  <r>
    <s v="P043"/>
    <s v="Mobile 43"/>
    <x v="0"/>
    <s v="Delhi WH"/>
    <x v="2"/>
    <n v="137"/>
    <n v="101"/>
    <n v="36"/>
    <n v="76"/>
    <n v="16681"/>
    <n v="20180.29"/>
    <n v="600516"/>
    <n v="1"/>
    <n v="13"/>
    <n v="4.3"/>
    <d v="2026-05-28T00:00:00"/>
    <x v="1"/>
  </r>
  <r>
    <s v="P018"/>
    <s v="Laptop 18"/>
    <x v="0"/>
    <s v="Mumbai WH"/>
    <x v="2"/>
    <n v="161"/>
    <n v="0"/>
    <n v="161"/>
    <n v="74"/>
    <n v="2857"/>
    <n v="3998.17"/>
    <n v="459977"/>
    <n v="3"/>
    <n v="10"/>
    <n v="4.0999999999999996"/>
    <d v="2026-01-16T00:00:00"/>
    <x v="0"/>
  </r>
  <r>
    <s v="P044"/>
    <s v="Chair 44"/>
    <x v="1"/>
    <s v="Kolkata WH"/>
    <x v="2"/>
    <n v="108"/>
    <n v="58"/>
    <n v="50"/>
    <n v="68"/>
    <n v="12814"/>
    <n v="14576.46"/>
    <n v="640700"/>
    <n v="3"/>
    <n v="14"/>
    <n v="4"/>
    <d v="2026-06-13T00:00:00"/>
    <x v="1"/>
  </r>
  <r>
    <s v="P096"/>
    <s v="Chair 96"/>
    <x v="1"/>
    <s v="Mumbai WH"/>
    <x v="0"/>
    <n v="278"/>
    <n v="221"/>
    <n v="57"/>
    <n v="61"/>
    <n v="19064"/>
    <n v="21250.33"/>
    <n v="1086648"/>
    <n v="1"/>
    <n v="15"/>
    <n v="3.6"/>
    <d v="2026-05-16T00:00:00"/>
    <x v="1"/>
  </r>
  <r>
    <s v="P098"/>
    <s v="Mobile 98"/>
    <x v="0"/>
    <s v="Mumbai WH"/>
    <x v="0"/>
    <n v="401"/>
    <n v="332"/>
    <n v="69"/>
    <n v="56"/>
    <n v="31444"/>
    <n v="35055.81"/>
    <n v="2169636"/>
    <n v="0"/>
    <n v="15"/>
    <n v="4"/>
    <d v="2026-01-30T00:00:00"/>
    <x v="0"/>
  </r>
  <r>
    <s v="P039"/>
    <s v="Shoes 39"/>
    <x v="3"/>
    <s v="Delhi WH"/>
    <x v="3"/>
    <n v="162"/>
    <n v="34"/>
    <n v="128"/>
    <n v="39"/>
    <n v="37492"/>
    <n v="49449.65"/>
    <n v="4798976"/>
    <n v="4"/>
    <n v="15"/>
    <n v="3.6"/>
    <d v="2026-04-10T00:00:00"/>
    <x v="0"/>
  </r>
  <r>
    <s v="P083"/>
    <s v="Table 83"/>
    <x v="1"/>
    <s v="Bengaluru WH"/>
    <x v="3"/>
    <n v="479"/>
    <n v="184"/>
    <n v="295"/>
    <n v="47"/>
    <n v="50891"/>
    <n v="66935.73"/>
    <n v="15012845"/>
    <n v="3"/>
    <n v="3"/>
    <n v="4.5999999999999996"/>
    <d v="2026-03-25T00:00:00"/>
    <x v="0"/>
  </r>
  <r>
    <s v="P033"/>
    <s v="Mixer 33"/>
    <x v="2"/>
    <s v="Mumbai WH"/>
    <x v="1"/>
    <n v="476"/>
    <n v="54"/>
    <n v="422"/>
    <n v="33"/>
    <n v="53823"/>
    <n v="71264.05"/>
    <n v="22713306"/>
    <n v="0"/>
    <n v="3"/>
    <n v="4.3"/>
    <d v="2026-06-25T00:00:00"/>
    <x v="0"/>
  </r>
  <r>
    <s v="P008"/>
    <s v="Shoes 8"/>
    <x v="3"/>
    <s v="Mumbai WH"/>
    <x v="3"/>
    <n v="106"/>
    <n v="14"/>
    <n v="92"/>
    <n v="64"/>
    <n v="14365"/>
    <n v="19918.18"/>
    <n v="1321580"/>
    <n v="4"/>
    <n v="11"/>
    <n v="3.9"/>
    <d v="2026-06-02T00:00:00"/>
    <x v="0"/>
  </r>
  <r>
    <s v="P096"/>
    <s v="Chair 96"/>
    <x v="1"/>
    <s v="Kolkata WH"/>
    <x v="2"/>
    <n v="55"/>
    <n v="40"/>
    <n v="15"/>
    <n v="65"/>
    <n v="46344"/>
    <n v="57161.120000000003"/>
    <n v="695160"/>
    <n v="2"/>
    <n v="15"/>
    <n v="4.3"/>
    <d v="2026-04-24T00:00:00"/>
    <x v="1"/>
  </r>
  <r>
    <s v="P011"/>
    <s v="Laptop 11"/>
    <x v="0"/>
    <s v="Delhi WH"/>
    <x v="2"/>
    <n v="439"/>
    <n v="438"/>
    <n v="1"/>
    <n v="51"/>
    <n v="7329"/>
    <n v="8512.09"/>
    <n v="7329"/>
    <n v="0"/>
    <n v="12"/>
    <n v="3.8"/>
    <d v="2026-06-08T00:00:00"/>
    <x v="1"/>
  </r>
  <r>
    <s v="P014"/>
    <s v="Mixer 14"/>
    <x v="2"/>
    <s v="Kolkata WH"/>
    <x v="1"/>
    <n v="288"/>
    <n v="233"/>
    <n v="55"/>
    <n v="79"/>
    <n v="17172"/>
    <n v="22474.45"/>
    <n v="944460"/>
    <n v="0"/>
    <n v="11"/>
    <n v="4.4000000000000004"/>
    <d v="2026-04-22T00:00:00"/>
    <x v="1"/>
  </r>
  <r>
    <s v="P081"/>
    <s v="Laptop 81"/>
    <x v="0"/>
    <s v="Mumbai WH"/>
    <x v="0"/>
    <n v="486"/>
    <n v="253"/>
    <n v="233"/>
    <n v="59"/>
    <n v="35497"/>
    <n v="44385.599999999999"/>
    <n v="8270801"/>
    <n v="5"/>
    <n v="2"/>
    <n v="3.8"/>
    <d v="2026-03-02T00:00:00"/>
    <x v="0"/>
  </r>
  <r>
    <s v="P083"/>
    <s v="Table 83"/>
    <x v="1"/>
    <s v="Delhi WH"/>
    <x v="2"/>
    <n v="454"/>
    <n v="71"/>
    <n v="383"/>
    <n v="66"/>
    <n v="44770"/>
    <n v="60114.7"/>
    <n v="17146910"/>
    <n v="3"/>
    <n v="7"/>
    <n v="4.5"/>
    <d v="2026-05-22T00:00:00"/>
    <x v="0"/>
  </r>
  <r>
    <s v="P064"/>
    <s v="Table 64"/>
    <x v="1"/>
    <s v="Bengaluru WH"/>
    <x v="0"/>
    <n v="427"/>
    <n v="324"/>
    <n v="103"/>
    <n v="25"/>
    <n v="19176"/>
    <n v="21152.81"/>
    <n v="1975128"/>
    <n v="0"/>
    <n v="3"/>
    <n v="4.8"/>
    <d v="2026-02-22T00:00:00"/>
    <x v="0"/>
  </r>
  <r>
    <s v="P030"/>
    <s v="Mixer 30"/>
    <x v="2"/>
    <s v="Mumbai WH"/>
    <x v="3"/>
    <n v="179"/>
    <n v="93"/>
    <n v="86"/>
    <n v="45"/>
    <n v="21849"/>
    <n v="30293"/>
    <n v="1879014"/>
    <n v="5"/>
    <n v="9"/>
    <n v="4"/>
    <d v="2026-04-18T00:00:00"/>
    <x v="0"/>
  </r>
  <r>
    <s v="P049"/>
    <s v="Shoes 49"/>
    <x v="3"/>
    <s v="Delhi WH"/>
    <x v="2"/>
    <n v="196"/>
    <n v="111"/>
    <n v="85"/>
    <n v="61"/>
    <n v="18251"/>
    <n v="22373.97"/>
    <n v="1551335"/>
    <n v="5"/>
    <n v="2"/>
    <n v="3.7"/>
    <d v="2026-03-23T00:00:00"/>
    <x v="0"/>
  </r>
  <r>
    <s v="P086"/>
    <s v="Mobile 86"/>
    <x v="0"/>
    <s v="Mumbai WH"/>
    <x v="0"/>
    <n v="375"/>
    <n v="308"/>
    <n v="67"/>
    <n v="22"/>
    <n v="8555"/>
    <n v="9684.57"/>
    <n v="573185"/>
    <n v="1"/>
    <n v="11"/>
    <n v="3.6"/>
    <d v="2026-02-24T00:00:00"/>
    <x v="0"/>
  </r>
  <r>
    <s v="P086"/>
    <s v="Mobile 86"/>
    <x v="0"/>
    <s v="Kolkata WH"/>
    <x v="0"/>
    <n v="168"/>
    <n v="132"/>
    <n v="36"/>
    <n v="65"/>
    <n v="41462"/>
    <n v="54345.95"/>
    <n v="1492632"/>
    <n v="2"/>
    <n v="4"/>
    <n v="4.7"/>
    <d v="2026-05-08T00:00:00"/>
    <x v="1"/>
  </r>
  <r>
    <s v="P068"/>
    <s v="Mobile 68"/>
    <x v="0"/>
    <s v="Delhi WH"/>
    <x v="0"/>
    <n v="464"/>
    <n v="327"/>
    <n v="137"/>
    <n v="71"/>
    <n v="49655"/>
    <n v="57508.34"/>
    <n v="6802735"/>
    <n v="0"/>
    <n v="13"/>
    <n v="4.4000000000000004"/>
    <d v="2026-06-24T00:00:00"/>
    <x v="0"/>
  </r>
  <r>
    <s v="P091"/>
    <s v="Laptop 91"/>
    <x v="0"/>
    <s v="Delhi WH"/>
    <x v="2"/>
    <n v="416"/>
    <n v="290"/>
    <n v="126"/>
    <n v="74"/>
    <n v="27109"/>
    <n v="34552.480000000003"/>
    <n v="3415734"/>
    <n v="4"/>
    <n v="8"/>
    <n v="3.9"/>
    <d v="2026-04-05T00:00:00"/>
    <x v="0"/>
  </r>
  <r>
    <s v="P095"/>
    <s v="Mobile 95"/>
    <x v="0"/>
    <s v="Bengaluru WH"/>
    <x v="3"/>
    <n v="208"/>
    <n v="164"/>
    <n v="44"/>
    <n v="32"/>
    <n v="48998"/>
    <n v="60596.32"/>
    <n v="2155912"/>
    <n v="1"/>
    <n v="8"/>
    <n v="4.4000000000000004"/>
    <d v="2026-03-07T00:00:00"/>
    <x v="0"/>
  </r>
  <r>
    <s v="P067"/>
    <s v="Mixer 67"/>
    <x v="2"/>
    <s v="Bengaluru WH"/>
    <x v="3"/>
    <n v="236"/>
    <n v="112"/>
    <n v="124"/>
    <n v="30"/>
    <n v="7032"/>
    <n v="8161.88"/>
    <n v="871968"/>
    <n v="4"/>
    <n v="14"/>
    <n v="4.3"/>
    <d v="2026-01-09T00:00:00"/>
    <x v="0"/>
  </r>
  <r>
    <s v="P056"/>
    <s v="Shoes 56"/>
    <x v="3"/>
    <s v="Bengaluru WH"/>
    <x v="1"/>
    <n v="341"/>
    <n v="80"/>
    <n v="261"/>
    <n v="50"/>
    <n v="30912"/>
    <n v="37519.800000000003"/>
    <n v="8068032"/>
    <n v="5"/>
    <n v="11"/>
    <n v="4.4000000000000004"/>
    <d v="2026-05-30T00:00:00"/>
    <x v="0"/>
  </r>
  <r>
    <s v="P024"/>
    <s v="Laptop 24"/>
    <x v="0"/>
    <s v="Kolkata WH"/>
    <x v="3"/>
    <n v="423"/>
    <n v="229"/>
    <n v="194"/>
    <n v="30"/>
    <n v="18137"/>
    <n v="23687.77"/>
    <n v="3518578"/>
    <n v="5"/>
    <n v="10"/>
    <n v="4.2"/>
    <d v="2026-05-04T00:00:00"/>
    <x v="0"/>
  </r>
  <r>
    <s v="P087"/>
    <s v="Table 87"/>
    <x v="1"/>
    <s v="Bengaluru WH"/>
    <x v="3"/>
    <n v="444"/>
    <n v="272"/>
    <n v="172"/>
    <n v="78"/>
    <n v="54077"/>
    <n v="75451.31"/>
    <n v="9301244"/>
    <n v="1"/>
    <n v="11"/>
    <n v="4.7"/>
    <d v="2026-02-21T00:00:00"/>
    <x v="0"/>
  </r>
  <r>
    <s v="P015"/>
    <s v="Table 15"/>
    <x v="1"/>
    <s v="Delhi WH"/>
    <x v="0"/>
    <n v="178"/>
    <n v="106"/>
    <n v="72"/>
    <n v="79"/>
    <n v="44785"/>
    <n v="59081.11"/>
    <n v="3224520"/>
    <n v="2"/>
    <n v="15"/>
    <n v="4.5999999999999996"/>
    <d v="2026-05-26T00:00:00"/>
    <x v="1"/>
  </r>
  <r>
    <s v="P031"/>
    <s v="Table 31"/>
    <x v="1"/>
    <s v="Kolkata WH"/>
    <x v="0"/>
    <n v="410"/>
    <n v="361"/>
    <n v="49"/>
    <n v="26"/>
    <n v="58110"/>
    <n v="81105.48"/>
    <n v="2847390"/>
    <n v="3"/>
    <n v="3"/>
    <n v="3.6"/>
    <d v="2026-05-10T00:00:00"/>
    <x v="0"/>
  </r>
  <r>
    <s v="P038"/>
    <s v="Mobile 38"/>
    <x v="0"/>
    <s v="Bengaluru WH"/>
    <x v="3"/>
    <n v="252"/>
    <n v="230"/>
    <n v="22"/>
    <n v="71"/>
    <n v="46453"/>
    <n v="61264.08"/>
    <n v="1021966"/>
    <n v="5"/>
    <n v="14"/>
    <n v="3.6"/>
    <d v="2026-05-09T00:00:00"/>
    <x v="1"/>
  </r>
  <r>
    <s v="P068"/>
    <s v="Mobile 68"/>
    <x v="0"/>
    <s v="Kolkata WH"/>
    <x v="2"/>
    <n v="173"/>
    <n v="14"/>
    <n v="159"/>
    <n v="32"/>
    <n v="11125"/>
    <n v="13723.05"/>
    <n v="1768875"/>
    <n v="0"/>
    <n v="9"/>
    <n v="4.3"/>
    <d v="2026-03-22T00:00:00"/>
    <x v="0"/>
  </r>
  <r>
    <s v="P003"/>
    <s v="Mixer 3"/>
    <x v="2"/>
    <s v="Bengaluru WH"/>
    <x v="2"/>
    <n v="176"/>
    <n v="78"/>
    <n v="98"/>
    <n v="73"/>
    <n v="28036"/>
    <n v="39126.19"/>
    <n v="2747528"/>
    <n v="1"/>
    <n v="7"/>
    <n v="3.8"/>
    <d v="2026-05-27T00:00:00"/>
    <x v="0"/>
  </r>
  <r>
    <s v="P058"/>
    <s v="Mobile 58"/>
    <x v="0"/>
    <s v="Delhi WH"/>
    <x v="2"/>
    <n v="455"/>
    <n v="129"/>
    <n v="326"/>
    <n v="72"/>
    <n v="37543"/>
    <n v="42410.96"/>
    <n v="12239018"/>
    <n v="4"/>
    <n v="3"/>
    <n v="4.5999999999999996"/>
    <d v="2026-04-26T00:00:00"/>
    <x v="0"/>
  </r>
  <r>
    <s v="P060"/>
    <s v="Mixer 60"/>
    <x v="2"/>
    <s v="Mumbai WH"/>
    <x v="3"/>
    <n v="276"/>
    <n v="98"/>
    <n v="178"/>
    <n v="43"/>
    <n v="46107"/>
    <n v="54927.08"/>
    <n v="8207046"/>
    <n v="3"/>
    <n v="4"/>
    <n v="4.8"/>
    <d v="2026-02-04T00:00:00"/>
    <x v="0"/>
  </r>
  <r>
    <s v="P014"/>
    <s v="Mixer 14"/>
    <x v="2"/>
    <s v="Delhi WH"/>
    <x v="0"/>
    <n v="226"/>
    <n v="10"/>
    <n v="216"/>
    <n v="52"/>
    <n v="15777"/>
    <n v="20438.63"/>
    <n v="3407832"/>
    <n v="0"/>
    <n v="9"/>
    <n v="3.7"/>
    <d v="2026-03-15T00:00:00"/>
    <x v="0"/>
  </r>
  <r>
    <s v="P073"/>
    <s v="Mixer 73"/>
    <x v="2"/>
    <s v="Delhi WH"/>
    <x v="1"/>
    <n v="374"/>
    <n v="145"/>
    <n v="229"/>
    <n v="40"/>
    <n v="3677"/>
    <n v="4148.6499999999996"/>
    <n v="842033"/>
    <n v="0"/>
    <n v="12"/>
    <n v="4.4000000000000004"/>
    <d v="2026-05-03T00:00:00"/>
    <x v="0"/>
  </r>
  <r>
    <s v="P031"/>
    <s v="Table 31"/>
    <x v="1"/>
    <s v="Mumbai WH"/>
    <x v="2"/>
    <n v="186"/>
    <n v="35"/>
    <n v="151"/>
    <n v="58"/>
    <n v="18160"/>
    <n v="21156.9"/>
    <n v="2742160"/>
    <n v="1"/>
    <n v="6"/>
    <n v="4.4000000000000004"/>
    <d v="2026-03-01T00:00:00"/>
    <x v="0"/>
  </r>
  <r>
    <s v="P007"/>
    <s v="Laptop 7"/>
    <x v="0"/>
    <s v="Delhi WH"/>
    <x v="2"/>
    <n v="102"/>
    <n v="101"/>
    <n v="1"/>
    <n v="58"/>
    <n v="19306"/>
    <n v="21459.91"/>
    <n v="19306"/>
    <n v="4"/>
    <n v="8"/>
    <n v="3.8"/>
    <d v="2026-02-07T00:00:00"/>
    <x v="1"/>
  </r>
  <r>
    <s v="P054"/>
    <s v="Mixer 54"/>
    <x v="2"/>
    <s v="Delhi WH"/>
    <x v="3"/>
    <n v="361"/>
    <n v="206"/>
    <n v="155"/>
    <n v="63"/>
    <n v="34566"/>
    <n v="40334.89"/>
    <n v="5357730"/>
    <n v="3"/>
    <n v="11"/>
    <n v="4.2"/>
    <d v="2026-01-31T00:00:00"/>
    <x v="0"/>
  </r>
  <r>
    <s v="P074"/>
    <s v="Mixer 74"/>
    <x v="2"/>
    <s v="Bengaluru WH"/>
    <x v="3"/>
    <n v="299"/>
    <n v="94"/>
    <n v="205"/>
    <n v="36"/>
    <n v="28160"/>
    <n v="36411.379999999997"/>
    <n v="5772800"/>
    <n v="5"/>
    <n v="6"/>
    <n v="3.8"/>
    <d v="2026-02-06T00:00:00"/>
    <x v="0"/>
  </r>
  <r>
    <s v="P061"/>
    <s v="Mobile 61"/>
    <x v="0"/>
    <s v="Kolkata WH"/>
    <x v="2"/>
    <n v="299"/>
    <n v="51"/>
    <n v="248"/>
    <n v="41"/>
    <n v="44009"/>
    <n v="51196.73"/>
    <n v="10914232"/>
    <n v="2"/>
    <n v="10"/>
    <n v="4.3"/>
    <d v="2026-03-11T00:00:00"/>
    <x v="0"/>
  </r>
  <r>
    <s v="P066"/>
    <s v="Mobile 66"/>
    <x v="0"/>
    <s v="Kolkata WH"/>
    <x v="2"/>
    <n v="295"/>
    <n v="250"/>
    <n v="45"/>
    <n v="39"/>
    <n v="789"/>
    <n v="975.62"/>
    <n v="35505"/>
    <n v="1"/>
    <n v="8"/>
    <n v="4.4000000000000004"/>
    <d v="2026-04-25T00:00:00"/>
    <x v="0"/>
  </r>
  <r>
    <s v="P007"/>
    <s v="Laptop 7"/>
    <x v="0"/>
    <s v="Bengaluru WH"/>
    <x v="1"/>
    <n v="103"/>
    <n v="91"/>
    <n v="12"/>
    <n v="77"/>
    <n v="38935"/>
    <n v="47576.59"/>
    <n v="467220"/>
    <n v="5"/>
    <n v="13"/>
    <n v="3.5"/>
    <d v="2026-05-27T00:00:00"/>
    <x v="1"/>
  </r>
  <r>
    <s v="P059"/>
    <s v="Laptop 59"/>
    <x v="0"/>
    <s v="Delhi WH"/>
    <x v="0"/>
    <n v="491"/>
    <n v="243"/>
    <n v="248"/>
    <n v="33"/>
    <n v="51130"/>
    <n v="66675.88"/>
    <n v="12680240"/>
    <n v="5"/>
    <n v="6"/>
    <n v="4.2"/>
    <d v="2026-01-20T00:00:00"/>
    <x v="0"/>
  </r>
  <r>
    <s v="P034"/>
    <s v="Chair 34"/>
    <x v="1"/>
    <s v="Bengaluru WH"/>
    <x v="0"/>
    <n v="99"/>
    <n v="91"/>
    <n v="8"/>
    <n v="71"/>
    <n v="56496"/>
    <n v="67009.259999999995"/>
    <n v="451968"/>
    <n v="3"/>
    <n v="6"/>
    <n v="4.2"/>
    <d v="2026-04-16T00:00:00"/>
    <x v="1"/>
  </r>
  <r>
    <s v="P039"/>
    <s v="Shoes 39"/>
    <x v="3"/>
    <s v="Bengaluru WH"/>
    <x v="3"/>
    <n v="261"/>
    <n v="261"/>
    <n v="0"/>
    <n v="56"/>
    <n v="19260"/>
    <n v="24732.65"/>
    <n v="0"/>
    <n v="5"/>
    <n v="13"/>
    <n v="4"/>
    <d v="2026-01-24T00:00:00"/>
    <x v="2"/>
  </r>
  <r>
    <s v="P066"/>
    <s v="Mobile 66"/>
    <x v="0"/>
    <s v="Kolkata WH"/>
    <x v="0"/>
    <n v="438"/>
    <n v="238"/>
    <n v="200"/>
    <n v="47"/>
    <n v="19680"/>
    <n v="26835.03"/>
    <n v="3936000"/>
    <n v="4"/>
    <n v="9"/>
    <n v="3.8"/>
    <d v="2026-04-19T00:00:00"/>
    <x v="0"/>
  </r>
  <r>
    <s v="P064"/>
    <s v="Table 64"/>
    <x v="1"/>
    <s v="Kolkata WH"/>
    <x v="3"/>
    <n v="116"/>
    <n v="116"/>
    <n v="0"/>
    <n v="29"/>
    <n v="40229"/>
    <n v="47302.59"/>
    <n v="0"/>
    <n v="2"/>
    <n v="15"/>
    <n v="4.5"/>
    <d v="2026-04-30T00:00:00"/>
    <x v="2"/>
  </r>
  <r>
    <s v="P072"/>
    <s v="Laptop 72"/>
    <x v="0"/>
    <s v="Delhi WH"/>
    <x v="2"/>
    <n v="358"/>
    <n v="83"/>
    <n v="275"/>
    <n v="65"/>
    <n v="28560"/>
    <n v="34050.65"/>
    <n v="7854000"/>
    <n v="0"/>
    <n v="3"/>
    <n v="3.6"/>
    <d v="2026-06-19T00:00:00"/>
    <x v="0"/>
  </r>
  <r>
    <s v="P008"/>
    <s v="Shoes 8"/>
    <x v="3"/>
    <s v="Mumbai WH"/>
    <x v="3"/>
    <n v="54"/>
    <n v="27"/>
    <n v="27"/>
    <n v="49"/>
    <n v="21690"/>
    <n v="28749.79"/>
    <n v="585630"/>
    <n v="1"/>
    <n v="13"/>
    <n v="4.9000000000000004"/>
    <d v="2026-03-14T00:00:00"/>
    <x v="1"/>
  </r>
  <r>
    <s v="P075"/>
    <s v="Mixer 75"/>
    <x v="2"/>
    <s v="Bengaluru WH"/>
    <x v="2"/>
    <n v="402"/>
    <n v="244"/>
    <n v="158"/>
    <n v="33"/>
    <n v="2709"/>
    <n v="3790.63"/>
    <n v="428022"/>
    <n v="0"/>
    <n v="9"/>
    <n v="4.4000000000000004"/>
    <d v="2026-03-08T00:00:00"/>
    <x v="0"/>
  </r>
  <r>
    <s v="P011"/>
    <s v="Laptop 11"/>
    <x v="0"/>
    <s v="Bengaluru WH"/>
    <x v="2"/>
    <n v="422"/>
    <n v="74"/>
    <n v="348"/>
    <n v="24"/>
    <n v="45607"/>
    <n v="57045.59"/>
    <n v="15871236"/>
    <n v="3"/>
    <n v="5"/>
    <n v="4.0999999999999996"/>
    <d v="2026-04-13T00:00:00"/>
    <x v="0"/>
  </r>
  <r>
    <s v="P087"/>
    <s v="Table 87"/>
    <x v="1"/>
    <s v="Mumbai WH"/>
    <x v="1"/>
    <n v="353"/>
    <n v="239"/>
    <n v="114"/>
    <n v="32"/>
    <n v="44732"/>
    <n v="56694.17"/>
    <n v="5099448"/>
    <n v="4"/>
    <n v="2"/>
    <n v="4.3"/>
    <d v="2026-06-12T00:00:00"/>
    <x v="0"/>
  </r>
  <r>
    <s v="P030"/>
    <s v="Mixer 30"/>
    <x v="2"/>
    <s v="Bengaluru WH"/>
    <x v="3"/>
    <n v="276"/>
    <n v="149"/>
    <n v="127"/>
    <n v="48"/>
    <n v="47312"/>
    <n v="57789.66"/>
    <n v="6008624"/>
    <n v="3"/>
    <n v="7"/>
    <n v="4.3"/>
    <d v="2026-01-20T00:00:00"/>
    <x v="0"/>
  </r>
  <r>
    <s v="P001"/>
    <s v="Shoes 1"/>
    <x v="3"/>
    <s v="Bengaluru WH"/>
    <x v="1"/>
    <n v="155"/>
    <n v="3"/>
    <n v="152"/>
    <n v="59"/>
    <n v="59501"/>
    <n v="78966.92"/>
    <n v="9044152"/>
    <n v="2"/>
    <n v="14"/>
    <n v="4"/>
    <d v="2026-05-09T00:00:00"/>
    <x v="0"/>
  </r>
  <r>
    <s v="P071"/>
    <s v="Mobile 71"/>
    <x v="0"/>
    <s v="Delhi WH"/>
    <x v="1"/>
    <n v="108"/>
    <n v="69"/>
    <n v="39"/>
    <n v="38"/>
    <n v="42123"/>
    <n v="48805.1"/>
    <n v="1642797"/>
    <n v="0"/>
    <n v="14"/>
    <n v="4.5999999999999996"/>
    <d v="2026-03-31T00:00:00"/>
    <x v="0"/>
  </r>
  <r>
    <s v="P059"/>
    <s v="Laptop 59"/>
    <x v="0"/>
    <s v="Kolkata WH"/>
    <x v="2"/>
    <n v="398"/>
    <n v="378"/>
    <n v="20"/>
    <n v="62"/>
    <n v="24626"/>
    <n v="28769.45"/>
    <n v="492520"/>
    <n v="5"/>
    <n v="10"/>
    <n v="4.8"/>
    <d v="2026-06-18T00:00:00"/>
    <x v="1"/>
  </r>
  <r>
    <s v="P024"/>
    <s v="Laptop 24"/>
    <x v="0"/>
    <s v="Kolkata WH"/>
    <x v="2"/>
    <n v="277"/>
    <n v="60"/>
    <n v="217"/>
    <n v="51"/>
    <n v="7956"/>
    <n v="9078.11"/>
    <n v="1726452"/>
    <n v="4"/>
    <n v="13"/>
    <n v="4"/>
    <d v="2026-03-26T00:00:00"/>
    <x v="0"/>
  </r>
  <r>
    <s v="P098"/>
    <s v="Mobile 98"/>
    <x v="0"/>
    <s v="Kolkata WH"/>
    <x v="3"/>
    <n v="104"/>
    <n v="43"/>
    <n v="61"/>
    <n v="26"/>
    <n v="2808"/>
    <n v="3886.64"/>
    <n v="171288"/>
    <n v="1"/>
    <n v="6"/>
    <n v="4.4000000000000004"/>
    <d v="2026-04-12T00:00:00"/>
    <x v="0"/>
  </r>
  <r>
    <s v="P076"/>
    <s v="Mixer 76"/>
    <x v="2"/>
    <s v="Kolkata WH"/>
    <x v="3"/>
    <n v="334"/>
    <n v="196"/>
    <n v="138"/>
    <n v="49"/>
    <n v="35891"/>
    <n v="41532.49"/>
    <n v="4952958"/>
    <n v="1"/>
    <n v="15"/>
    <n v="3.6"/>
    <d v="2026-01-15T00:00:00"/>
    <x v="0"/>
  </r>
  <r>
    <s v="P045"/>
    <s v="Chair 45"/>
    <x v="1"/>
    <s v="Kolkata WH"/>
    <x v="0"/>
    <n v="279"/>
    <n v="72"/>
    <n v="207"/>
    <n v="21"/>
    <n v="29235"/>
    <n v="36407.67"/>
    <n v="6051645"/>
    <n v="0"/>
    <n v="12"/>
    <n v="4.5999999999999996"/>
    <d v="2026-02-22T00:00:00"/>
    <x v="0"/>
  </r>
  <r>
    <s v="P051"/>
    <s v="Shoes 51"/>
    <x v="3"/>
    <s v="Delhi WH"/>
    <x v="3"/>
    <n v="476"/>
    <n v="440"/>
    <n v="36"/>
    <n v="64"/>
    <n v="34389"/>
    <n v="43247.35"/>
    <n v="1238004"/>
    <n v="4"/>
    <n v="2"/>
    <n v="3.6"/>
    <d v="2026-01-20T00:00:00"/>
    <x v="1"/>
  </r>
  <r>
    <s v="P069"/>
    <s v="Chair 69"/>
    <x v="1"/>
    <s v="Bengaluru WH"/>
    <x v="0"/>
    <n v="101"/>
    <n v="3"/>
    <n v="98"/>
    <n v="22"/>
    <n v="44866"/>
    <n v="52105.72"/>
    <n v="4396868"/>
    <n v="3"/>
    <n v="3"/>
    <n v="4.9000000000000004"/>
    <d v="2026-06-22T00:00:00"/>
    <x v="0"/>
  </r>
  <r>
    <s v="P031"/>
    <s v="Table 31"/>
    <x v="1"/>
    <s v="Kolkata WH"/>
    <x v="1"/>
    <n v="270"/>
    <n v="172"/>
    <n v="98"/>
    <n v="57"/>
    <n v="18124"/>
    <n v="24642.11"/>
    <n v="1776152"/>
    <n v="4"/>
    <n v="7"/>
    <n v="4.5999999999999996"/>
    <d v="2026-06-04T00:00:00"/>
    <x v="0"/>
  </r>
  <r>
    <s v="P058"/>
    <s v="Mobile 58"/>
    <x v="0"/>
    <s v="Kolkata WH"/>
    <x v="1"/>
    <n v="247"/>
    <n v="111"/>
    <n v="136"/>
    <n v="49"/>
    <n v="16105"/>
    <n v="21790.02"/>
    <n v="2190280"/>
    <n v="2"/>
    <n v="11"/>
    <n v="4.4000000000000004"/>
    <d v="2026-04-24T00:00:00"/>
    <x v="0"/>
  </r>
  <r>
    <s v="P078"/>
    <s v="Chair 78"/>
    <x v="1"/>
    <s v="Bengaluru WH"/>
    <x v="3"/>
    <n v="281"/>
    <n v="219"/>
    <n v="62"/>
    <n v="55"/>
    <n v="32479"/>
    <n v="43984.639999999999"/>
    <n v="2013698"/>
    <n v="5"/>
    <n v="6"/>
    <n v="3.8"/>
    <d v="2026-06-19T00:00:00"/>
    <x v="0"/>
  </r>
  <r>
    <s v="P075"/>
    <s v="Mixer 75"/>
    <x v="2"/>
    <s v="Delhi WH"/>
    <x v="1"/>
    <n v="414"/>
    <n v="132"/>
    <n v="282"/>
    <n v="54"/>
    <n v="57315"/>
    <n v="72507.45"/>
    <n v="16162830"/>
    <n v="4"/>
    <n v="15"/>
    <n v="4.8"/>
    <d v="2026-05-10T00:00:00"/>
    <x v="0"/>
  </r>
  <r>
    <s v="P048"/>
    <s v="Shoes 48"/>
    <x v="3"/>
    <s v="Delhi WH"/>
    <x v="3"/>
    <n v="245"/>
    <n v="110"/>
    <n v="135"/>
    <n v="69"/>
    <n v="37329"/>
    <n v="49304.82"/>
    <n v="5039415"/>
    <n v="3"/>
    <n v="5"/>
    <n v="3.8"/>
    <d v="2026-06-12T00:00:00"/>
    <x v="0"/>
  </r>
  <r>
    <s v="P018"/>
    <s v="Laptop 18"/>
    <x v="0"/>
    <s v="Bengaluru WH"/>
    <x v="0"/>
    <n v="264"/>
    <n v="191"/>
    <n v="73"/>
    <n v="54"/>
    <n v="17140"/>
    <n v="19055.2"/>
    <n v="1251220"/>
    <n v="2"/>
    <n v="7"/>
    <n v="3.8"/>
    <d v="2026-02-02T00:00:00"/>
    <x v="0"/>
  </r>
  <r>
    <s v="P064"/>
    <s v="Table 64"/>
    <x v="1"/>
    <s v="Delhi WH"/>
    <x v="3"/>
    <n v="321"/>
    <n v="215"/>
    <n v="106"/>
    <n v="35"/>
    <n v="28756"/>
    <n v="33470.21"/>
    <n v="3048136"/>
    <n v="5"/>
    <n v="3"/>
    <n v="3.9"/>
    <d v="2026-02-05T00:00:00"/>
    <x v="0"/>
  </r>
  <r>
    <s v="P047"/>
    <s v="Table 47"/>
    <x v="1"/>
    <s v="Delhi WH"/>
    <x v="2"/>
    <n v="237"/>
    <n v="51"/>
    <n v="186"/>
    <n v="52"/>
    <n v="13032"/>
    <n v="16349.25"/>
    <n v="2423952"/>
    <n v="2"/>
    <n v="7"/>
    <n v="5"/>
    <d v="2026-01-20T00:00:00"/>
    <x v="0"/>
  </r>
  <r>
    <s v="P094"/>
    <s v="Table 94"/>
    <x v="1"/>
    <s v="Delhi WH"/>
    <x v="2"/>
    <n v="296"/>
    <n v="17"/>
    <n v="279"/>
    <n v="29"/>
    <n v="7200"/>
    <n v="9128.61"/>
    <n v="2008800"/>
    <n v="3"/>
    <n v="7"/>
    <n v="4.0999999999999996"/>
    <d v="2026-05-15T00:00:00"/>
    <x v="0"/>
  </r>
  <r>
    <s v="P086"/>
    <s v="Mobile 86"/>
    <x v="0"/>
    <s v="Delhi WH"/>
    <x v="1"/>
    <n v="332"/>
    <n v="316"/>
    <n v="16"/>
    <n v="75"/>
    <n v="52466"/>
    <n v="67999.990000000005"/>
    <n v="839456"/>
    <n v="0"/>
    <n v="8"/>
    <n v="3.9"/>
    <d v="2026-06-19T00:00:00"/>
    <x v="1"/>
  </r>
  <r>
    <s v="P100"/>
    <s v="Mobile 100"/>
    <x v="0"/>
    <s v="Bengaluru WH"/>
    <x v="0"/>
    <n v="280"/>
    <n v="216"/>
    <n v="64"/>
    <n v="42"/>
    <n v="38270"/>
    <n v="50541.08"/>
    <n v="2449280"/>
    <n v="1"/>
    <n v="14"/>
    <n v="3.8"/>
    <d v="2026-01-19T00:00:00"/>
    <x v="0"/>
  </r>
  <r>
    <s v="P047"/>
    <s v="Table 47"/>
    <x v="1"/>
    <s v="Delhi WH"/>
    <x v="3"/>
    <n v="186"/>
    <n v="2"/>
    <n v="184"/>
    <n v="30"/>
    <n v="47952"/>
    <n v="66351.539999999994"/>
    <n v="8823168"/>
    <n v="1"/>
    <n v="5"/>
    <n v="4"/>
    <d v="2026-03-04T00:00:00"/>
    <x v="0"/>
  </r>
  <r>
    <s v="P050"/>
    <s v="Chair 50"/>
    <x v="1"/>
    <s v="Mumbai WH"/>
    <x v="3"/>
    <n v="175"/>
    <n v="32"/>
    <n v="143"/>
    <n v="65"/>
    <n v="18150"/>
    <n v="21737.91"/>
    <n v="2595450"/>
    <n v="4"/>
    <n v="5"/>
    <n v="4.5999999999999996"/>
    <d v="2026-02-11T00:00:00"/>
    <x v="0"/>
  </r>
  <r>
    <s v="P049"/>
    <s v="Shoes 49"/>
    <x v="3"/>
    <s v="Mumbai WH"/>
    <x v="0"/>
    <n v="70"/>
    <n v="58"/>
    <n v="12"/>
    <n v="43"/>
    <n v="35889"/>
    <n v="40155.96"/>
    <n v="430668"/>
    <n v="2"/>
    <n v="2"/>
    <n v="4.2"/>
    <d v="2026-05-03T00:00:00"/>
    <x v="1"/>
  </r>
  <r>
    <s v="P039"/>
    <s v="Shoes 39"/>
    <x v="3"/>
    <s v="Mumbai WH"/>
    <x v="0"/>
    <n v="290"/>
    <n v="69"/>
    <n v="221"/>
    <n v="79"/>
    <n v="57721"/>
    <n v="71304.800000000003"/>
    <n v="12756341"/>
    <n v="3"/>
    <n v="7"/>
    <n v="3.5"/>
    <d v="2026-06-05T00:00:00"/>
    <x v="0"/>
  </r>
  <r>
    <s v="P067"/>
    <s v="Mixer 67"/>
    <x v="2"/>
    <s v="Kolkata WH"/>
    <x v="1"/>
    <n v="447"/>
    <n v="164"/>
    <n v="283"/>
    <n v="41"/>
    <n v="52666"/>
    <n v="60038.080000000002"/>
    <n v="14904478"/>
    <n v="5"/>
    <n v="2"/>
    <n v="4.9000000000000004"/>
    <d v="2026-03-03T00:00:00"/>
    <x v="0"/>
  </r>
  <r>
    <s v="P093"/>
    <s v="Shoes 93"/>
    <x v="3"/>
    <s v="Kolkata WH"/>
    <x v="3"/>
    <n v="141"/>
    <n v="135"/>
    <n v="6"/>
    <n v="46"/>
    <n v="48976"/>
    <n v="54011.53"/>
    <n v="293856"/>
    <n v="4"/>
    <n v="5"/>
    <n v="4.5999999999999996"/>
    <d v="2026-05-14T00:00:00"/>
    <x v="1"/>
  </r>
  <r>
    <s v="P017"/>
    <s v="Shoes 17"/>
    <x v="3"/>
    <s v="Mumbai WH"/>
    <x v="2"/>
    <n v="186"/>
    <n v="182"/>
    <n v="4"/>
    <n v="22"/>
    <n v="14986"/>
    <n v="19058.11"/>
    <n v="59944"/>
    <n v="0"/>
    <n v="11"/>
    <n v="4.4000000000000004"/>
    <d v="2026-06-01T00:00:00"/>
    <x v="1"/>
  </r>
  <r>
    <s v="P061"/>
    <s v="Mobile 61"/>
    <x v="0"/>
    <s v="Delhi WH"/>
    <x v="2"/>
    <n v="459"/>
    <n v="129"/>
    <n v="330"/>
    <n v="61"/>
    <n v="54889"/>
    <n v="60946.23"/>
    <n v="18113370"/>
    <n v="3"/>
    <n v="9"/>
    <n v="4.4000000000000004"/>
    <d v="2026-06-25T00:00:00"/>
    <x v="0"/>
  </r>
  <r>
    <s v="P033"/>
    <s v="Mixer 33"/>
    <x v="2"/>
    <s v="Mumbai WH"/>
    <x v="3"/>
    <n v="401"/>
    <n v="362"/>
    <n v="39"/>
    <n v="69"/>
    <n v="55024"/>
    <n v="72872.44"/>
    <n v="2145936"/>
    <n v="3"/>
    <n v="3"/>
    <n v="3.7"/>
    <d v="2026-06-26T00:00:00"/>
    <x v="1"/>
  </r>
  <r>
    <s v="P034"/>
    <s v="Chair 34"/>
    <x v="1"/>
    <s v="Bengaluru WH"/>
    <x v="2"/>
    <n v="136"/>
    <n v="111"/>
    <n v="25"/>
    <n v="62"/>
    <n v="46103"/>
    <n v="63916.78"/>
    <n v="1152575"/>
    <n v="2"/>
    <n v="11"/>
    <n v="3.6"/>
    <d v="2026-03-07T00:00:00"/>
    <x v="1"/>
  </r>
  <r>
    <s v="P042"/>
    <s v="Table 42"/>
    <x v="1"/>
    <s v="Bengaluru WH"/>
    <x v="1"/>
    <n v="114"/>
    <n v="60"/>
    <n v="54"/>
    <n v="68"/>
    <n v="46283"/>
    <n v="63505.33"/>
    <n v="2499282"/>
    <n v="4"/>
    <n v="4"/>
    <n v="4.5999999999999996"/>
    <d v="2026-03-19T00:00:00"/>
    <x v="1"/>
  </r>
  <r>
    <s v="P025"/>
    <s v="Shoes 25"/>
    <x v="3"/>
    <s v="Bengaluru WH"/>
    <x v="3"/>
    <n v="319"/>
    <n v="89"/>
    <n v="230"/>
    <n v="45"/>
    <n v="5041"/>
    <n v="6971.28"/>
    <n v="1159430"/>
    <n v="3"/>
    <n v="7"/>
    <n v="4.7"/>
    <d v="2026-03-27T00:00:00"/>
    <x v="0"/>
  </r>
  <r>
    <s v="P081"/>
    <s v="Laptop 81"/>
    <x v="0"/>
    <s v="Mumbai WH"/>
    <x v="3"/>
    <n v="209"/>
    <n v="163"/>
    <n v="46"/>
    <n v="67"/>
    <n v="18210"/>
    <n v="22557.1"/>
    <n v="837660"/>
    <n v="2"/>
    <n v="2"/>
    <n v="3.8"/>
    <d v="2026-04-04T00:00:00"/>
    <x v="1"/>
  </r>
  <r>
    <s v="P024"/>
    <s v="Laptop 24"/>
    <x v="0"/>
    <s v="Bengaluru WH"/>
    <x v="3"/>
    <n v="93"/>
    <n v="8"/>
    <n v="85"/>
    <n v="31"/>
    <n v="46078"/>
    <n v="51179.7"/>
    <n v="3916630"/>
    <n v="0"/>
    <n v="6"/>
    <n v="4.5999999999999996"/>
    <d v="2026-04-09T00:00:00"/>
    <x v="0"/>
  </r>
  <r>
    <s v="P082"/>
    <s v="Mobile 82"/>
    <x v="0"/>
    <s v="Bengaluru WH"/>
    <x v="2"/>
    <n v="193"/>
    <n v="46"/>
    <n v="147"/>
    <n v="66"/>
    <n v="50985"/>
    <n v="65754.710000000006"/>
    <n v="7494795"/>
    <n v="3"/>
    <n v="3"/>
    <n v="3.7"/>
    <d v="2026-02-12T00:00:00"/>
    <x v="0"/>
  </r>
  <r>
    <s v="P036"/>
    <s v="Shoes 36"/>
    <x v="3"/>
    <s v="Mumbai WH"/>
    <x v="0"/>
    <n v="166"/>
    <n v="22"/>
    <n v="144"/>
    <n v="53"/>
    <n v="35967"/>
    <n v="46065.25"/>
    <n v="5179248"/>
    <n v="4"/>
    <n v="11"/>
    <n v="4.3"/>
    <d v="2026-01-24T00:00:00"/>
    <x v="0"/>
  </r>
  <r>
    <s v="P050"/>
    <s v="Chair 50"/>
    <x v="1"/>
    <s v="Bengaluru WH"/>
    <x v="1"/>
    <n v="300"/>
    <n v="6"/>
    <n v="294"/>
    <n v="33"/>
    <n v="33915"/>
    <n v="42385.41"/>
    <n v="9971010"/>
    <n v="5"/>
    <n v="2"/>
    <n v="3.7"/>
    <d v="2026-06-06T00:00:00"/>
    <x v="0"/>
  </r>
  <r>
    <s v="P040"/>
    <s v="Chair 40"/>
    <x v="1"/>
    <s v="Delhi WH"/>
    <x v="3"/>
    <n v="480"/>
    <n v="269"/>
    <n v="211"/>
    <n v="56"/>
    <n v="38794"/>
    <n v="44689.21"/>
    <n v="8185534"/>
    <n v="5"/>
    <n v="2"/>
    <n v="5"/>
    <d v="2026-02-04T00:00:00"/>
    <x v="0"/>
  </r>
  <r>
    <s v="P069"/>
    <s v="Chair 69"/>
    <x v="1"/>
    <s v="Kolkata WH"/>
    <x v="1"/>
    <n v="190"/>
    <n v="71"/>
    <n v="119"/>
    <n v="24"/>
    <n v="45876"/>
    <n v="63388.11"/>
    <n v="5459244"/>
    <n v="3"/>
    <n v="15"/>
    <n v="4.2"/>
    <d v="2026-06-01T00:00:00"/>
    <x v="0"/>
  </r>
  <r>
    <s v="P083"/>
    <s v="Table 83"/>
    <x v="1"/>
    <s v="Delhi WH"/>
    <x v="1"/>
    <n v="138"/>
    <n v="84"/>
    <n v="54"/>
    <n v="70"/>
    <n v="37225"/>
    <n v="49064.81"/>
    <n v="2010150"/>
    <n v="4"/>
    <n v="3"/>
    <n v="4.2"/>
    <d v="2026-05-21T00:00:00"/>
    <x v="1"/>
  </r>
  <r>
    <s v="P039"/>
    <s v="Shoes 39"/>
    <x v="3"/>
    <s v="Bengaluru WH"/>
    <x v="0"/>
    <n v="201"/>
    <n v="14"/>
    <n v="187"/>
    <n v="31"/>
    <n v="30900"/>
    <n v="38655.57"/>
    <n v="5778300"/>
    <n v="2"/>
    <n v="4"/>
    <n v="4.3"/>
    <d v="2026-06-18T00:00:00"/>
    <x v="0"/>
  </r>
  <r>
    <s v="P035"/>
    <s v="Table 35"/>
    <x v="1"/>
    <s v="Kolkata WH"/>
    <x v="3"/>
    <n v="387"/>
    <n v="225"/>
    <n v="162"/>
    <n v="33"/>
    <n v="38733"/>
    <n v="47356.04"/>
    <n v="6274746"/>
    <n v="3"/>
    <n v="12"/>
    <n v="3.6"/>
    <d v="2026-06-02T00:00:00"/>
    <x v="0"/>
  </r>
  <r>
    <s v="P006"/>
    <s v="Mobile 6"/>
    <x v="0"/>
    <s v="Mumbai WH"/>
    <x v="2"/>
    <n v="265"/>
    <n v="234"/>
    <n v="31"/>
    <n v="55"/>
    <n v="18422"/>
    <n v="24499.94"/>
    <n v="571082"/>
    <n v="3"/>
    <n v="12"/>
    <n v="3.9"/>
    <d v="2026-06-18T00:00:00"/>
    <x v="1"/>
  </r>
  <r>
    <s v="P029"/>
    <s v="Mixer 29"/>
    <x v="2"/>
    <s v="Kolkata WH"/>
    <x v="3"/>
    <n v="259"/>
    <n v="130"/>
    <n v="129"/>
    <n v="77"/>
    <n v="29715"/>
    <n v="41225.29"/>
    <n v="3833235"/>
    <n v="2"/>
    <n v="12"/>
    <n v="3.9"/>
    <d v="2026-04-09T00:00:00"/>
    <x v="0"/>
  </r>
  <r>
    <s v="P019"/>
    <s v="Laptop 19"/>
    <x v="0"/>
    <s v="Delhi WH"/>
    <x v="1"/>
    <n v="476"/>
    <n v="33"/>
    <n v="443"/>
    <n v="79"/>
    <n v="21607"/>
    <n v="28804.54"/>
    <n v="9571901"/>
    <n v="2"/>
    <n v="2"/>
    <n v="4.0999999999999996"/>
    <d v="2026-06-18T00:00:00"/>
    <x v="0"/>
  </r>
  <r>
    <s v="P089"/>
    <s v="Laptop 89"/>
    <x v="0"/>
    <s v="Mumbai WH"/>
    <x v="0"/>
    <n v="370"/>
    <n v="328"/>
    <n v="42"/>
    <n v="24"/>
    <n v="29508"/>
    <n v="36864.51"/>
    <n v="1239336"/>
    <n v="2"/>
    <n v="3"/>
    <n v="4.2"/>
    <d v="2026-06-24T00:00:00"/>
    <x v="0"/>
  </r>
  <r>
    <s v="P041"/>
    <s v="Table 41"/>
    <x v="1"/>
    <s v="Kolkata WH"/>
    <x v="3"/>
    <n v="127"/>
    <n v="100"/>
    <n v="27"/>
    <n v="21"/>
    <n v="35905"/>
    <n v="45184.12"/>
    <n v="969435"/>
    <n v="2"/>
    <n v="12"/>
    <n v="4.8"/>
    <d v="2026-03-31T00:00:00"/>
    <x v="0"/>
  </r>
  <r>
    <s v="P084"/>
    <s v="Laptop 84"/>
    <x v="0"/>
    <s v="Bengaluru WH"/>
    <x v="0"/>
    <n v="229"/>
    <n v="79"/>
    <n v="150"/>
    <n v="48"/>
    <n v="24578"/>
    <n v="31661.759999999998"/>
    <n v="3686700"/>
    <n v="5"/>
    <n v="13"/>
    <n v="3.9"/>
    <d v="2026-06-12T00:00:00"/>
    <x v="0"/>
  </r>
  <r>
    <s v="P007"/>
    <s v="Laptop 7"/>
    <x v="0"/>
    <s v="Delhi WH"/>
    <x v="2"/>
    <n v="474"/>
    <n v="111"/>
    <n v="363"/>
    <n v="21"/>
    <n v="46055"/>
    <n v="51074.8"/>
    <n v="16717965"/>
    <n v="1"/>
    <n v="10"/>
    <n v="3.7"/>
    <d v="2026-01-09T00:00:00"/>
    <x v="0"/>
  </r>
  <r>
    <s v="P083"/>
    <s v="Table 83"/>
    <x v="1"/>
    <s v="Kolkata WH"/>
    <x v="3"/>
    <n v="109"/>
    <n v="79"/>
    <n v="30"/>
    <n v="24"/>
    <n v="51636"/>
    <n v="64236.18"/>
    <n v="1549080"/>
    <n v="3"/>
    <n v="12"/>
    <n v="3.8"/>
    <d v="2026-06-28T00:00:00"/>
    <x v="0"/>
  </r>
  <r>
    <s v="P096"/>
    <s v="Chair 96"/>
    <x v="1"/>
    <s v="Kolkata WH"/>
    <x v="3"/>
    <n v="498"/>
    <n v="13"/>
    <n v="485"/>
    <n v="66"/>
    <n v="46665"/>
    <n v="63615.199999999997"/>
    <n v="22632525"/>
    <n v="5"/>
    <n v="3"/>
    <n v="4.9000000000000004"/>
    <d v="2026-04-05T00:00:00"/>
    <x v="0"/>
  </r>
  <r>
    <s v="P078"/>
    <s v="Chair 78"/>
    <x v="1"/>
    <s v="Mumbai WH"/>
    <x v="0"/>
    <n v="495"/>
    <n v="413"/>
    <n v="82"/>
    <n v="72"/>
    <n v="28464"/>
    <n v="35833.120000000003"/>
    <n v="2334048"/>
    <n v="5"/>
    <n v="11"/>
    <n v="4.7"/>
    <d v="2026-01-23T00:00:00"/>
    <x v="0"/>
  </r>
  <r>
    <s v="P091"/>
    <s v="Laptop 91"/>
    <x v="0"/>
    <s v="Kolkata WH"/>
    <x v="1"/>
    <n v="307"/>
    <n v="144"/>
    <n v="163"/>
    <n v="20"/>
    <n v="28882"/>
    <n v="32036.98"/>
    <n v="4707766"/>
    <n v="1"/>
    <n v="15"/>
    <n v="4.2"/>
    <d v="2026-06-18T00:00:00"/>
    <x v="0"/>
  </r>
  <r>
    <s v="P075"/>
    <s v="Mixer 75"/>
    <x v="2"/>
    <s v="Kolkata WH"/>
    <x v="3"/>
    <n v="418"/>
    <n v="7"/>
    <n v="411"/>
    <n v="37"/>
    <n v="7971"/>
    <n v="10528.1"/>
    <n v="3276081"/>
    <n v="2"/>
    <n v="7"/>
    <n v="4.0999999999999996"/>
    <d v="2026-03-30T00:00:00"/>
    <x v="0"/>
  </r>
  <r>
    <s v="P003"/>
    <s v="Mixer 3"/>
    <x v="2"/>
    <s v="Delhi WH"/>
    <x v="3"/>
    <n v="286"/>
    <n v="161"/>
    <n v="125"/>
    <n v="46"/>
    <n v="30210"/>
    <n v="35947"/>
    <n v="3776250"/>
    <n v="4"/>
    <n v="4"/>
    <n v="4.4000000000000004"/>
    <d v="2026-03-15T00:00:00"/>
    <x v="0"/>
  </r>
  <r>
    <s v="P033"/>
    <s v="Mixer 33"/>
    <x v="2"/>
    <s v="Bengaluru WH"/>
    <x v="0"/>
    <n v="387"/>
    <n v="357"/>
    <n v="30"/>
    <n v="77"/>
    <n v="45944"/>
    <n v="57442.53"/>
    <n v="1378320"/>
    <n v="5"/>
    <n v="14"/>
    <n v="3.6"/>
    <d v="2026-04-09T00:00:00"/>
    <x v="1"/>
  </r>
  <r>
    <s v="P013"/>
    <s v="Chair 13"/>
    <x v="1"/>
    <s v="Delhi WH"/>
    <x v="3"/>
    <n v="162"/>
    <n v="112"/>
    <n v="50"/>
    <n v="36"/>
    <n v="56831"/>
    <n v="77608.460000000006"/>
    <n v="2841550"/>
    <n v="5"/>
    <n v="10"/>
    <n v="4.5"/>
    <d v="2026-03-29T00:00:00"/>
    <x v="0"/>
  </r>
  <r>
    <s v="P076"/>
    <s v="Mixer 76"/>
    <x v="2"/>
    <s v="Bengaluru WH"/>
    <x v="0"/>
    <n v="183"/>
    <n v="74"/>
    <n v="109"/>
    <n v="23"/>
    <n v="10167"/>
    <n v="13147.53"/>
    <n v="1108203"/>
    <n v="4"/>
    <n v="7"/>
    <n v="4.0999999999999996"/>
    <d v="2026-01-19T00:00:00"/>
    <x v="0"/>
  </r>
  <r>
    <s v="P051"/>
    <s v="Shoes 51"/>
    <x v="3"/>
    <s v="Bengaluru WH"/>
    <x v="1"/>
    <n v="105"/>
    <n v="79"/>
    <n v="26"/>
    <n v="56"/>
    <n v="37763"/>
    <n v="46775.78"/>
    <n v="981838"/>
    <n v="3"/>
    <n v="6"/>
    <n v="4.3"/>
    <d v="2026-04-14T00:00:00"/>
    <x v="1"/>
  </r>
  <r>
    <s v="P073"/>
    <s v="Mixer 73"/>
    <x v="2"/>
    <s v="Kolkata WH"/>
    <x v="2"/>
    <n v="325"/>
    <n v="83"/>
    <n v="242"/>
    <n v="56"/>
    <n v="49407"/>
    <n v="67296.86"/>
    <n v="11956494"/>
    <n v="0"/>
    <n v="11"/>
    <n v="3.6"/>
    <d v="2026-02-28T00:00:00"/>
    <x v="0"/>
  </r>
  <r>
    <s v="P042"/>
    <s v="Table 42"/>
    <x v="1"/>
    <s v="Kolkata WH"/>
    <x v="3"/>
    <n v="146"/>
    <n v="144"/>
    <n v="2"/>
    <n v="47"/>
    <n v="8804"/>
    <n v="11129.04"/>
    <n v="17608"/>
    <n v="2"/>
    <n v="8"/>
    <n v="3.7"/>
    <d v="2026-02-18T00:00:00"/>
    <x v="1"/>
  </r>
  <r>
    <s v="P098"/>
    <s v="Mobile 98"/>
    <x v="0"/>
    <s v="Mumbai WH"/>
    <x v="0"/>
    <n v="179"/>
    <n v="72"/>
    <n v="107"/>
    <n v="60"/>
    <n v="53130"/>
    <n v="66558.55"/>
    <n v="5684910"/>
    <n v="5"/>
    <n v="12"/>
    <n v="4.8"/>
    <d v="2026-01-30T00:00:00"/>
    <x v="0"/>
  </r>
  <r>
    <s v="P036"/>
    <s v="Shoes 36"/>
    <x v="3"/>
    <s v="Kolkata WH"/>
    <x v="1"/>
    <n v="273"/>
    <n v="243"/>
    <n v="30"/>
    <n v="38"/>
    <n v="15908"/>
    <n v="21680.42"/>
    <n v="477240"/>
    <n v="0"/>
    <n v="12"/>
    <n v="4.7"/>
    <d v="2026-03-16T00:00:00"/>
    <x v="1"/>
  </r>
  <r>
    <s v="P041"/>
    <s v="Table 41"/>
    <x v="1"/>
    <s v="Mumbai WH"/>
    <x v="2"/>
    <n v="478"/>
    <n v="358"/>
    <n v="120"/>
    <n v="37"/>
    <n v="32320"/>
    <n v="41585.19"/>
    <n v="3878400"/>
    <n v="2"/>
    <n v="13"/>
    <n v="3.9"/>
    <d v="2026-06-07T00:00:00"/>
    <x v="0"/>
  </r>
  <r>
    <s v="P084"/>
    <s v="Laptop 84"/>
    <x v="0"/>
    <s v="Delhi WH"/>
    <x v="0"/>
    <n v="449"/>
    <n v="286"/>
    <n v="163"/>
    <n v="21"/>
    <n v="810"/>
    <n v="1079.27"/>
    <n v="132030"/>
    <n v="1"/>
    <n v="4"/>
    <n v="4.8"/>
    <d v="2026-06-30T00:00:00"/>
    <x v="0"/>
  </r>
  <r>
    <s v="P014"/>
    <s v="Mixer 14"/>
    <x v="2"/>
    <s v="Mumbai WH"/>
    <x v="0"/>
    <n v="479"/>
    <n v="58"/>
    <n v="421"/>
    <n v="35"/>
    <n v="25651"/>
    <n v="35056.61"/>
    <n v="10799071"/>
    <n v="3"/>
    <n v="10"/>
    <n v="4.3"/>
    <d v="2026-05-17T00:00:00"/>
    <x v="0"/>
  </r>
  <r>
    <s v="P097"/>
    <s v="Mobile 97"/>
    <x v="0"/>
    <s v="Delhi WH"/>
    <x v="0"/>
    <n v="480"/>
    <n v="142"/>
    <n v="338"/>
    <n v="73"/>
    <n v="30134"/>
    <n v="36688.769999999997"/>
    <n v="10185292"/>
    <n v="5"/>
    <n v="13"/>
    <n v="5"/>
    <d v="2026-02-12T00:00:00"/>
    <x v="0"/>
  </r>
  <r>
    <s v="P061"/>
    <s v="Mobile 61"/>
    <x v="0"/>
    <s v="Bengaluru WH"/>
    <x v="2"/>
    <n v="58"/>
    <n v="7"/>
    <n v="51"/>
    <n v="66"/>
    <n v="27619"/>
    <n v="30947.18"/>
    <n v="1408569"/>
    <n v="3"/>
    <n v="6"/>
    <n v="3.9"/>
    <d v="2026-02-15T00:00:00"/>
    <x v="1"/>
  </r>
  <r>
    <s v="P008"/>
    <s v="Shoes 8"/>
    <x v="3"/>
    <s v="Delhi WH"/>
    <x v="2"/>
    <n v="330"/>
    <n v="277"/>
    <n v="53"/>
    <n v="71"/>
    <n v="22292"/>
    <n v="30706.58"/>
    <n v="1181476"/>
    <n v="1"/>
    <n v="8"/>
    <n v="4"/>
    <d v="2026-04-05T00:00:00"/>
    <x v="1"/>
  </r>
  <r>
    <s v="P059"/>
    <s v="Laptop 59"/>
    <x v="0"/>
    <s v="Bengaluru WH"/>
    <x v="3"/>
    <n v="453"/>
    <n v="257"/>
    <n v="196"/>
    <n v="50"/>
    <n v="48287"/>
    <n v="60642.99"/>
    <n v="9464252"/>
    <n v="3"/>
    <n v="9"/>
    <n v="4"/>
    <d v="2026-01-01T00:00:00"/>
    <x v="0"/>
  </r>
  <r>
    <s v="P029"/>
    <s v="Mixer 29"/>
    <x v="2"/>
    <s v="Mumbai WH"/>
    <x v="1"/>
    <n v="305"/>
    <n v="277"/>
    <n v="28"/>
    <n v="73"/>
    <n v="10442"/>
    <n v="14471.39"/>
    <n v="292376"/>
    <n v="0"/>
    <n v="10"/>
    <n v="4.5"/>
    <d v="2026-05-13T00:00:00"/>
    <x v="1"/>
  </r>
  <r>
    <s v="P019"/>
    <s v="Laptop 19"/>
    <x v="0"/>
    <s v="Mumbai WH"/>
    <x v="0"/>
    <n v="260"/>
    <n v="249"/>
    <n v="11"/>
    <n v="25"/>
    <n v="53260"/>
    <n v="58687.79"/>
    <n v="585860"/>
    <n v="4"/>
    <n v="14"/>
    <n v="4.5"/>
    <d v="2026-01-29T00:00:00"/>
    <x v="1"/>
  </r>
  <r>
    <s v="P045"/>
    <s v="Chair 45"/>
    <x v="1"/>
    <s v="Bengaluru WH"/>
    <x v="2"/>
    <n v="413"/>
    <n v="41"/>
    <n v="372"/>
    <n v="70"/>
    <n v="4222"/>
    <n v="5682.28"/>
    <n v="1570584"/>
    <n v="4"/>
    <n v="6"/>
    <n v="3.6"/>
    <d v="2026-04-28T00:00:00"/>
    <x v="0"/>
  </r>
  <r>
    <s v="P010"/>
    <s v="Shoes 10"/>
    <x v="3"/>
    <s v="Bengaluru WH"/>
    <x v="3"/>
    <n v="72"/>
    <n v="20"/>
    <n v="52"/>
    <n v="65"/>
    <n v="29461"/>
    <n v="39247.620000000003"/>
    <n v="1531972"/>
    <n v="1"/>
    <n v="3"/>
    <n v="4.5"/>
    <d v="2026-04-07T00:00:00"/>
    <x v="1"/>
  </r>
  <r>
    <s v="P060"/>
    <s v="Mixer 60"/>
    <x v="2"/>
    <s v="Bengaluru WH"/>
    <x v="3"/>
    <n v="413"/>
    <n v="19"/>
    <n v="394"/>
    <n v="41"/>
    <n v="53336"/>
    <n v="67653.429999999993"/>
    <n v="21014384"/>
    <n v="3"/>
    <n v="10"/>
    <n v="4.3"/>
    <d v="2026-04-06T00:00:00"/>
    <x v="0"/>
  </r>
  <r>
    <s v="P088"/>
    <s v="Mobile 88"/>
    <x v="0"/>
    <s v="Bengaluru WH"/>
    <x v="0"/>
    <n v="338"/>
    <n v="111"/>
    <n v="227"/>
    <n v="62"/>
    <n v="10815"/>
    <n v="13186.93"/>
    <n v="2455005"/>
    <n v="2"/>
    <n v="4"/>
    <n v="3.8"/>
    <d v="2026-03-13T00:00:00"/>
    <x v="0"/>
  </r>
  <r>
    <s v="P061"/>
    <s v="Mobile 61"/>
    <x v="0"/>
    <s v="Kolkata WH"/>
    <x v="3"/>
    <n v="270"/>
    <n v="267"/>
    <n v="3"/>
    <n v="48"/>
    <n v="16262"/>
    <n v="22428.55"/>
    <n v="48786"/>
    <n v="5"/>
    <n v="3"/>
    <n v="4.9000000000000004"/>
    <d v="2026-06-06T00:00:00"/>
    <x v="1"/>
  </r>
  <r>
    <s v="P023"/>
    <s v="Mobile 23"/>
    <x v="0"/>
    <s v="Delhi WH"/>
    <x v="2"/>
    <n v="147"/>
    <n v="127"/>
    <n v="20"/>
    <n v="60"/>
    <n v="8832"/>
    <n v="12125.42"/>
    <n v="176640"/>
    <n v="2"/>
    <n v="9"/>
    <n v="3.7"/>
    <d v="2026-02-25T00:00:00"/>
    <x v="1"/>
  </r>
  <r>
    <s v="P030"/>
    <s v="Mixer 30"/>
    <x v="2"/>
    <s v="Delhi WH"/>
    <x v="1"/>
    <n v="330"/>
    <n v="323"/>
    <n v="7"/>
    <n v="40"/>
    <n v="4194"/>
    <n v="5376.4"/>
    <n v="29358"/>
    <n v="0"/>
    <n v="9"/>
    <n v="4.4000000000000004"/>
    <d v="2026-01-05T00:00:00"/>
    <x v="1"/>
  </r>
  <r>
    <s v="P072"/>
    <s v="Laptop 72"/>
    <x v="0"/>
    <s v="Bengaluru WH"/>
    <x v="3"/>
    <n v="430"/>
    <n v="211"/>
    <n v="219"/>
    <n v="39"/>
    <n v="43632"/>
    <n v="59287.25"/>
    <n v="9555408"/>
    <n v="0"/>
    <n v="9"/>
    <n v="4.3"/>
    <d v="2026-03-10T00:00:00"/>
    <x v="0"/>
  </r>
  <r>
    <s v="P018"/>
    <s v="Laptop 18"/>
    <x v="0"/>
    <s v="Delhi WH"/>
    <x v="3"/>
    <n v="177"/>
    <n v="158"/>
    <n v="19"/>
    <n v="36"/>
    <n v="18349"/>
    <n v="20298.72"/>
    <n v="348631"/>
    <n v="2"/>
    <n v="13"/>
    <n v="3.5"/>
    <d v="2026-01-24T00:00:00"/>
    <x v="1"/>
  </r>
  <r>
    <s v="P064"/>
    <s v="Table 64"/>
    <x v="1"/>
    <s v="Mumbai WH"/>
    <x v="3"/>
    <n v="479"/>
    <n v="215"/>
    <n v="264"/>
    <n v="70"/>
    <n v="53583"/>
    <n v="64846.28"/>
    <n v="14145912"/>
    <n v="4"/>
    <n v="3"/>
    <n v="4.0999999999999996"/>
    <d v="2026-01-31T00:00:00"/>
    <x v="0"/>
  </r>
  <r>
    <s v="P093"/>
    <s v="Shoes 93"/>
    <x v="3"/>
    <s v="Kolkata WH"/>
    <x v="3"/>
    <n v="278"/>
    <n v="35"/>
    <n v="243"/>
    <n v="49"/>
    <n v="22956"/>
    <n v="25607.23"/>
    <n v="5578308"/>
    <n v="3"/>
    <n v="12"/>
    <n v="4.0999999999999996"/>
    <d v="2026-05-29T00:00:00"/>
    <x v="0"/>
  </r>
  <r>
    <s v="P034"/>
    <s v="Chair 34"/>
    <x v="1"/>
    <s v="Mumbai WH"/>
    <x v="2"/>
    <n v="50"/>
    <n v="7"/>
    <n v="43"/>
    <n v="62"/>
    <n v="47409"/>
    <n v="54625.98"/>
    <n v="2038587"/>
    <n v="0"/>
    <n v="15"/>
    <n v="4.7"/>
    <d v="2026-01-06T00:00:00"/>
    <x v="1"/>
  </r>
  <r>
    <s v="P092"/>
    <s v="Laptop 92"/>
    <x v="0"/>
    <s v="Kolkata WH"/>
    <x v="1"/>
    <n v="453"/>
    <n v="24"/>
    <n v="429"/>
    <n v="64"/>
    <n v="34438"/>
    <n v="44938.73"/>
    <n v="14773902"/>
    <n v="2"/>
    <n v="15"/>
    <n v="4.2"/>
    <d v="2026-06-02T00:00:00"/>
    <x v="0"/>
  </r>
  <r>
    <s v="P087"/>
    <s v="Table 87"/>
    <x v="1"/>
    <s v="Delhi WH"/>
    <x v="2"/>
    <n v="82"/>
    <n v="13"/>
    <n v="69"/>
    <n v="44"/>
    <n v="38802"/>
    <n v="54120.65"/>
    <n v="2677338"/>
    <n v="4"/>
    <n v="2"/>
    <n v="4.5"/>
    <d v="2026-05-22T00:00:00"/>
    <x v="0"/>
  </r>
  <r>
    <s v="P032"/>
    <s v="Chair 32"/>
    <x v="1"/>
    <s v="Mumbai WH"/>
    <x v="1"/>
    <n v="258"/>
    <n v="192"/>
    <n v="66"/>
    <n v="20"/>
    <n v="11644"/>
    <n v="14670.78"/>
    <n v="768504"/>
    <n v="4"/>
    <n v="12"/>
    <n v="4.0999999999999996"/>
    <d v="2026-02-11T00:00:00"/>
    <x v="0"/>
  </r>
  <r>
    <s v="P043"/>
    <s v="Mobile 43"/>
    <x v="0"/>
    <s v="Kolkata WH"/>
    <x v="3"/>
    <n v="335"/>
    <n v="311"/>
    <n v="24"/>
    <n v="63"/>
    <n v="44558"/>
    <n v="61051.73"/>
    <n v="1069392"/>
    <n v="4"/>
    <n v="11"/>
    <n v="3.5"/>
    <d v="2026-04-24T00:00:00"/>
    <x v="1"/>
  </r>
  <r>
    <s v="P083"/>
    <s v="Table 83"/>
    <x v="1"/>
    <s v="Kolkata WH"/>
    <x v="2"/>
    <n v="263"/>
    <n v="80"/>
    <n v="183"/>
    <n v="70"/>
    <n v="43911"/>
    <n v="54328.63"/>
    <n v="8035713"/>
    <n v="3"/>
    <n v="9"/>
    <n v="4.0999999999999996"/>
    <d v="2026-03-11T00:00:00"/>
    <x v="0"/>
  </r>
  <r>
    <s v="P044"/>
    <s v="Chair 44"/>
    <x v="1"/>
    <s v="Mumbai WH"/>
    <x v="1"/>
    <n v="358"/>
    <n v="171"/>
    <n v="187"/>
    <n v="31"/>
    <n v="43459"/>
    <n v="48204.15"/>
    <n v="8126833"/>
    <n v="1"/>
    <n v="10"/>
    <n v="3.5"/>
    <d v="2026-01-17T00:00:00"/>
    <x v="0"/>
  </r>
  <r>
    <s v="P077"/>
    <s v="Table 77"/>
    <x v="1"/>
    <s v="Bengaluru WH"/>
    <x v="3"/>
    <n v="310"/>
    <n v="9"/>
    <n v="301"/>
    <n v="76"/>
    <n v="56220"/>
    <n v="65519.59"/>
    <n v="16922220"/>
    <n v="3"/>
    <n v="11"/>
    <n v="4.8"/>
    <d v="2026-05-19T00:00:00"/>
    <x v="0"/>
  </r>
  <r>
    <s v="P023"/>
    <s v="Mobile 23"/>
    <x v="0"/>
    <s v="Kolkata WH"/>
    <x v="3"/>
    <n v="460"/>
    <n v="207"/>
    <n v="253"/>
    <n v="20"/>
    <n v="58523"/>
    <n v="79838.8"/>
    <n v="14806319"/>
    <n v="2"/>
    <n v="14"/>
    <n v="4.5999999999999996"/>
    <d v="2026-05-05T00:00:00"/>
    <x v="0"/>
  </r>
  <r>
    <s v="P060"/>
    <s v="Mixer 60"/>
    <x v="2"/>
    <s v="Mumbai WH"/>
    <x v="2"/>
    <n v="326"/>
    <n v="122"/>
    <n v="204"/>
    <n v="70"/>
    <n v="45985"/>
    <n v="51928.94"/>
    <n v="9380940"/>
    <n v="5"/>
    <n v="11"/>
    <n v="4.4000000000000004"/>
    <d v="2026-05-28T00:00:00"/>
    <x v="0"/>
  </r>
  <r>
    <s v="P014"/>
    <s v="Mixer 14"/>
    <x v="2"/>
    <s v="Kolkata WH"/>
    <x v="2"/>
    <n v="281"/>
    <n v="11"/>
    <n v="270"/>
    <n v="56"/>
    <n v="7152"/>
    <n v="8619.5"/>
    <n v="1931040"/>
    <n v="5"/>
    <n v="12"/>
    <n v="4.3"/>
    <d v="2026-03-23T00:00:00"/>
    <x v="0"/>
  </r>
  <r>
    <s v="P048"/>
    <s v="Shoes 48"/>
    <x v="3"/>
    <s v="Bengaluru WH"/>
    <x v="1"/>
    <n v="270"/>
    <n v="226"/>
    <n v="44"/>
    <n v="79"/>
    <n v="55916"/>
    <n v="61768.81"/>
    <n v="2460304"/>
    <n v="2"/>
    <n v="10"/>
    <n v="4.9000000000000004"/>
    <d v="2026-05-22T00:00:00"/>
    <x v="1"/>
  </r>
  <r>
    <s v="P060"/>
    <s v="Mixer 60"/>
    <x v="2"/>
    <s v="Kolkata WH"/>
    <x v="1"/>
    <n v="297"/>
    <n v="36"/>
    <n v="261"/>
    <n v="63"/>
    <n v="39189"/>
    <n v="46512.52"/>
    <n v="10228329"/>
    <n v="0"/>
    <n v="11"/>
    <n v="4.0999999999999996"/>
    <d v="2026-05-10T00:00:00"/>
    <x v="0"/>
  </r>
  <r>
    <s v="P073"/>
    <s v="Mixer 73"/>
    <x v="2"/>
    <s v="Bengaluru WH"/>
    <x v="1"/>
    <n v="494"/>
    <n v="441"/>
    <n v="53"/>
    <n v="26"/>
    <n v="48429"/>
    <n v="60015.040000000001"/>
    <n v="2566737"/>
    <n v="5"/>
    <n v="12"/>
    <n v="4.3"/>
    <d v="2026-06-05T00:00:00"/>
    <x v="0"/>
  </r>
  <r>
    <s v="P015"/>
    <s v="Table 15"/>
    <x v="1"/>
    <s v="Kolkata WH"/>
    <x v="0"/>
    <n v="140"/>
    <n v="70"/>
    <n v="70"/>
    <n v="29"/>
    <n v="19049"/>
    <n v="22312.89"/>
    <n v="1333430"/>
    <n v="5"/>
    <n v="5"/>
    <n v="3.7"/>
    <d v="2026-02-19T00:00:00"/>
    <x v="0"/>
  </r>
  <r>
    <s v="P001"/>
    <s v="Shoes 1"/>
    <x v="3"/>
    <s v="Bengaluru WH"/>
    <x v="3"/>
    <n v="149"/>
    <n v="43"/>
    <n v="106"/>
    <n v="22"/>
    <n v="42801"/>
    <n v="53414.559999999998"/>
    <n v="4536906"/>
    <n v="5"/>
    <n v="12"/>
    <n v="4.3"/>
    <d v="2026-04-12T00:00:00"/>
    <x v="0"/>
  </r>
  <r>
    <s v="P031"/>
    <s v="Table 31"/>
    <x v="1"/>
    <s v="Delhi WH"/>
    <x v="3"/>
    <n v="75"/>
    <n v="64"/>
    <n v="11"/>
    <n v="51"/>
    <n v="2989"/>
    <n v="4145.8900000000003"/>
    <n v="32879"/>
    <n v="1"/>
    <n v="5"/>
    <n v="4.7"/>
    <d v="2026-02-14T00:00:00"/>
    <x v="1"/>
  </r>
  <r>
    <s v="P095"/>
    <s v="Mobile 95"/>
    <x v="0"/>
    <s v="Bengaluru WH"/>
    <x v="1"/>
    <n v="371"/>
    <n v="186"/>
    <n v="185"/>
    <n v="61"/>
    <n v="13924"/>
    <n v="18438.5"/>
    <n v="2575940"/>
    <n v="2"/>
    <n v="3"/>
    <n v="4.2"/>
    <d v="2026-01-25T00:00:00"/>
    <x v="0"/>
  </r>
  <r>
    <s v="P015"/>
    <s v="Table 15"/>
    <x v="1"/>
    <s v="Kolkata WH"/>
    <x v="0"/>
    <n v="183"/>
    <n v="38"/>
    <n v="145"/>
    <n v="80"/>
    <n v="6907"/>
    <n v="9240.94"/>
    <n v="1001515"/>
    <n v="3"/>
    <n v="8"/>
    <n v="4.5999999999999996"/>
    <d v="2026-03-28T00:00:00"/>
    <x v="0"/>
  </r>
  <r>
    <s v="P025"/>
    <s v="Shoes 25"/>
    <x v="3"/>
    <s v="Bengaluru WH"/>
    <x v="3"/>
    <n v="316"/>
    <n v="275"/>
    <n v="41"/>
    <n v="48"/>
    <n v="34563"/>
    <n v="47814.35"/>
    <n v="1417083"/>
    <n v="3"/>
    <n v="15"/>
    <n v="4.3"/>
    <d v="2026-04-14T00:00:00"/>
    <x v="1"/>
  </r>
  <r>
    <s v="P089"/>
    <s v="Laptop 89"/>
    <x v="0"/>
    <s v="Mumbai WH"/>
    <x v="1"/>
    <n v="270"/>
    <n v="44"/>
    <n v="226"/>
    <n v="22"/>
    <n v="23962"/>
    <n v="31328.92"/>
    <n v="5415412"/>
    <n v="1"/>
    <n v="15"/>
    <n v="4.0999999999999996"/>
    <d v="2026-04-11T00:00:00"/>
    <x v="0"/>
  </r>
  <r>
    <s v="P076"/>
    <s v="Mixer 76"/>
    <x v="2"/>
    <s v="Kolkata WH"/>
    <x v="1"/>
    <n v="312"/>
    <n v="85"/>
    <n v="227"/>
    <n v="80"/>
    <n v="22841"/>
    <n v="31157.86"/>
    <n v="5184907"/>
    <n v="4"/>
    <n v="6"/>
    <n v="3.7"/>
    <d v="2026-04-23T00:00:00"/>
    <x v="0"/>
  </r>
  <r>
    <s v="P060"/>
    <s v="Mixer 60"/>
    <x v="2"/>
    <s v="Delhi WH"/>
    <x v="0"/>
    <n v="226"/>
    <n v="180"/>
    <n v="46"/>
    <n v="63"/>
    <n v="21004"/>
    <n v="28933.06"/>
    <n v="966184"/>
    <n v="5"/>
    <n v="9"/>
    <n v="4.7"/>
    <d v="2026-06-05T00:00:00"/>
    <x v="1"/>
  </r>
  <r>
    <s v="P003"/>
    <s v="Mixer 3"/>
    <x v="2"/>
    <s v="Mumbai WH"/>
    <x v="3"/>
    <n v="445"/>
    <n v="412"/>
    <n v="33"/>
    <n v="51"/>
    <n v="47787"/>
    <n v="66591.63"/>
    <n v="1576971"/>
    <n v="0"/>
    <n v="9"/>
    <n v="3.7"/>
    <d v="2026-05-26T00:00:00"/>
    <x v="1"/>
  </r>
  <r>
    <s v="P028"/>
    <s v="Shoes 28"/>
    <x v="3"/>
    <s v="Delhi WH"/>
    <x v="3"/>
    <n v="55"/>
    <n v="4"/>
    <n v="51"/>
    <n v="47"/>
    <n v="10032"/>
    <n v="12370.75"/>
    <n v="511632"/>
    <n v="1"/>
    <n v="4"/>
    <n v="4.5999999999999996"/>
    <d v="2026-03-04T00:00:00"/>
    <x v="0"/>
  </r>
  <r>
    <s v="P031"/>
    <s v="Table 31"/>
    <x v="1"/>
    <s v="Mumbai WH"/>
    <x v="1"/>
    <n v="128"/>
    <n v="57"/>
    <n v="71"/>
    <n v="29"/>
    <n v="21992"/>
    <n v="25896.81"/>
    <n v="1561432"/>
    <n v="2"/>
    <n v="14"/>
    <n v="3.9"/>
    <d v="2026-01-23T00:00:00"/>
    <x v="0"/>
  </r>
  <r>
    <s v="P044"/>
    <s v="Chair 44"/>
    <x v="1"/>
    <s v="Mumbai WH"/>
    <x v="3"/>
    <n v="433"/>
    <n v="272"/>
    <n v="161"/>
    <n v="30"/>
    <n v="55450"/>
    <n v="70084.240000000005"/>
    <n v="8927450"/>
    <n v="0"/>
    <n v="10"/>
    <n v="4.0999999999999996"/>
    <d v="2026-05-20T00:00:00"/>
    <x v="0"/>
  </r>
  <r>
    <s v="P046"/>
    <s v="Laptop 46"/>
    <x v="0"/>
    <s v="Bengaluru WH"/>
    <x v="3"/>
    <n v="167"/>
    <n v="36"/>
    <n v="131"/>
    <n v="23"/>
    <n v="17114"/>
    <n v="23834.99"/>
    <n v="2241934"/>
    <n v="4"/>
    <n v="15"/>
    <n v="3.9"/>
    <d v="2026-06-11T00:00:00"/>
    <x v="0"/>
  </r>
  <r>
    <s v="P063"/>
    <s v="Shoes 63"/>
    <x v="3"/>
    <s v="Kolkata WH"/>
    <x v="2"/>
    <n v="220"/>
    <n v="176"/>
    <n v="44"/>
    <n v="74"/>
    <n v="59194"/>
    <n v="73243.77"/>
    <n v="2604536"/>
    <n v="0"/>
    <n v="6"/>
    <n v="3.9"/>
    <d v="2026-04-19T00:00:00"/>
    <x v="1"/>
  </r>
  <r>
    <s v="P070"/>
    <s v="Laptop 70"/>
    <x v="0"/>
    <s v="Bengaluru WH"/>
    <x v="1"/>
    <n v="217"/>
    <n v="163"/>
    <n v="54"/>
    <n v="34"/>
    <n v="1129"/>
    <n v="1559.31"/>
    <n v="60966"/>
    <n v="5"/>
    <n v="15"/>
    <n v="4.8"/>
    <d v="2026-03-12T00:00:00"/>
    <x v="0"/>
  </r>
  <r>
    <s v="P054"/>
    <s v="Mixer 54"/>
    <x v="2"/>
    <s v="Delhi WH"/>
    <x v="1"/>
    <n v="397"/>
    <n v="52"/>
    <n v="345"/>
    <n v="74"/>
    <n v="35908"/>
    <n v="42664.5"/>
    <n v="12388260"/>
    <n v="3"/>
    <n v="3"/>
    <n v="3.9"/>
    <d v="2026-06-04T00:00:00"/>
    <x v="0"/>
  </r>
  <r>
    <s v="P021"/>
    <s v="Mobile 21"/>
    <x v="0"/>
    <s v="Delhi WH"/>
    <x v="0"/>
    <n v="83"/>
    <n v="15"/>
    <n v="68"/>
    <n v="63"/>
    <n v="35115"/>
    <n v="47878.76"/>
    <n v="2387820"/>
    <n v="1"/>
    <n v="4"/>
    <n v="4.7"/>
    <d v="2026-04-07T00:00:00"/>
    <x v="0"/>
  </r>
  <r>
    <s v="P099"/>
    <s v="Chair 99"/>
    <x v="1"/>
    <s v="Kolkata WH"/>
    <x v="0"/>
    <n v="169"/>
    <n v="10"/>
    <n v="159"/>
    <n v="51"/>
    <n v="26336"/>
    <n v="34870.050000000003"/>
    <n v="4187424"/>
    <n v="2"/>
    <n v="11"/>
    <n v="4.7"/>
    <d v="2026-01-25T00:00:00"/>
    <x v="0"/>
  </r>
  <r>
    <s v="P056"/>
    <s v="Shoes 56"/>
    <x v="3"/>
    <s v="Mumbai WH"/>
    <x v="0"/>
    <n v="391"/>
    <n v="162"/>
    <n v="229"/>
    <n v="23"/>
    <n v="9293"/>
    <n v="11181"/>
    <n v="2128097"/>
    <n v="3"/>
    <n v="5"/>
    <n v="4"/>
    <d v="2026-02-19T00:00:00"/>
    <x v="0"/>
  </r>
  <r>
    <s v="P001"/>
    <s v="Shoes 1"/>
    <x v="3"/>
    <s v="Bengaluru WH"/>
    <x v="2"/>
    <n v="301"/>
    <n v="145"/>
    <n v="156"/>
    <n v="69"/>
    <n v="46694"/>
    <n v="64700.97"/>
    <n v="7284264"/>
    <n v="0"/>
    <n v="5"/>
    <n v="3.8"/>
    <d v="2026-06-03T00:00:00"/>
    <x v="0"/>
  </r>
  <r>
    <s v="P028"/>
    <s v="Shoes 28"/>
    <x v="3"/>
    <s v="Delhi WH"/>
    <x v="2"/>
    <n v="409"/>
    <n v="405"/>
    <n v="4"/>
    <n v="63"/>
    <n v="31372"/>
    <n v="39625.550000000003"/>
    <n v="125488"/>
    <n v="5"/>
    <n v="11"/>
    <n v="4"/>
    <d v="2026-03-12T00:00:00"/>
    <x v="1"/>
  </r>
  <r>
    <s v="P058"/>
    <s v="Mobile 58"/>
    <x v="0"/>
    <s v="Kolkata WH"/>
    <x v="0"/>
    <n v="495"/>
    <n v="107"/>
    <n v="388"/>
    <n v="20"/>
    <n v="29703"/>
    <n v="36372.370000000003"/>
    <n v="11524764"/>
    <n v="2"/>
    <n v="3"/>
    <n v="4.5"/>
    <d v="2026-02-06T00:00:00"/>
    <x v="0"/>
  </r>
  <r>
    <s v="P059"/>
    <s v="Laptop 59"/>
    <x v="0"/>
    <s v="Mumbai WH"/>
    <x v="3"/>
    <n v="295"/>
    <n v="87"/>
    <n v="208"/>
    <n v="38"/>
    <n v="1207"/>
    <n v="1543.18"/>
    <n v="251056"/>
    <n v="1"/>
    <n v="5"/>
    <n v="4.7"/>
    <d v="2026-02-12T00:00:00"/>
    <x v="0"/>
  </r>
  <r>
    <s v="P041"/>
    <s v="Table 41"/>
    <x v="1"/>
    <s v="Bengaluru WH"/>
    <x v="1"/>
    <n v="406"/>
    <n v="322"/>
    <n v="84"/>
    <n v="79"/>
    <n v="33932"/>
    <n v="40815.599999999999"/>
    <n v="2850288"/>
    <n v="2"/>
    <n v="2"/>
    <n v="4.9000000000000004"/>
    <d v="2026-05-10T00:00:00"/>
    <x v="0"/>
  </r>
  <r>
    <s v="P014"/>
    <s v="Mixer 14"/>
    <x v="2"/>
    <s v="Bengaluru WH"/>
    <x v="0"/>
    <n v="399"/>
    <n v="396"/>
    <n v="3"/>
    <n v="52"/>
    <n v="22861"/>
    <n v="28582.9"/>
    <n v="68583"/>
    <n v="5"/>
    <n v="7"/>
    <n v="4.4000000000000004"/>
    <d v="2026-04-19T00:00:00"/>
    <x v="1"/>
  </r>
  <r>
    <s v="P086"/>
    <s v="Mobile 86"/>
    <x v="0"/>
    <s v="Bengaluru WH"/>
    <x v="2"/>
    <n v="494"/>
    <n v="309"/>
    <n v="185"/>
    <n v="39"/>
    <n v="1380"/>
    <n v="1840.01"/>
    <n v="255300"/>
    <n v="1"/>
    <n v="11"/>
    <n v="4.0999999999999996"/>
    <d v="2026-06-12T00:00:00"/>
    <x v="0"/>
  </r>
  <r>
    <s v="P047"/>
    <s v="Table 47"/>
    <x v="1"/>
    <s v="Mumbai WH"/>
    <x v="3"/>
    <n v="62"/>
    <n v="56"/>
    <n v="6"/>
    <n v="61"/>
    <n v="22765"/>
    <n v="29461.35"/>
    <n v="136590"/>
    <n v="4"/>
    <n v="3"/>
    <n v="3.6"/>
    <d v="2026-06-20T00:00:00"/>
    <x v="1"/>
  </r>
  <r>
    <s v="P034"/>
    <s v="Chair 34"/>
    <x v="1"/>
    <s v="Kolkata WH"/>
    <x v="3"/>
    <n v="391"/>
    <n v="333"/>
    <n v="58"/>
    <n v="35"/>
    <n v="35181"/>
    <n v="41368.949999999997"/>
    <n v="2040498"/>
    <n v="1"/>
    <n v="5"/>
    <n v="4.4000000000000004"/>
    <d v="2026-06-14T00:00:00"/>
    <x v="0"/>
  </r>
  <r>
    <s v="P063"/>
    <s v="Shoes 63"/>
    <x v="3"/>
    <s v="Kolkata WH"/>
    <x v="1"/>
    <n v="161"/>
    <n v="73"/>
    <n v="88"/>
    <n v="36"/>
    <n v="10639"/>
    <n v="14021.01"/>
    <n v="936232"/>
    <n v="0"/>
    <n v="7"/>
    <n v="3.6"/>
    <d v="2026-06-22T00:00:00"/>
    <x v="0"/>
  </r>
  <r>
    <s v="P077"/>
    <s v="Table 77"/>
    <x v="1"/>
    <s v="Bengaluru WH"/>
    <x v="3"/>
    <n v="495"/>
    <n v="312"/>
    <n v="183"/>
    <n v="52"/>
    <n v="53619"/>
    <n v="73417.119999999995"/>
    <n v="9812277"/>
    <n v="4"/>
    <n v="9"/>
    <n v="3.9"/>
    <d v="2026-01-24T00:00:00"/>
    <x v="0"/>
  </r>
  <r>
    <s v="P031"/>
    <s v="Table 31"/>
    <x v="1"/>
    <s v="Mumbai WH"/>
    <x v="2"/>
    <n v="444"/>
    <n v="271"/>
    <n v="173"/>
    <n v="29"/>
    <n v="48274"/>
    <n v="63061.75"/>
    <n v="8351402"/>
    <n v="4"/>
    <n v="4"/>
    <n v="4.8"/>
    <d v="2026-01-11T00:00:00"/>
    <x v="0"/>
  </r>
  <r>
    <s v="P052"/>
    <s v="Laptop 52"/>
    <x v="0"/>
    <s v="Mumbai WH"/>
    <x v="2"/>
    <n v="166"/>
    <n v="147"/>
    <n v="19"/>
    <n v="60"/>
    <n v="14140"/>
    <n v="18220.810000000001"/>
    <n v="268660"/>
    <n v="3"/>
    <n v="4"/>
    <n v="4.7"/>
    <d v="2026-06-01T00:00:00"/>
    <x v="1"/>
  </r>
  <r>
    <s v="P058"/>
    <s v="Mobile 58"/>
    <x v="0"/>
    <s v="Delhi WH"/>
    <x v="2"/>
    <n v="238"/>
    <n v="5"/>
    <n v="233"/>
    <n v="72"/>
    <n v="6690"/>
    <n v="9095.82"/>
    <n v="1558770"/>
    <n v="4"/>
    <n v="5"/>
    <n v="4.2"/>
    <d v="2026-05-23T00:00:00"/>
    <x v="0"/>
  </r>
  <r>
    <s v="P079"/>
    <s v="Mobile 79"/>
    <x v="0"/>
    <s v="Kolkata WH"/>
    <x v="3"/>
    <n v="352"/>
    <n v="336"/>
    <n v="16"/>
    <n v="50"/>
    <n v="43050"/>
    <n v="47667.68"/>
    <n v="688800"/>
    <n v="3"/>
    <n v="11"/>
    <n v="4.5"/>
    <d v="2026-01-06T00:00:00"/>
    <x v="1"/>
  </r>
  <r>
    <s v="P056"/>
    <s v="Shoes 56"/>
    <x v="3"/>
    <s v="Delhi WH"/>
    <x v="2"/>
    <n v="272"/>
    <n v="255"/>
    <n v="17"/>
    <n v="74"/>
    <n v="30699"/>
    <n v="42712.56"/>
    <n v="521883"/>
    <n v="2"/>
    <n v="13"/>
    <n v="4"/>
    <d v="2026-05-15T00:00:00"/>
    <x v="1"/>
  </r>
  <r>
    <s v="P066"/>
    <s v="Mobile 66"/>
    <x v="0"/>
    <s v="Mumbai WH"/>
    <x v="1"/>
    <n v="385"/>
    <n v="111"/>
    <n v="274"/>
    <n v="70"/>
    <n v="44108"/>
    <n v="52693.29"/>
    <n v="12085592"/>
    <n v="4"/>
    <n v="2"/>
    <n v="5"/>
    <d v="2026-05-16T00:00:00"/>
    <x v="0"/>
  </r>
  <r>
    <s v="P009"/>
    <s v="Laptop 9"/>
    <x v="0"/>
    <s v="Delhi WH"/>
    <x v="0"/>
    <n v="317"/>
    <n v="227"/>
    <n v="90"/>
    <n v="31"/>
    <n v="43743"/>
    <n v="61200.160000000003"/>
    <n v="3936870"/>
    <n v="2"/>
    <n v="11"/>
    <n v="4.7"/>
    <d v="2026-05-02T00:00:00"/>
    <x v="0"/>
  </r>
  <r>
    <s v="P043"/>
    <s v="Mobile 43"/>
    <x v="0"/>
    <s v="Bengaluru WH"/>
    <x v="3"/>
    <n v="111"/>
    <n v="4"/>
    <n v="107"/>
    <n v="55"/>
    <n v="38123"/>
    <n v="44775.13"/>
    <n v="4079161"/>
    <n v="0"/>
    <n v="6"/>
    <n v="3.7"/>
    <d v="2026-01-05T00:00:00"/>
    <x v="0"/>
  </r>
  <r>
    <s v="P094"/>
    <s v="Table 94"/>
    <x v="1"/>
    <s v="Mumbai WH"/>
    <x v="3"/>
    <n v="301"/>
    <n v="133"/>
    <n v="168"/>
    <n v="60"/>
    <n v="31013"/>
    <n v="38184.639999999999"/>
    <n v="5210184"/>
    <n v="2"/>
    <n v="4"/>
    <n v="4.5999999999999996"/>
    <d v="2026-03-12T00:00:00"/>
    <x v="0"/>
  </r>
  <r>
    <s v="P024"/>
    <s v="Laptop 24"/>
    <x v="0"/>
    <s v="Kolkata WH"/>
    <x v="0"/>
    <n v="440"/>
    <n v="74"/>
    <n v="366"/>
    <n v="63"/>
    <n v="33314"/>
    <n v="43731.78"/>
    <n v="12192924"/>
    <n v="5"/>
    <n v="12"/>
    <n v="4.5"/>
    <d v="2026-05-19T00:00:00"/>
    <x v="0"/>
  </r>
  <r>
    <s v="P068"/>
    <s v="Mobile 68"/>
    <x v="0"/>
    <s v="Mumbai WH"/>
    <x v="3"/>
    <n v="378"/>
    <n v="174"/>
    <n v="204"/>
    <n v="41"/>
    <n v="23465"/>
    <n v="31936.67"/>
    <n v="4786860"/>
    <n v="3"/>
    <n v="14"/>
    <n v="3.9"/>
    <d v="2026-03-29T00:00:00"/>
    <x v="0"/>
  </r>
  <r>
    <s v="P078"/>
    <s v="Chair 78"/>
    <x v="1"/>
    <s v="Bengaluru WH"/>
    <x v="0"/>
    <n v="451"/>
    <n v="266"/>
    <n v="185"/>
    <n v="45"/>
    <n v="37917"/>
    <n v="47289.17"/>
    <n v="7014645"/>
    <n v="3"/>
    <n v="14"/>
    <n v="4.4000000000000004"/>
    <d v="2026-02-10T00:00:00"/>
    <x v="0"/>
  </r>
  <r>
    <s v="P060"/>
    <s v="Mixer 60"/>
    <x v="2"/>
    <s v="Mumbai WH"/>
    <x v="1"/>
    <n v="397"/>
    <n v="325"/>
    <n v="72"/>
    <n v="71"/>
    <n v="23587"/>
    <n v="26451.39"/>
    <n v="1698264"/>
    <n v="4"/>
    <n v="4"/>
    <n v="4"/>
    <d v="2026-06-30T00:00:00"/>
    <x v="0"/>
  </r>
  <r>
    <s v="P019"/>
    <s v="Laptop 19"/>
    <x v="0"/>
    <s v="Bengaluru WH"/>
    <x v="3"/>
    <n v="466"/>
    <n v="400"/>
    <n v="66"/>
    <n v="70"/>
    <n v="5721"/>
    <n v="7142.31"/>
    <n v="377586"/>
    <n v="0"/>
    <n v="5"/>
    <n v="4.5999999999999996"/>
    <d v="2026-03-27T00:00:00"/>
    <x v="1"/>
  </r>
  <r>
    <s v="P017"/>
    <s v="Shoes 17"/>
    <x v="3"/>
    <s v="Mumbai WH"/>
    <x v="0"/>
    <n v="329"/>
    <n v="275"/>
    <n v="54"/>
    <n v="75"/>
    <n v="40012"/>
    <n v="44068.49"/>
    <n v="2160648"/>
    <n v="5"/>
    <n v="9"/>
    <n v="4"/>
    <d v="2026-05-16T00:00:00"/>
    <x v="1"/>
  </r>
  <r>
    <s v="P087"/>
    <s v="Table 87"/>
    <x v="1"/>
    <s v="Mumbai WH"/>
    <x v="1"/>
    <n v="56"/>
    <n v="0"/>
    <n v="56"/>
    <n v="56"/>
    <n v="46499"/>
    <n v="62671.75"/>
    <n v="2603944"/>
    <n v="0"/>
    <n v="12"/>
    <n v="4.9000000000000004"/>
    <d v="2026-02-12T00:00:00"/>
    <x v="0"/>
  </r>
  <r>
    <s v="P083"/>
    <s v="Table 83"/>
    <x v="1"/>
    <s v="Delhi WH"/>
    <x v="0"/>
    <n v="137"/>
    <n v="30"/>
    <n v="107"/>
    <n v="41"/>
    <n v="40100"/>
    <n v="47757.73"/>
    <n v="4290700"/>
    <n v="5"/>
    <n v="10"/>
    <n v="4.5999999999999996"/>
    <d v="2026-02-18T00:00:00"/>
    <x v="0"/>
  </r>
  <r>
    <s v="P081"/>
    <s v="Laptop 81"/>
    <x v="0"/>
    <s v="Mumbai WH"/>
    <x v="1"/>
    <n v="199"/>
    <n v="114"/>
    <n v="85"/>
    <n v="31"/>
    <n v="48551"/>
    <n v="59978.61"/>
    <n v="4126835"/>
    <n v="1"/>
    <n v="10"/>
    <n v="4.7"/>
    <d v="2026-03-31T00:00:00"/>
    <x v="0"/>
  </r>
  <r>
    <s v="P032"/>
    <s v="Chair 32"/>
    <x v="1"/>
    <s v="Kolkata WH"/>
    <x v="1"/>
    <n v="290"/>
    <n v="105"/>
    <n v="185"/>
    <n v="72"/>
    <n v="25271"/>
    <n v="28047.31"/>
    <n v="4675135"/>
    <n v="0"/>
    <n v="10"/>
    <n v="4.0999999999999996"/>
    <d v="2026-04-09T00:00:00"/>
    <x v="0"/>
  </r>
  <r>
    <s v="P054"/>
    <s v="Mixer 54"/>
    <x v="2"/>
    <s v="Delhi WH"/>
    <x v="3"/>
    <n v="422"/>
    <n v="335"/>
    <n v="87"/>
    <n v="66"/>
    <n v="43981"/>
    <n v="52638.01"/>
    <n v="3826347"/>
    <n v="4"/>
    <n v="6"/>
    <n v="3.6"/>
    <d v="2026-01-19T00:00:00"/>
    <x v="0"/>
  </r>
  <r>
    <s v="P001"/>
    <s v="Shoes 1"/>
    <x v="3"/>
    <s v="Mumbai WH"/>
    <x v="0"/>
    <n v="345"/>
    <n v="92"/>
    <n v="253"/>
    <n v="71"/>
    <n v="16381"/>
    <n v="22905.77"/>
    <n v="4144393"/>
    <n v="4"/>
    <n v="7"/>
    <n v="4.3"/>
    <d v="2026-04-23T00:00:00"/>
    <x v="0"/>
  </r>
  <r>
    <s v="P080"/>
    <s v="Shoes 80"/>
    <x v="3"/>
    <s v="Bengaluru WH"/>
    <x v="0"/>
    <n v="151"/>
    <n v="9"/>
    <n v="142"/>
    <n v="20"/>
    <n v="34520"/>
    <n v="42918.42"/>
    <n v="4901840"/>
    <n v="1"/>
    <n v="7"/>
    <n v="3.9"/>
    <d v="2026-01-11T00:00:00"/>
    <x v="0"/>
  </r>
  <r>
    <s v="P053"/>
    <s v="Laptop 53"/>
    <x v="0"/>
    <s v="Mumbai WH"/>
    <x v="0"/>
    <n v="158"/>
    <n v="139"/>
    <n v="19"/>
    <n v="22"/>
    <n v="53099"/>
    <n v="61443.54"/>
    <n v="1008881"/>
    <n v="3"/>
    <n v="13"/>
    <n v="4.3"/>
    <d v="2026-04-27T00:00:00"/>
    <x v="1"/>
  </r>
  <r>
    <s v="P092"/>
    <s v="Laptop 92"/>
    <x v="0"/>
    <s v="Bengaluru WH"/>
    <x v="0"/>
    <n v="406"/>
    <n v="289"/>
    <n v="117"/>
    <n v="54"/>
    <n v="27630"/>
    <n v="36392.699999999997"/>
    <n v="3232710"/>
    <n v="1"/>
    <n v="13"/>
    <n v="4.5"/>
    <d v="2026-03-08T00:00:00"/>
    <x v="0"/>
  </r>
  <r>
    <s v="P034"/>
    <s v="Chair 34"/>
    <x v="1"/>
    <s v="Delhi WH"/>
    <x v="3"/>
    <n v="258"/>
    <n v="192"/>
    <n v="66"/>
    <n v="67"/>
    <n v="40974"/>
    <n v="45354.46"/>
    <n v="2704284"/>
    <n v="2"/>
    <n v="2"/>
    <n v="3.9"/>
    <d v="2026-06-20T00:00:00"/>
    <x v="1"/>
  </r>
  <r>
    <s v="P070"/>
    <s v="Laptop 70"/>
    <x v="0"/>
    <s v="Mumbai WH"/>
    <x v="1"/>
    <n v="118"/>
    <n v="70"/>
    <n v="48"/>
    <n v="77"/>
    <n v="695"/>
    <n v="950.72"/>
    <n v="33360"/>
    <n v="0"/>
    <n v="4"/>
    <n v="4.8"/>
    <d v="2026-05-02T00:00:00"/>
    <x v="1"/>
  </r>
  <r>
    <s v="P012"/>
    <s v="Table 12"/>
    <x v="1"/>
    <s v="Bengaluru WH"/>
    <x v="3"/>
    <n v="341"/>
    <n v="242"/>
    <n v="99"/>
    <n v="58"/>
    <n v="38085"/>
    <n v="50761.81"/>
    <n v="3770415"/>
    <n v="2"/>
    <n v="11"/>
    <n v="4.4000000000000004"/>
    <d v="2026-01-13T00:00:00"/>
    <x v="0"/>
  </r>
  <r>
    <s v="P089"/>
    <s v="Laptop 89"/>
    <x v="0"/>
    <s v="Bengaluru WH"/>
    <x v="2"/>
    <n v="171"/>
    <n v="47"/>
    <n v="124"/>
    <n v="79"/>
    <n v="3912"/>
    <n v="5339.3"/>
    <n v="485088"/>
    <n v="2"/>
    <n v="2"/>
    <n v="3.7"/>
    <d v="2026-06-22T00:00:00"/>
    <x v="0"/>
  </r>
  <r>
    <s v="P025"/>
    <s v="Shoes 25"/>
    <x v="3"/>
    <s v="Bengaluru WH"/>
    <x v="0"/>
    <n v="337"/>
    <n v="142"/>
    <n v="195"/>
    <n v="79"/>
    <n v="38593"/>
    <n v="47585.18"/>
    <n v="7525635"/>
    <n v="5"/>
    <n v="8"/>
    <n v="3.6"/>
    <d v="2026-04-17T00:00:00"/>
    <x v="0"/>
  </r>
  <r>
    <s v="P051"/>
    <s v="Shoes 51"/>
    <x v="3"/>
    <s v="Kolkata WH"/>
    <x v="2"/>
    <n v="192"/>
    <n v="117"/>
    <n v="75"/>
    <n v="71"/>
    <n v="4859"/>
    <n v="5773.17"/>
    <n v="364425"/>
    <n v="0"/>
    <n v="3"/>
    <n v="4.5"/>
    <d v="2026-04-27T00:00:00"/>
    <x v="0"/>
  </r>
  <r>
    <s v="P075"/>
    <s v="Mixer 75"/>
    <x v="2"/>
    <s v="Mumbai WH"/>
    <x v="3"/>
    <n v="247"/>
    <n v="178"/>
    <n v="69"/>
    <n v="76"/>
    <n v="55728"/>
    <n v="75644.44"/>
    <n v="3845232"/>
    <n v="1"/>
    <n v="5"/>
    <n v="4.2"/>
    <d v="2026-04-07T00:00:00"/>
    <x v="1"/>
  </r>
  <r>
    <s v="P037"/>
    <s v="Mixer 37"/>
    <x v="2"/>
    <s v="Delhi WH"/>
    <x v="0"/>
    <n v="166"/>
    <n v="90"/>
    <n v="76"/>
    <n v="39"/>
    <n v="31299"/>
    <n v="35923.19"/>
    <n v="2378724"/>
    <n v="1"/>
    <n v="15"/>
    <n v="4"/>
    <d v="2026-02-20T00:00:00"/>
    <x v="0"/>
  </r>
  <r>
    <s v="P070"/>
    <s v="Laptop 70"/>
    <x v="0"/>
    <s v="Delhi WH"/>
    <x v="0"/>
    <n v="116"/>
    <n v="36"/>
    <n v="80"/>
    <n v="29"/>
    <n v="59612"/>
    <n v="75431.759999999995"/>
    <n v="4768960"/>
    <n v="4"/>
    <n v="4"/>
    <n v="4.3"/>
    <d v="2026-02-05T00:00:00"/>
    <x v="0"/>
  </r>
  <r>
    <s v="P079"/>
    <s v="Mobile 79"/>
    <x v="0"/>
    <s v="Delhi WH"/>
    <x v="1"/>
    <n v="303"/>
    <n v="208"/>
    <n v="95"/>
    <n v="80"/>
    <n v="32712"/>
    <n v="45080"/>
    <n v="3107640"/>
    <n v="5"/>
    <n v="9"/>
    <n v="5"/>
    <d v="2026-02-07T00:00:00"/>
    <x v="0"/>
  </r>
  <r>
    <s v="P004"/>
    <s v="Mixer 4"/>
    <x v="2"/>
    <s v="Mumbai WH"/>
    <x v="0"/>
    <n v="313"/>
    <n v="182"/>
    <n v="131"/>
    <n v="80"/>
    <n v="55671"/>
    <n v="64964.14"/>
    <n v="7292901"/>
    <n v="0"/>
    <n v="8"/>
    <n v="4.5"/>
    <d v="2026-06-16T00:00:00"/>
    <x v="0"/>
  </r>
  <r>
    <s v="P049"/>
    <s v="Shoes 49"/>
    <x v="3"/>
    <s v="Bengaluru WH"/>
    <x v="2"/>
    <n v="449"/>
    <n v="104"/>
    <n v="345"/>
    <n v="30"/>
    <n v="778"/>
    <n v="970.56"/>
    <n v="268410"/>
    <n v="1"/>
    <n v="6"/>
    <n v="5"/>
    <d v="2026-01-04T00:00:00"/>
    <x v="0"/>
  </r>
  <r>
    <s v="P054"/>
    <s v="Mixer 54"/>
    <x v="2"/>
    <s v="Bengaluru WH"/>
    <x v="2"/>
    <n v="202"/>
    <n v="84"/>
    <n v="118"/>
    <n v="29"/>
    <n v="15278"/>
    <n v="18210.25"/>
    <n v="1802804"/>
    <n v="1"/>
    <n v="7"/>
    <n v="3.5"/>
    <d v="2026-03-06T00:00:00"/>
    <x v="0"/>
  </r>
  <r>
    <s v="P091"/>
    <s v="Laptop 91"/>
    <x v="0"/>
    <s v="Mumbai WH"/>
    <x v="0"/>
    <n v="454"/>
    <n v="13"/>
    <n v="441"/>
    <n v="74"/>
    <n v="36790"/>
    <n v="43658.61"/>
    <n v="16224390"/>
    <n v="3"/>
    <n v="7"/>
    <n v="4.9000000000000004"/>
    <d v="2026-02-14T00:00:00"/>
    <x v="0"/>
  </r>
  <r>
    <s v="P025"/>
    <s v="Shoes 25"/>
    <x v="3"/>
    <s v="Kolkata WH"/>
    <x v="3"/>
    <n v="466"/>
    <n v="428"/>
    <n v="38"/>
    <n v="46"/>
    <n v="28208"/>
    <n v="32150.84"/>
    <n v="1071904"/>
    <n v="3"/>
    <n v="12"/>
    <n v="4.7"/>
    <d v="2026-06-14T00:00:00"/>
    <x v="1"/>
  </r>
  <r>
    <s v="P024"/>
    <s v="Laptop 24"/>
    <x v="0"/>
    <s v="Bengaluru WH"/>
    <x v="1"/>
    <n v="453"/>
    <n v="35"/>
    <n v="418"/>
    <n v="80"/>
    <n v="20216"/>
    <n v="26761.65"/>
    <n v="8450288"/>
    <n v="5"/>
    <n v="12"/>
    <n v="4.9000000000000004"/>
    <d v="2026-04-20T00:00:00"/>
    <x v="0"/>
  </r>
  <r>
    <s v="P017"/>
    <s v="Shoes 17"/>
    <x v="3"/>
    <s v="Delhi WH"/>
    <x v="1"/>
    <n v="198"/>
    <n v="141"/>
    <n v="57"/>
    <n v="60"/>
    <n v="55828"/>
    <n v="73259.460000000006"/>
    <n v="3182196"/>
    <n v="2"/>
    <n v="15"/>
    <n v="4.3"/>
    <d v="2026-04-20T00:00:00"/>
    <x v="1"/>
  </r>
  <r>
    <s v="P062"/>
    <s v="Mixer 62"/>
    <x v="2"/>
    <s v="Kolkata WH"/>
    <x v="2"/>
    <n v="205"/>
    <n v="65"/>
    <n v="140"/>
    <n v="47"/>
    <n v="35745"/>
    <n v="49702.77"/>
    <n v="5004300"/>
    <n v="4"/>
    <n v="13"/>
    <n v="4.9000000000000004"/>
    <d v="2026-02-12T00:00:00"/>
    <x v="0"/>
  </r>
  <r>
    <s v="P082"/>
    <s v="Mobile 82"/>
    <x v="0"/>
    <s v="Mumbai WH"/>
    <x v="0"/>
    <n v="288"/>
    <n v="230"/>
    <n v="58"/>
    <n v="78"/>
    <n v="34690"/>
    <n v="40661.199999999997"/>
    <n v="2012020"/>
    <n v="4"/>
    <n v="7"/>
    <n v="3.8"/>
    <d v="2026-01-07T00:00:00"/>
    <x v="1"/>
  </r>
  <r>
    <s v="P023"/>
    <s v="Mobile 23"/>
    <x v="0"/>
    <s v="Mumbai WH"/>
    <x v="0"/>
    <n v="439"/>
    <n v="191"/>
    <n v="248"/>
    <n v="71"/>
    <n v="43509"/>
    <n v="54957.55"/>
    <n v="10790232"/>
    <n v="1"/>
    <n v="8"/>
    <n v="4.0999999999999996"/>
    <d v="2026-05-19T00:00:00"/>
    <x v="0"/>
  </r>
  <r>
    <s v="P092"/>
    <s v="Laptop 92"/>
    <x v="0"/>
    <s v="Mumbai WH"/>
    <x v="2"/>
    <n v="457"/>
    <n v="450"/>
    <n v="7"/>
    <n v="78"/>
    <n v="53869"/>
    <n v="66251.509999999995"/>
    <n v="377083"/>
    <n v="2"/>
    <n v="13"/>
    <n v="4.5999999999999996"/>
    <d v="2026-01-21T00:00:00"/>
    <x v="1"/>
  </r>
  <r>
    <s v="P055"/>
    <s v="Chair 55"/>
    <x v="1"/>
    <s v="Bengaluru WH"/>
    <x v="1"/>
    <n v="338"/>
    <n v="241"/>
    <n v="97"/>
    <n v="75"/>
    <n v="14415"/>
    <n v="16040.72"/>
    <n v="1398255"/>
    <n v="5"/>
    <n v="4"/>
    <n v="4.5999999999999996"/>
    <d v="2026-05-06T00:00:00"/>
    <x v="0"/>
  </r>
  <r>
    <s v="P030"/>
    <s v="Mixer 30"/>
    <x v="2"/>
    <s v="Kolkata WH"/>
    <x v="2"/>
    <n v="268"/>
    <n v="184"/>
    <n v="84"/>
    <n v="29"/>
    <n v="5080"/>
    <n v="5869.33"/>
    <n v="426720"/>
    <n v="1"/>
    <n v="11"/>
    <n v="4.3"/>
    <d v="2026-05-16T00:00:00"/>
    <x v="0"/>
  </r>
  <r>
    <s v="P096"/>
    <s v="Chair 96"/>
    <x v="1"/>
    <s v="Kolkata WH"/>
    <x v="1"/>
    <n v="145"/>
    <n v="7"/>
    <n v="138"/>
    <n v="55"/>
    <n v="57845"/>
    <n v="65582.740000000005"/>
    <n v="7982610"/>
    <n v="1"/>
    <n v="15"/>
    <n v="4.8"/>
    <d v="2026-03-11T00:00:00"/>
    <x v="0"/>
  </r>
  <r>
    <s v="P041"/>
    <s v="Table 41"/>
    <x v="1"/>
    <s v="Bengaluru WH"/>
    <x v="2"/>
    <n v="451"/>
    <n v="376"/>
    <n v="75"/>
    <n v="41"/>
    <n v="23348"/>
    <n v="31100.61"/>
    <n v="1751100"/>
    <n v="4"/>
    <n v="6"/>
    <n v="3.5"/>
    <d v="2026-03-20T00:00:00"/>
    <x v="0"/>
  </r>
  <r>
    <s v="P015"/>
    <s v="Table 15"/>
    <x v="1"/>
    <s v="Delhi WH"/>
    <x v="1"/>
    <n v="345"/>
    <n v="335"/>
    <n v="10"/>
    <n v="67"/>
    <n v="51499"/>
    <n v="56888.59"/>
    <n v="514990"/>
    <n v="2"/>
    <n v="11"/>
    <n v="4.7"/>
    <d v="2026-01-10T00:00:00"/>
    <x v="1"/>
  </r>
  <r>
    <s v="P072"/>
    <s v="Laptop 72"/>
    <x v="0"/>
    <s v="Delhi WH"/>
    <x v="2"/>
    <n v="493"/>
    <n v="264"/>
    <n v="229"/>
    <n v="78"/>
    <n v="35766"/>
    <n v="48022.32"/>
    <n v="8190414"/>
    <n v="0"/>
    <n v="5"/>
    <n v="3.5"/>
    <d v="2026-03-07T00:00:00"/>
    <x v="0"/>
  </r>
  <r>
    <s v="P015"/>
    <s v="Table 15"/>
    <x v="1"/>
    <s v="Mumbai WH"/>
    <x v="2"/>
    <n v="315"/>
    <n v="154"/>
    <n v="161"/>
    <n v="78"/>
    <n v="4118"/>
    <n v="5307.76"/>
    <n v="662998"/>
    <n v="0"/>
    <n v="14"/>
    <n v="4.8"/>
    <d v="2026-03-06T00:00:00"/>
    <x v="0"/>
  </r>
  <r>
    <s v="P054"/>
    <s v="Mixer 54"/>
    <x v="2"/>
    <s v="Delhi WH"/>
    <x v="2"/>
    <n v="189"/>
    <n v="38"/>
    <n v="151"/>
    <n v="61"/>
    <n v="31838"/>
    <n v="42959.31"/>
    <n v="4807538"/>
    <n v="0"/>
    <n v="11"/>
    <n v="4.2"/>
    <d v="2026-03-06T00:00:00"/>
    <x v="0"/>
  </r>
  <r>
    <s v="P009"/>
    <s v="Laptop 9"/>
    <x v="0"/>
    <s v="Bengaluru WH"/>
    <x v="0"/>
    <n v="105"/>
    <n v="100"/>
    <n v="5"/>
    <n v="77"/>
    <n v="30473"/>
    <n v="38682.99"/>
    <n v="152365"/>
    <n v="3"/>
    <n v="2"/>
    <n v="3.8"/>
    <d v="2026-02-08T00:00:00"/>
    <x v="1"/>
  </r>
  <r>
    <s v="P081"/>
    <s v="Laptop 81"/>
    <x v="0"/>
    <s v="Bengaluru WH"/>
    <x v="2"/>
    <n v="193"/>
    <n v="178"/>
    <n v="15"/>
    <n v="46"/>
    <n v="41658"/>
    <n v="54566.23"/>
    <n v="624870"/>
    <n v="4"/>
    <n v="13"/>
    <n v="4.8"/>
    <d v="2026-03-28T00:00:00"/>
    <x v="1"/>
  </r>
  <r>
    <s v="P076"/>
    <s v="Mixer 76"/>
    <x v="2"/>
    <s v="Kolkata WH"/>
    <x v="1"/>
    <n v="162"/>
    <n v="93"/>
    <n v="69"/>
    <n v="69"/>
    <n v="14440"/>
    <n v="15966.97"/>
    <n v="996360"/>
    <n v="3"/>
    <n v="11"/>
    <n v="4.4000000000000004"/>
    <d v="2026-04-23T00:00:00"/>
    <x v="0"/>
  </r>
  <r>
    <s v="P042"/>
    <s v="Table 42"/>
    <x v="1"/>
    <s v="Bengaluru WH"/>
    <x v="2"/>
    <n v="415"/>
    <n v="318"/>
    <n v="97"/>
    <n v="29"/>
    <n v="45595"/>
    <n v="58925.11"/>
    <n v="4422715"/>
    <n v="3"/>
    <n v="7"/>
    <n v="4"/>
    <d v="2026-04-21T00:00:00"/>
    <x v="0"/>
  </r>
  <r>
    <s v="P004"/>
    <s v="Mixer 4"/>
    <x v="2"/>
    <s v="Bengaluru WH"/>
    <x v="1"/>
    <n v="107"/>
    <n v="64"/>
    <n v="43"/>
    <n v="50"/>
    <n v="3026"/>
    <n v="3471.71"/>
    <n v="130118"/>
    <n v="1"/>
    <n v="10"/>
    <n v="3.9"/>
    <d v="2026-01-02T00:00:00"/>
    <x v="1"/>
  </r>
  <r>
    <s v="P001"/>
    <s v="Shoes 1"/>
    <x v="3"/>
    <s v="Kolkata WH"/>
    <x v="2"/>
    <n v="190"/>
    <n v="58"/>
    <n v="132"/>
    <n v="29"/>
    <n v="6176"/>
    <n v="7949.75"/>
    <n v="815232"/>
    <n v="1"/>
    <n v="3"/>
    <n v="4.4000000000000004"/>
    <d v="2026-02-01T00:00:00"/>
    <x v="0"/>
  </r>
  <r>
    <s v="P029"/>
    <s v="Mixer 29"/>
    <x v="2"/>
    <s v="Delhi WH"/>
    <x v="3"/>
    <n v="359"/>
    <n v="15"/>
    <n v="344"/>
    <n v="67"/>
    <n v="55963"/>
    <n v="63864.28"/>
    <n v="19251272"/>
    <n v="3"/>
    <n v="14"/>
    <n v="4.3"/>
    <d v="2026-05-04T00:00:00"/>
    <x v="0"/>
  </r>
  <r>
    <s v="P089"/>
    <s v="Laptop 89"/>
    <x v="0"/>
    <s v="Mumbai WH"/>
    <x v="2"/>
    <n v="171"/>
    <n v="144"/>
    <n v="27"/>
    <n v="41"/>
    <n v="50018"/>
    <n v="64155.74"/>
    <n v="1350486"/>
    <n v="3"/>
    <n v="11"/>
    <n v="4.7"/>
    <d v="2026-02-20T00:00:00"/>
    <x v="1"/>
  </r>
  <r>
    <s v="P019"/>
    <s v="Laptop 19"/>
    <x v="0"/>
    <s v="Bengaluru WH"/>
    <x v="2"/>
    <n v="76"/>
    <n v="71"/>
    <n v="5"/>
    <n v="45"/>
    <n v="45915"/>
    <n v="63997.79"/>
    <n v="229575"/>
    <n v="5"/>
    <n v="10"/>
    <n v="3.9"/>
    <d v="2026-03-13T00:00:00"/>
    <x v="1"/>
  </r>
  <r>
    <s v="P024"/>
    <s v="Laptop 24"/>
    <x v="0"/>
    <s v="Kolkata WH"/>
    <x v="3"/>
    <n v="420"/>
    <n v="313"/>
    <n v="107"/>
    <n v="64"/>
    <n v="24450"/>
    <n v="32516.18"/>
    <n v="2616150"/>
    <n v="0"/>
    <n v="10"/>
    <n v="4.4000000000000004"/>
    <d v="2026-04-07T00:00:00"/>
    <x v="0"/>
  </r>
  <r>
    <s v="P089"/>
    <s v="Laptop 89"/>
    <x v="0"/>
    <s v="Kolkata WH"/>
    <x v="1"/>
    <n v="60"/>
    <n v="41"/>
    <n v="19"/>
    <n v="42"/>
    <n v="35669"/>
    <n v="41954.64"/>
    <n v="677711"/>
    <n v="3"/>
    <n v="12"/>
    <n v="4.5"/>
    <d v="2026-03-03T00:00:00"/>
    <x v="1"/>
  </r>
  <r>
    <s v="P009"/>
    <s v="Laptop 9"/>
    <x v="0"/>
    <s v="Bengaluru WH"/>
    <x v="2"/>
    <n v="143"/>
    <n v="56"/>
    <n v="87"/>
    <n v="54"/>
    <n v="13240"/>
    <n v="15815.84"/>
    <n v="1151880"/>
    <n v="5"/>
    <n v="12"/>
    <n v="4.5999999999999996"/>
    <d v="2026-06-29T00:00:00"/>
    <x v="0"/>
  </r>
  <r>
    <s v="P026"/>
    <s v="Table 26"/>
    <x v="1"/>
    <s v="Delhi WH"/>
    <x v="3"/>
    <n v="335"/>
    <n v="66"/>
    <n v="269"/>
    <n v="41"/>
    <n v="5252"/>
    <n v="6742.73"/>
    <n v="1412788"/>
    <n v="2"/>
    <n v="10"/>
    <n v="4.5999999999999996"/>
    <d v="2026-01-29T00:00:00"/>
    <x v="0"/>
  </r>
  <r>
    <s v="P050"/>
    <s v="Chair 50"/>
    <x v="1"/>
    <s v="Bengaluru WH"/>
    <x v="0"/>
    <n v="240"/>
    <n v="223"/>
    <n v="17"/>
    <n v="49"/>
    <n v="55668"/>
    <n v="72263.3"/>
    <n v="946356"/>
    <n v="2"/>
    <n v="15"/>
    <n v="4.7"/>
    <d v="2026-06-10T00:00:00"/>
    <x v="1"/>
  </r>
  <r>
    <s v="P084"/>
    <s v="Laptop 84"/>
    <x v="0"/>
    <s v="Delhi WH"/>
    <x v="3"/>
    <n v="493"/>
    <n v="74"/>
    <n v="419"/>
    <n v="26"/>
    <n v="9834"/>
    <n v="13257.18"/>
    <n v="4120446"/>
    <n v="5"/>
    <n v="2"/>
    <n v="3.7"/>
    <d v="2026-06-24T00:00:00"/>
    <x v="0"/>
  </r>
  <r>
    <s v="P038"/>
    <s v="Mobile 38"/>
    <x v="0"/>
    <s v="Kolkata WH"/>
    <x v="3"/>
    <n v="269"/>
    <n v="143"/>
    <n v="126"/>
    <n v="71"/>
    <n v="59512"/>
    <n v="75884.740000000005"/>
    <n v="7498512"/>
    <n v="1"/>
    <n v="13"/>
    <n v="3.6"/>
    <d v="2026-05-21T00:00:00"/>
    <x v="0"/>
  </r>
  <r>
    <s v="P057"/>
    <s v="Shoes 57"/>
    <x v="3"/>
    <s v="Bengaluru WH"/>
    <x v="2"/>
    <n v="286"/>
    <n v="139"/>
    <n v="147"/>
    <n v="27"/>
    <n v="20289"/>
    <n v="25167.06"/>
    <n v="2982483"/>
    <n v="5"/>
    <n v="8"/>
    <n v="3.8"/>
    <d v="2026-06-01T00:00:00"/>
    <x v="0"/>
  </r>
  <r>
    <s v="P012"/>
    <s v="Table 12"/>
    <x v="1"/>
    <s v="Mumbai WH"/>
    <x v="0"/>
    <n v="223"/>
    <n v="197"/>
    <n v="26"/>
    <n v="67"/>
    <n v="31166"/>
    <n v="39622.76"/>
    <n v="810316"/>
    <n v="2"/>
    <n v="12"/>
    <n v="3.6"/>
    <d v="2026-01-25T00:00:00"/>
    <x v="1"/>
  </r>
  <r>
    <s v="P028"/>
    <s v="Shoes 28"/>
    <x v="3"/>
    <s v="Kolkata WH"/>
    <x v="0"/>
    <n v="312"/>
    <n v="26"/>
    <n v="286"/>
    <n v="56"/>
    <n v="49782"/>
    <n v="69559.77"/>
    <n v="14237652"/>
    <n v="3"/>
    <n v="3"/>
    <n v="4"/>
    <d v="2026-03-22T00:00:00"/>
    <x v="0"/>
  </r>
  <r>
    <s v="P028"/>
    <s v="Shoes 28"/>
    <x v="3"/>
    <s v="Mumbai WH"/>
    <x v="3"/>
    <n v="373"/>
    <n v="8"/>
    <n v="365"/>
    <n v="52"/>
    <n v="41953"/>
    <n v="49630.02"/>
    <n v="15312845"/>
    <n v="2"/>
    <n v="8"/>
    <n v="4.2"/>
    <d v="2026-03-17T00:00:00"/>
    <x v="0"/>
  </r>
  <r>
    <s v="P083"/>
    <s v="Table 83"/>
    <x v="1"/>
    <s v="Bengaluru WH"/>
    <x v="3"/>
    <n v="50"/>
    <n v="37"/>
    <n v="13"/>
    <n v="21"/>
    <n v="14117"/>
    <n v="18907.32"/>
    <n v="183521"/>
    <n v="2"/>
    <n v="10"/>
    <n v="3.9"/>
    <d v="2026-01-10T00:00:00"/>
    <x v="1"/>
  </r>
  <r>
    <s v="P066"/>
    <s v="Mobile 66"/>
    <x v="0"/>
    <s v="Mumbai WH"/>
    <x v="3"/>
    <n v="499"/>
    <n v="477"/>
    <n v="22"/>
    <n v="42"/>
    <n v="59454"/>
    <n v="82383.89"/>
    <n v="1307988"/>
    <n v="3"/>
    <n v="7"/>
    <n v="3.8"/>
    <d v="2026-04-13T00:00:00"/>
    <x v="1"/>
  </r>
  <r>
    <s v="P086"/>
    <s v="Mobile 86"/>
    <x v="0"/>
    <s v="Mumbai WH"/>
    <x v="1"/>
    <n v="486"/>
    <n v="144"/>
    <n v="342"/>
    <n v="44"/>
    <n v="42928"/>
    <n v="47718.09"/>
    <n v="14681376"/>
    <n v="4"/>
    <n v="2"/>
    <n v="3.9"/>
    <d v="2026-04-08T00:00:00"/>
    <x v="0"/>
  </r>
  <r>
    <s v="P055"/>
    <s v="Chair 55"/>
    <x v="1"/>
    <s v="Delhi WH"/>
    <x v="3"/>
    <n v="54"/>
    <n v="29"/>
    <n v="25"/>
    <n v="60"/>
    <n v="33862"/>
    <n v="45309.33"/>
    <n v="846550"/>
    <n v="3"/>
    <n v="9"/>
    <n v="4.0999999999999996"/>
    <d v="2026-06-24T00:00:00"/>
    <x v="1"/>
  </r>
  <r>
    <s v="P078"/>
    <s v="Chair 78"/>
    <x v="1"/>
    <s v="Delhi WH"/>
    <x v="1"/>
    <n v="266"/>
    <n v="119"/>
    <n v="147"/>
    <n v="55"/>
    <n v="59742"/>
    <n v="81770.92"/>
    <n v="8782074"/>
    <n v="2"/>
    <n v="4"/>
    <n v="4.5"/>
    <d v="2026-01-08T00:00:00"/>
    <x v="0"/>
  </r>
  <r>
    <s v="P058"/>
    <s v="Mobile 58"/>
    <x v="0"/>
    <s v="Mumbai WH"/>
    <x v="0"/>
    <n v="354"/>
    <n v="277"/>
    <n v="77"/>
    <n v="37"/>
    <n v="37845"/>
    <n v="42163.76"/>
    <n v="2914065"/>
    <n v="3"/>
    <n v="10"/>
    <n v="3.7"/>
    <d v="2026-03-02T00:00:00"/>
    <x v="0"/>
  </r>
  <r>
    <s v="P043"/>
    <s v="Mobile 43"/>
    <x v="0"/>
    <s v="Bengaluru WH"/>
    <x v="3"/>
    <n v="255"/>
    <n v="93"/>
    <n v="162"/>
    <n v="55"/>
    <n v="22980"/>
    <n v="31002.14"/>
    <n v="3722760"/>
    <n v="3"/>
    <n v="2"/>
    <n v="4.3"/>
    <d v="2026-05-09T00:00:00"/>
    <x v="0"/>
  </r>
  <r>
    <s v="P062"/>
    <s v="Mixer 62"/>
    <x v="2"/>
    <s v="Kolkata WH"/>
    <x v="3"/>
    <n v="331"/>
    <n v="176"/>
    <n v="155"/>
    <n v="62"/>
    <n v="57399"/>
    <n v="77553.52"/>
    <n v="8896845"/>
    <n v="4"/>
    <n v="14"/>
    <n v="4.8"/>
    <d v="2026-06-17T00:00:00"/>
    <x v="0"/>
  </r>
  <r>
    <s v="P094"/>
    <s v="Table 94"/>
    <x v="1"/>
    <s v="Mumbai WH"/>
    <x v="2"/>
    <n v="353"/>
    <n v="122"/>
    <n v="231"/>
    <n v="67"/>
    <n v="17397"/>
    <n v="19396.34"/>
    <n v="4018707"/>
    <n v="5"/>
    <n v="3"/>
    <n v="4.5999999999999996"/>
    <d v="2026-01-04T00:00:00"/>
    <x v="0"/>
  </r>
  <r>
    <s v="P080"/>
    <s v="Shoes 80"/>
    <x v="3"/>
    <s v="Mumbai WH"/>
    <x v="3"/>
    <n v="278"/>
    <n v="123"/>
    <n v="155"/>
    <n v="71"/>
    <n v="41799"/>
    <n v="46420.82"/>
    <n v="6478845"/>
    <n v="1"/>
    <n v="15"/>
    <n v="5"/>
    <d v="2026-02-19T00:00:00"/>
    <x v="0"/>
  </r>
  <r>
    <s v="P013"/>
    <s v="Chair 13"/>
    <x v="1"/>
    <s v="Delhi WH"/>
    <x v="3"/>
    <n v="309"/>
    <n v="24"/>
    <n v="285"/>
    <n v="40"/>
    <n v="34443"/>
    <n v="45310.92"/>
    <n v="9816255"/>
    <n v="1"/>
    <n v="15"/>
    <n v="4.8"/>
    <d v="2026-06-18T00:00:00"/>
    <x v="0"/>
  </r>
  <r>
    <s v="P037"/>
    <s v="Mixer 37"/>
    <x v="2"/>
    <s v="Kolkata WH"/>
    <x v="0"/>
    <n v="358"/>
    <n v="7"/>
    <n v="351"/>
    <n v="66"/>
    <n v="41753"/>
    <n v="55620.75"/>
    <n v="14655303"/>
    <n v="2"/>
    <n v="2"/>
    <n v="4.5999999999999996"/>
    <d v="2026-02-16T00:00:00"/>
    <x v="0"/>
  </r>
  <r>
    <s v="P018"/>
    <s v="Laptop 18"/>
    <x v="0"/>
    <s v="Delhi WH"/>
    <x v="3"/>
    <n v="388"/>
    <n v="169"/>
    <n v="219"/>
    <n v="34"/>
    <n v="57267"/>
    <n v="66583.66"/>
    <n v="12541473"/>
    <n v="1"/>
    <n v="11"/>
    <n v="4.8"/>
    <d v="2026-06-08T00:00:00"/>
    <x v="0"/>
  </r>
  <r>
    <s v="P002"/>
    <s v="Laptop 2"/>
    <x v="0"/>
    <s v="Delhi WH"/>
    <x v="1"/>
    <n v="349"/>
    <n v="55"/>
    <n v="294"/>
    <n v="63"/>
    <n v="50757"/>
    <n v="61998.12"/>
    <n v="14922558"/>
    <n v="5"/>
    <n v="9"/>
    <n v="3.8"/>
    <d v="2026-05-26T00:00:00"/>
    <x v="0"/>
  </r>
  <r>
    <s v="P062"/>
    <s v="Mixer 62"/>
    <x v="2"/>
    <s v="Kolkata WH"/>
    <x v="2"/>
    <n v="145"/>
    <n v="52"/>
    <n v="93"/>
    <n v="46"/>
    <n v="44820"/>
    <n v="49402.92"/>
    <n v="4168260"/>
    <n v="0"/>
    <n v="4"/>
    <n v="5"/>
    <d v="2026-06-29T00:00:00"/>
    <x v="0"/>
  </r>
  <r>
    <s v="P099"/>
    <s v="Chair 99"/>
    <x v="1"/>
    <s v="Delhi WH"/>
    <x v="2"/>
    <n v="64"/>
    <n v="0"/>
    <n v="64"/>
    <n v="31"/>
    <n v="14709"/>
    <n v="17950.560000000001"/>
    <n v="941376"/>
    <n v="2"/>
    <n v="3"/>
    <n v="3.8"/>
    <d v="2026-02-26T00:00:00"/>
    <x v="0"/>
  </r>
  <r>
    <s v="P071"/>
    <s v="Mobile 71"/>
    <x v="0"/>
    <s v="Mumbai WH"/>
    <x v="0"/>
    <n v="153"/>
    <n v="103"/>
    <n v="50"/>
    <n v="20"/>
    <n v="41555"/>
    <n v="54210.26"/>
    <n v="2077750"/>
    <n v="1"/>
    <n v="15"/>
    <n v="4.3"/>
    <d v="2026-02-02T00:00:00"/>
    <x v="0"/>
  </r>
  <r>
    <s v="P012"/>
    <s v="Table 12"/>
    <x v="1"/>
    <s v="Delhi WH"/>
    <x v="0"/>
    <n v="313"/>
    <n v="89"/>
    <n v="224"/>
    <n v="65"/>
    <n v="14761"/>
    <n v="19010.63"/>
    <n v="3306464"/>
    <n v="4"/>
    <n v="15"/>
    <n v="4.3"/>
    <d v="2026-01-16T00:00:00"/>
    <x v="0"/>
  </r>
  <r>
    <s v="P087"/>
    <s v="Table 87"/>
    <x v="1"/>
    <s v="Kolkata WH"/>
    <x v="3"/>
    <n v="210"/>
    <n v="5"/>
    <n v="205"/>
    <n v="62"/>
    <n v="57898"/>
    <n v="78971.8"/>
    <n v="11869090"/>
    <n v="3"/>
    <n v="7"/>
    <n v="3.6"/>
    <d v="2026-06-07T00:00:00"/>
    <x v="0"/>
  </r>
  <r>
    <s v="P042"/>
    <s v="Table 42"/>
    <x v="1"/>
    <s v="Kolkata WH"/>
    <x v="0"/>
    <n v="71"/>
    <n v="13"/>
    <n v="58"/>
    <n v="53"/>
    <n v="16962"/>
    <n v="18884.12"/>
    <n v="983796"/>
    <n v="0"/>
    <n v="9"/>
    <n v="4.5"/>
    <d v="2026-04-22T00:00:00"/>
    <x v="0"/>
  </r>
  <r>
    <s v="P019"/>
    <s v="Laptop 19"/>
    <x v="0"/>
    <s v="Delhi WH"/>
    <x v="1"/>
    <n v="339"/>
    <n v="229"/>
    <n v="110"/>
    <n v="53"/>
    <n v="5654"/>
    <n v="6520.64"/>
    <n v="621940"/>
    <n v="1"/>
    <n v="10"/>
    <n v="4"/>
    <d v="2026-05-15T00:00:00"/>
    <x v="0"/>
  </r>
  <r>
    <s v="P072"/>
    <s v="Laptop 72"/>
    <x v="0"/>
    <s v="Bengaluru WH"/>
    <x v="2"/>
    <n v="217"/>
    <n v="138"/>
    <n v="79"/>
    <n v="24"/>
    <n v="41830"/>
    <n v="54704.68"/>
    <n v="3304570"/>
    <n v="3"/>
    <n v="9"/>
    <n v="4"/>
    <d v="2026-04-11T00:00:00"/>
    <x v="0"/>
  </r>
  <r>
    <s v="P069"/>
    <s v="Chair 69"/>
    <x v="1"/>
    <s v="Bengaluru WH"/>
    <x v="0"/>
    <n v="118"/>
    <n v="33"/>
    <n v="85"/>
    <n v="68"/>
    <n v="56460"/>
    <n v="77108.160000000003"/>
    <n v="4799100"/>
    <n v="4"/>
    <n v="10"/>
    <n v="4.7"/>
    <d v="2026-04-02T00:00:00"/>
    <x v="0"/>
  </r>
  <r>
    <s v="P015"/>
    <s v="Table 15"/>
    <x v="1"/>
    <s v="Mumbai WH"/>
    <x v="3"/>
    <n v="134"/>
    <n v="91"/>
    <n v="43"/>
    <n v="24"/>
    <n v="16327"/>
    <n v="21823.84"/>
    <n v="702061"/>
    <n v="1"/>
    <n v="2"/>
    <n v="5"/>
    <d v="2026-05-07T00:00:00"/>
    <x v="0"/>
  </r>
  <r>
    <s v="P076"/>
    <s v="Mixer 76"/>
    <x v="2"/>
    <s v="Mumbai WH"/>
    <x v="2"/>
    <n v="491"/>
    <n v="377"/>
    <n v="114"/>
    <n v="21"/>
    <n v="1410"/>
    <n v="1791.44"/>
    <n v="160740"/>
    <n v="1"/>
    <n v="7"/>
    <n v="4"/>
    <d v="2026-03-25T00:00:00"/>
    <x v="0"/>
  </r>
  <r>
    <s v="P079"/>
    <s v="Mobile 79"/>
    <x v="0"/>
    <s v="Kolkata WH"/>
    <x v="0"/>
    <n v="106"/>
    <n v="4"/>
    <n v="102"/>
    <n v="53"/>
    <n v="10871"/>
    <n v="12439.15"/>
    <n v="1108842"/>
    <n v="2"/>
    <n v="5"/>
    <n v="4.9000000000000004"/>
    <d v="2026-05-08T00:00:00"/>
    <x v="0"/>
  </r>
  <r>
    <s v="P093"/>
    <s v="Shoes 93"/>
    <x v="3"/>
    <s v="Kolkata WH"/>
    <x v="2"/>
    <n v="363"/>
    <n v="293"/>
    <n v="70"/>
    <n v="26"/>
    <n v="47635"/>
    <n v="61912.59"/>
    <n v="3334450"/>
    <n v="0"/>
    <n v="15"/>
    <n v="4.5"/>
    <d v="2026-05-22T00:00:00"/>
    <x v="0"/>
  </r>
  <r>
    <s v="P030"/>
    <s v="Mixer 30"/>
    <x v="2"/>
    <s v="Mumbai WH"/>
    <x v="3"/>
    <n v="195"/>
    <n v="89"/>
    <n v="106"/>
    <n v="59"/>
    <n v="17105"/>
    <n v="20044.82"/>
    <n v="1813130"/>
    <n v="1"/>
    <n v="7"/>
    <n v="4.4000000000000004"/>
    <d v="2026-05-29T00:00:00"/>
    <x v="0"/>
  </r>
  <r>
    <s v="P063"/>
    <s v="Shoes 63"/>
    <x v="3"/>
    <s v="Mumbai WH"/>
    <x v="2"/>
    <n v="212"/>
    <n v="75"/>
    <n v="137"/>
    <n v="79"/>
    <n v="52015"/>
    <n v="58913.31"/>
    <n v="7126055"/>
    <n v="4"/>
    <n v="15"/>
    <n v="3.6"/>
    <d v="2026-02-28T00:00:00"/>
    <x v="0"/>
  </r>
  <r>
    <s v="P004"/>
    <s v="Mixer 4"/>
    <x v="2"/>
    <s v="Delhi WH"/>
    <x v="0"/>
    <n v="167"/>
    <n v="114"/>
    <n v="53"/>
    <n v="76"/>
    <n v="28836"/>
    <n v="35292.43"/>
    <n v="1528308"/>
    <n v="2"/>
    <n v="4"/>
    <n v="4.5999999999999996"/>
    <d v="2026-02-21T00:00:00"/>
    <x v="1"/>
  </r>
  <r>
    <s v="P067"/>
    <s v="Mixer 67"/>
    <x v="2"/>
    <s v="Delhi WH"/>
    <x v="2"/>
    <n v="466"/>
    <n v="348"/>
    <n v="118"/>
    <n v="73"/>
    <n v="53379"/>
    <n v="68406.36"/>
    <n v="6298722"/>
    <n v="4"/>
    <n v="9"/>
    <n v="3.7"/>
    <d v="2026-04-05T00:00:00"/>
    <x v="0"/>
  </r>
  <r>
    <s v="P059"/>
    <s v="Laptop 59"/>
    <x v="0"/>
    <s v="Bengaluru WH"/>
    <x v="2"/>
    <n v="435"/>
    <n v="419"/>
    <n v="16"/>
    <n v="24"/>
    <n v="19534"/>
    <n v="24337.43"/>
    <n v="312544"/>
    <n v="0"/>
    <n v="13"/>
    <n v="3.7"/>
    <d v="2026-04-12T00:00:00"/>
    <x v="1"/>
  </r>
  <r>
    <s v="P021"/>
    <s v="Mobile 21"/>
    <x v="0"/>
    <s v="Mumbai WH"/>
    <x v="3"/>
    <n v="100"/>
    <n v="94"/>
    <n v="6"/>
    <n v="50"/>
    <n v="14490"/>
    <n v="16574.8"/>
    <n v="86940"/>
    <n v="2"/>
    <n v="4"/>
    <n v="4.5999999999999996"/>
    <d v="2026-02-01T00:00:00"/>
    <x v="1"/>
  </r>
  <r>
    <s v="P058"/>
    <s v="Mobile 58"/>
    <x v="0"/>
    <s v="Mumbai WH"/>
    <x v="2"/>
    <n v="153"/>
    <n v="116"/>
    <n v="37"/>
    <n v="60"/>
    <n v="37759"/>
    <n v="44248.99"/>
    <n v="1397083"/>
    <n v="0"/>
    <n v="3"/>
    <n v="4.0999999999999996"/>
    <d v="2026-06-17T00:00:00"/>
    <x v="1"/>
  </r>
  <r>
    <s v="P012"/>
    <s v="Table 12"/>
    <x v="1"/>
    <s v="Bengaluru WH"/>
    <x v="0"/>
    <n v="435"/>
    <n v="335"/>
    <n v="100"/>
    <n v="47"/>
    <n v="37163"/>
    <n v="45088.87"/>
    <n v="3716300"/>
    <n v="4"/>
    <n v="10"/>
    <n v="4.2"/>
    <d v="2026-05-20T00:00:00"/>
    <x v="0"/>
  </r>
  <r>
    <s v="P034"/>
    <s v="Chair 34"/>
    <x v="1"/>
    <s v="Mumbai WH"/>
    <x v="2"/>
    <n v="226"/>
    <n v="125"/>
    <n v="101"/>
    <n v="79"/>
    <n v="26584"/>
    <n v="32023.919999999998"/>
    <n v="2684984"/>
    <n v="2"/>
    <n v="6"/>
    <n v="4.4000000000000004"/>
    <d v="2026-06-04T00:00:00"/>
    <x v="0"/>
  </r>
  <r>
    <s v="P017"/>
    <s v="Shoes 17"/>
    <x v="3"/>
    <s v="Bengaluru WH"/>
    <x v="2"/>
    <n v="262"/>
    <n v="196"/>
    <n v="66"/>
    <n v="44"/>
    <n v="3968"/>
    <n v="4388.04"/>
    <n v="261888"/>
    <n v="1"/>
    <n v="12"/>
    <n v="4.7"/>
    <d v="2026-03-21T00:00:00"/>
    <x v="0"/>
  </r>
  <r>
    <s v="P093"/>
    <s v="Shoes 93"/>
    <x v="3"/>
    <s v="Bengaluru WH"/>
    <x v="1"/>
    <n v="422"/>
    <n v="412"/>
    <n v="10"/>
    <n v="48"/>
    <n v="45560"/>
    <n v="55840.76"/>
    <n v="455600"/>
    <n v="2"/>
    <n v="6"/>
    <n v="4.0999999999999996"/>
    <d v="2026-01-26T00:00:00"/>
    <x v="1"/>
  </r>
  <r>
    <s v="P061"/>
    <s v="Mobile 61"/>
    <x v="0"/>
    <s v="Mumbai WH"/>
    <x v="3"/>
    <n v="446"/>
    <n v="195"/>
    <n v="251"/>
    <n v="79"/>
    <n v="34349"/>
    <n v="45958.03"/>
    <n v="8621599"/>
    <n v="5"/>
    <n v="9"/>
    <n v="4.5999999999999996"/>
    <d v="2026-05-22T00:00:00"/>
    <x v="0"/>
  </r>
  <r>
    <s v="P003"/>
    <s v="Mixer 3"/>
    <x v="2"/>
    <s v="Bengaluru WH"/>
    <x v="3"/>
    <n v="238"/>
    <n v="6"/>
    <n v="232"/>
    <n v="65"/>
    <n v="720"/>
    <n v="968.2"/>
    <n v="167040"/>
    <n v="3"/>
    <n v="12"/>
    <n v="4.0999999999999996"/>
    <d v="2026-03-29T00:00:00"/>
    <x v="0"/>
  </r>
  <r>
    <s v="P077"/>
    <s v="Table 77"/>
    <x v="1"/>
    <s v="Delhi WH"/>
    <x v="1"/>
    <n v="301"/>
    <n v="112"/>
    <n v="189"/>
    <n v="23"/>
    <n v="38419"/>
    <n v="46148.05"/>
    <n v="7261191"/>
    <n v="1"/>
    <n v="13"/>
    <n v="3.5"/>
    <d v="2026-03-29T00:00:00"/>
    <x v="0"/>
  </r>
  <r>
    <s v="P030"/>
    <s v="Mixer 30"/>
    <x v="2"/>
    <s v="Bengaluru WH"/>
    <x v="3"/>
    <n v="263"/>
    <n v="163"/>
    <n v="100"/>
    <n v="69"/>
    <n v="6122"/>
    <n v="7253.57"/>
    <n v="612200"/>
    <n v="4"/>
    <n v="5"/>
    <n v="4.7"/>
    <d v="2026-01-02T00:00:00"/>
    <x v="0"/>
  </r>
  <r>
    <s v="P034"/>
    <s v="Chair 34"/>
    <x v="1"/>
    <s v="Kolkata WH"/>
    <x v="1"/>
    <n v="455"/>
    <n v="308"/>
    <n v="147"/>
    <n v="33"/>
    <n v="24899"/>
    <n v="31934.35"/>
    <n v="3660153"/>
    <n v="5"/>
    <n v="3"/>
    <n v="4"/>
    <d v="2026-02-05T00:00:00"/>
    <x v="0"/>
  </r>
  <r>
    <s v="P001"/>
    <s v="Shoes 1"/>
    <x v="3"/>
    <s v="Delhi WH"/>
    <x v="1"/>
    <n v="364"/>
    <n v="364"/>
    <n v="0"/>
    <n v="61"/>
    <n v="53056"/>
    <n v="60644.75"/>
    <n v="0"/>
    <n v="5"/>
    <n v="4"/>
    <n v="3.8"/>
    <d v="2026-05-18T00:00:00"/>
    <x v="2"/>
  </r>
  <r>
    <s v="P078"/>
    <s v="Chair 78"/>
    <x v="1"/>
    <s v="Kolkata WH"/>
    <x v="0"/>
    <n v="396"/>
    <n v="289"/>
    <n v="107"/>
    <n v="36"/>
    <n v="10242"/>
    <n v="14207.1"/>
    <n v="1095894"/>
    <n v="2"/>
    <n v="11"/>
    <n v="3.7"/>
    <d v="2026-05-15T00:00:00"/>
    <x v="0"/>
  </r>
  <r>
    <s v="P094"/>
    <s v="Table 94"/>
    <x v="1"/>
    <s v="Kolkata WH"/>
    <x v="3"/>
    <n v="408"/>
    <n v="138"/>
    <n v="270"/>
    <n v="52"/>
    <n v="18128"/>
    <n v="21241.01"/>
    <n v="4894560"/>
    <n v="5"/>
    <n v="2"/>
    <n v="4.4000000000000004"/>
    <d v="2026-04-11T00:00:00"/>
    <x v="0"/>
  </r>
  <r>
    <s v="P069"/>
    <s v="Chair 69"/>
    <x v="1"/>
    <s v="Mumbai WH"/>
    <x v="0"/>
    <n v="463"/>
    <n v="239"/>
    <n v="224"/>
    <n v="57"/>
    <n v="27427"/>
    <n v="30237.53"/>
    <n v="6143648"/>
    <n v="3"/>
    <n v="12"/>
    <n v="4.8"/>
    <d v="2026-04-14T00:00:00"/>
    <x v="0"/>
  </r>
  <r>
    <s v="P089"/>
    <s v="Laptop 89"/>
    <x v="0"/>
    <s v="Mumbai WH"/>
    <x v="3"/>
    <n v="111"/>
    <n v="48"/>
    <n v="63"/>
    <n v="39"/>
    <n v="20193"/>
    <n v="26263.45"/>
    <n v="1272159"/>
    <n v="1"/>
    <n v="11"/>
    <n v="5"/>
    <d v="2026-01-19T00:00:00"/>
    <x v="0"/>
  </r>
  <r>
    <s v="P009"/>
    <s v="Laptop 9"/>
    <x v="0"/>
    <s v="Delhi WH"/>
    <x v="1"/>
    <n v="442"/>
    <n v="80"/>
    <n v="362"/>
    <n v="54"/>
    <n v="14655"/>
    <n v="17652.13"/>
    <n v="5305110"/>
    <n v="2"/>
    <n v="6"/>
    <n v="4.8"/>
    <d v="2026-06-03T00:00:00"/>
    <x v="0"/>
  </r>
  <r>
    <s v="P077"/>
    <s v="Table 77"/>
    <x v="1"/>
    <s v="Mumbai WH"/>
    <x v="2"/>
    <n v="255"/>
    <n v="94"/>
    <n v="161"/>
    <n v="65"/>
    <n v="53934"/>
    <n v="67779.55"/>
    <n v="8683374"/>
    <n v="2"/>
    <n v="5"/>
    <n v="4"/>
    <d v="2026-05-23T00:00:00"/>
    <x v="0"/>
  </r>
  <r>
    <s v="P091"/>
    <s v="Laptop 91"/>
    <x v="0"/>
    <s v="Mumbai WH"/>
    <x v="3"/>
    <n v="267"/>
    <n v="159"/>
    <n v="108"/>
    <n v="42"/>
    <n v="58775"/>
    <n v="81865.33"/>
    <n v="6347700"/>
    <n v="0"/>
    <n v="5"/>
    <n v="4.2"/>
    <d v="2026-05-25T00:00:00"/>
    <x v="0"/>
  </r>
  <r>
    <s v="P028"/>
    <s v="Shoes 28"/>
    <x v="3"/>
    <s v="Delhi WH"/>
    <x v="3"/>
    <n v="336"/>
    <n v="127"/>
    <n v="209"/>
    <n v="28"/>
    <n v="57028"/>
    <n v="65801.94"/>
    <n v="11918852"/>
    <n v="0"/>
    <n v="6"/>
    <n v="3.8"/>
    <d v="2026-03-21T00:00:00"/>
    <x v="0"/>
  </r>
  <r>
    <s v="P006"/>
    <s v="Mobile 6"/>
    <x v="0"/>
    <s v="Kolkata WH"/>
    <x v="3"/>
    <n v="152"/>
    <n v="70"/>
    <n v="82"/>
    <n v="78"/>
    <n v="16737"/>
    <n v="20936.2"/>
    <n v="1372434"/>
    <n v="4"/>
    <n v="8"/>
    <n v="4.9000000000000004"/>
    <d v="2026-02-08T00:00:00"/>
    <x v="0"/>
  </r>
  <r>
    <s v="P070"/>
    <s v="Laptop 70"/>
    <x v="0"/>
    <s v="Delhi WH"/>
    <x v="2"/>
    <n v="224"/>
    <n v="139"/>
    <n v="85"/>
    <n v="57"/>
    <n v="2467"/>
    <n v="3223.41"/>
    <n v="209695"/>
    <n v="2"/>
    <n v="13"/>
    <n v="4.4000000000000004"/>
    <d v="2026-03-31T00:00:00"/>
    <x v="0"/>
  </r>
  <r>
    <s v="P013"/>
    <s v="Chair 13"/>
    <x v="1"/>
    <s v="Kolkata WH"/>
    <x v="3"/>
    <n v="433"/>
    <n v="221"/>
    <n v="212"/>
    <n v="37"/>
    <n v="56422"/>
    <n v="63267.99"/>
    <n v="11961464"/>
    <n v="0"/>
    <n v="14"/>
    <n v="4.4000000000000004"/>
    <d v="2026-06-03T00:00:00"/>
    <x v="0"/>
  </r>
  <r>
    <s v="P070"/>
    <s v="Laptop 70"/>
    <x v="0"/>
    <s v="Delhi WH"/>
    <x v="1"/>
    <n v="487"/>
    <n v="222"/>
    <n v="265"/>
    <n v="54"/>
    <n v="55226"/>
    <n v="75713.34"/>
    <n v="14634890"/>
    <n v="2"/>
    <n v="2"/>
    <n v="4.7"/>
    <d v="2026-03-12T00:00:00"/>
    <x v="0"/>
  </r>
  <r>
    <s v="P095"/>
    <s v="Mobile 95"/>
    <x v="0"/>
    <s v="Kolkata WH"/>
    <x v="0"/>
    <n v="372"/>
    <n v="242"/>
    <n v="130"/>
    <n v="26"/>
    <n v="59646"/>
    <n v="78345.8"/>
    <n v="7753980"/>
    <n v="3"/>
    <n v="15"/>
    <n v="5"/>
    <d v="2026-06-14T00:00:00"/>
    <x v="0"/>
  </r>
  <r>
    <s v="P016"/>
    <s v="Chair 16"/>
    <x v="1"/>
    <s v="Bengaluru WH"/>
    <x v="3"/>
    <n v="98"/>
    <n v="55"/>
    <n v="43"/>
    <n v="36"/>
    <n v="46413"/>
    <n v="62364.32"/>
    <n v="1995759"/>
    <n v="4"/>
    <n v="15"/>
    <n v="4.4000000000000004"/>
    <d v="2026-06-22T00:00:00"/>
    <x v="0"/>
  </r>
  <r>
    <s v="P023"/>
    <s v="Mobile 23"/>
    <x v="0"/>
    <s v="Delhi WH"/>
    <x v="3"/>
    <n v="180"/>
    <n v="13"/>
    <n v="167"/>
    <n v="53"/>
    <n v="56158"/>
    <n v="63657.2"/>
    <n v="9378386"/>
    <n v="0"/>
    <n v="4"/>
    <n v="4.8"/>
    <d v="2026-01-28T00:00:00"/>
    <x v="0"/>
  </r>
  <r>
    <s v="P038"/>
    <s v="Mobile 38"/>
    <x v="0"/>
    <s v="Delhi WH"/>
    <x v="0"/>
    <n v="384"/>
    <n v="92"/>
    <n v="292"/>
    <n v="22"/>
    <n v="44252"/>
    <n v="53931.99"/>
    <n v="12921584"/>
    <n v="0"/>
    <n v="12"/>
    <n v="3.8"/>
    <d v="2026-03-31T00:00:00"/>
    <x v="0"/>
  </r>
  <r>
    <s v="P071"/>
    <s v="Mobile 71"/>
    <x v="0"/>
    <s v="Kolkata WH"/>
    <x v="1"/>
    <n v="252"/>
    <n v="66"/>
    <n v="186"/>
    <n v="56"/>
    <n v="7201"/>
    <n v="9620.0499999999993"/>
    <n v="1339386"/>
    <n v="3"/>
    <n v="12"/>
    <n v="3.7"/>
    <d v="2026-02-09T00:00:00"/>
    <x v="0"/>
  </r>
  <r>
    <s v="P055"/>
    <s v="Chair 55"/>
    <x v="1"/>
    <s v="Mumbai WH"/>
    <x v="1"/>
    <n v="207"/>
    <n v="64"/>
    <n v="143"/>
    <n v="29"/>
    <n v="31746"/>
    <n v="35734.11"/>
    <n v="4539678"/>
    <n v="5"/>
    <n v="11"/>
    <n v="4.8"/>
    <d v="2026-01-04T00:00:00"/>
    <x v="0"/>
  </r>
  <r>
    <s v="P018"/>
    <s v="Laptop 18"/>
    <x v="0"/>
    <s v="Bengaluru WH"/>
    <x v="0"/>
    <n v="167"/>
    <n v="54"/>
    <n v="113"/>
    <n v="76"/>
    <n v="57858"/>
    <n v="64918.57"/>
    <n v="6537954"/>
    <n v="2"/>
    <n v="11"/>
    <n v="4.3"/>
    <d v="2026-04-09T00:00:00"/>
    <x v="0"/>
  </r>
  <r>
    <s v="P058"/>
    <s v="Mobile 58"/>
    <x v="0"/>
    <s v="Kolkata WH"/>
    <x v="2"/>
    <n v="133"/>
    <n v="45"/>
    <n v="88"/>
    <n v="25"/>
    <n v="51655"/>
    <n v="67610.86"/>
    <n v="4545640"/>
    <n v="0"/>
    <n v="9"/>
    <n v="4.5"/>
    <d v="2026-03-23T00:00:00"/>
    <x v="0"/>
  </r>
  <r>
    <s v="P049"/>
    <s v="Shoes 49"/>
    <x v="3"/>
    <s v="Bengaluru WH"/>
    <x v="1"/>
    <n v="495"/>
    <n v="136"/>
    <n v="359"/>
    <n v="21"/>
    <n v="2378"/>
    <n v="2966.91"/>
    <n v="853702"/>
    <n v="2"/>
    <n v="2"/>
    <n v="4.2"/>
    <d v="2026-06-16T00:00:00"/>
    <x v="0"/>
  </r>
  <r>
    <s v="P072"/>
    <s v="Laptop 72"/>
    <x v="0"/>
    <s v="Bengaluru WH"/>
    <x v="1"/>
    <n v="455"/>
    <n v="353"/>
    <n v="102"/>
    <n v="47"/>
    <n v="4862"/>
    <n v="6408.2"/>
    <n v="495924"/>
    <n v="2"/>
    <n v="3"/>
    <n v="4.4000000000000004"/>
    <d v="2026-02-20T00:00:00"/>
    <x v="0"/>
  </r>
  <r>
    <s v="P079"/>
    <s v="Mobile 79"/>
    <x v="0"/>
    <s v="Kolkata WH"/>
    <x v="0"/>
    <n v="339"/>
    <n v="24"/>
    <n v="315"/>
    <n v="44"/>
    <n v="32506"/>
    <n v="41336.31"/>
    <n v="10239390"/>
    <n v="2"/>
    <n v="13"/>
    <n v="4.3"/>
    <d v="2026-03-29T00:00:00"/>
    <x v="0"/>
  </r>
  <r>
    <s v="P004"/>
    <s v="Mixer 4"/>
    <x v="2"/>
    <s v="Mumbai WH"/>
    <x v="0"/>
    <n v="202"/>
    <n v="66"/>
    <n v="136"/>
    <n v="60"/>
    <n v="35687"/>
    <n v="42449.09"/>
    <n v="4853432"/>
    <n v="3"/>
    <n v="8"/>
    <n v="3.7"/>
    <d v="2026-01-19T00:00:00"/>
    <x v="0"/>
  </r>
  <r>
    <s v="P009"/>
    <s v="Laptop 9"/>
    <x v="0"/>
    <s v="Bengaluru WH"/>
    <x v="0"/>
    <n v="142"/>
    <n v="35"/>
    <n v="107"/>
    <n v="73"/>
    <n v="59299"/>
    <n v="69230.62"/>
    <n v="6344993"/>
    <n v="3"/>
    <n v="5"/>
    <n v="5"/>
    <d v="2026-05-30T00:00:00"/>
    <x v="0"/>
  </r>
  <r>
    <s v="P058"/>
    <s v="Mobile 58"/>
    <x v="0"/>
    <s v="Bengaluru WH"/>
    <x v="1"/>
    <n v="473"/>
    <n v="135"/>
    <n v="338"/>
    <n v="59"/>
    <n v="2122"/>
    <n v="2346.91"/>
    <n v="717236"/>
    <n v="0"/>
    <n v="13"/>
    <n v="4.9000000000000004"/>
    <d v="2026-06-02T00:00:00"/>
    <x v="0"/>
  </r>
  <r>
    <s v="P100"/>
    <s v="Mobile 100"/>
    <x v="0"/>
    <s v="Mumbai WH"/>
    <x v="1"/>
    <n v="317"/>
    <n v="6"/>
    <n v="311"/>
    <n v="48"/>
    <n v="52295"/>
    <n v="58229.08"/>
    <n v="16263745"/>
    <n v="1"/>
    <n v="9"/>
    <n v="4.7"/>
    <d v="2026-05-04T00:00:00"/>
    <x v="0"/>
  </r>
  <r>
    <s v="P074"/>
    <s v="Mixer 74"/>
    <x v="2"/>
    <s v="Delhi WH"/>
    <x v="3"/>
    <n v="346"/>
    <n v="127"/>
    <n v="219"/>
    <n v="73"/>
    <n v="13199"/>
    <n v="16866.599999999999"/>
    <n v="2890581"/>
    <n v="2"/>
    <n v="5"/>
    <n v="4.2"/>
    <d v="2026-01-12T00:00:00"/>
    <x v="0"/>
  </r>
  <r>
    <s v="P078"/>
    <s v="Chair 78"/>
    <x v="1"/>
    <s v="Kolkata WH"/>
    <x v="2"/>
    <n v="254"/>
    <n v="213"/>
    <n v="41"/>
    <n v="23"/>
    <n v="9135"/>
    <n v="10075.379999999999"/>
    <n v="374535"/>
    <n v="1"/>
    <n v="9"/>
    <n v="4.4000000000000004"/>
    <d v="2026-03-06T00:00:00"/>
    <x v="0"/>
  </r>
  <r>
    <s v="P048"/>
    <s v="Shoes 48"/>
    <x v="3"/>
    <s v="Mumbai WH"/>
    <x v="2"/>
    <n v="89"/>
    <n v="52"/>
    <n v="37"/>
    <n v="53"/>
    <n v="41493"/>
    <n v="49509.86"/>
    <n v="1535241"/>
    <n v="3"/>
    <n v="14"/>
    <n v="3.9"/>
    <d v="2026-03-09T00:00:00"/>
    <x v="1"/>
  </r>
  <r>
    <s v="P045"/>
    <s v="Chair 45"/>
    <x v="1"/>
    <s v="Delhi WH"/>
    <x v="0"/>
    <n v="81"/>
    <n v="12"/>
    <n v="69"/>
    <n v="41"/>
    <n v="36610"/>
    <n v="46247.03"/>
    <n v="2526090"/>
    <n v="0"/>
    <n v="14"/>
    <n v="3.7"/>
    <d v="2026-06-15T00:00:00"/>
    <x v="0"/>
  </r>
  <r>
    <s v="P090"/>
    <s v="Mixer 90"/>
    <x v="2"/>
    <s v="Bengaluru WH"/>
    <x v="1"/>
    <n v="341"/>
    <n v="328"/>
    <n v="13"/>
    <n v="29"/>
    <n v="29973"/>
    <n v="38381.21"/>
    <n v="389649"/>
    <n v="2"/>
    <n v="6"/>
    <n v="4.8"/>
    <d v="2026-05-19T00:00:00"/>
    <x v="1"/>
  </r>
  <r>
    <s v="P081"/>
    <s v="Laptop 81"/>
    <x v="0"/>
    <s v="Bengaluru WH"/>
    <x v="1"/>
    <n v="494"/>
    <n v="208"/>
    <n v="286"/>
    <n v="34"/>
    <n v="57789"/>
    <n v="65019.519999999997"/>
    <n v="16527654"/>
    <n v="0"/>
    <n v="4"/>
    <n v="3.7"/>
    <d v="2026-03-24T00:00:00"/>
    <x v="0"/>
  </r>
  <r>
    <s v="P019"/>
    <s v="Laptop 19"/>
    <x v="0"/>
    <s v="Kolkata WH"/>
    <x v="1"/>
    <n v="423"/>
    <n v="164"/>
    <n v="259"/>
    <n v="80"/>
    <n v="36041"/>
    <n v="49319.42"/>
    <n v="9334619"/>
    <n v="3"/>
    <n v="6"/>
    <n v="4.7"/>
    <d v="2026-04-12T00:00:00"/>
    <x v="0"/>
  </r>
  <r>
    <s v="P098"/>
    <s v="Mobile 98"/>
    <x v="0"/>
    <s v="Delhi WH"/>
    <x v="0"/>
    <n v="241"/>
    <n v="115"/>
    <n v="126"/>
    <n v="44"/>
    <n v="15710"/>
    <n v="19252.11"/>
    <n v="1979460"/>
    <n v="2"/>
    <n v="8"/>
    <n v="4.5999999999999996"/>
    <d v="2026-05-11T00:00:00"/>
    <x v="0"/>
  </r>
  <r>
    <s v="P088"/>
    <s v="Mobile 88"/>
    <x v="0"/>
    <s v="Mumbai WH"/>
    <x v="3"/>
    <n v="245"/>
    <n v="111"/>
    <n v="134"/>
    <n v="74"/>
    <n v="53263"/>
    <n v="64607.3"/>
    <n v="7137242"/>
    <n v="0"/>
    <n v="6"/>
    <n v="3.7"/>
    <d v="2026-01-16T00:00:00"/>
    <x v="0"/>
  </r>
  <r>
    <s v="P008"/>
    <s v="Shoes 8"/>
    <x v="3"/>
    <s v="Mumbai WH"/>
    <x v="1"/>
    <n v="489"/>
    <n v="127"/>
    <n v="362"/>
    <n v="72"/>
    <n v="17352"/>
    <n v="19243.689999999999"/>
    <n v="6281424"/>
    <n v="4"/>
    <n v="14"/>
    <n v="4.5999999999999996"/>
    <d v="2026-01-03T00:00:00"/>
    <x v="0"/>
  </r>
  <r>
    <s v="P038"/>
    <s v="Mobile 38"/>
    <x v="0"/>
    <s v="Kolkata WH"/>
    <x v="3"/>
    <n v="66"/>
    <n v="2"/>
    <n v="64"/>
    <n v="43"/>
    <n v="45379"/>
    <n v="52387.86"/>
    <n v="2904256"/>
    <n v="0"/>
    <n v="2"/>
    <n v="4.3"/>
    <d v="2026-04-30T00:00:00"/>
    <x v="0"/>
  </r>
  <r>
    <s v="P045"/>
    <s v="Chair 45"/>
    <x v="1"/>
    <s v="Delhi WH"/>
    <x v="0"/>
    <n v="389"/>
    <n v="293"/>
    <n v="96"/>
    <n v="65"/>
    <n v="17714"/>
    <n v="24677.01"/>
    <n v="1700544"/>
    <n v="5"/>
    <n v="10"/>
    <n v="4.2"/>
    <d v="2026-05-14T00:00:00"/>
    <x v="0"/>
  </r>
  <r>
    <s v="P008"/>
    <s v="Shoes 8"/>
    <x v="3"/>
    <s v="Mumbai WH"/>
    <x v="2"/>
    <n v="263"/>
    <n v="258"/>
    <n v="5"/>
    <n v="40"/>
    <n v="29494"/>
    <n v="32958.300000000003"/>
    <n v="147470"/>
    <n v="0"/>
    <n v="12"/>
    <n v="4.4000000000000004"/>
    <d v="2026-03-26T00:00:00"/>
    <x v="1"/>
  </r>
  <r>
    <s v="P049"/>
    <s v="Shoes 49"/>
    <x v="3"/>
    <s v="Kolkata WH"/>
    <x v="0"/>
    <n v="169"/>
    <n v="166"/>
    <n v="3"/>
    <n v="32"/>
    <n v="2330"/>
    <n v="3232.15"/>
    <n v="6990"/>
    <n v="1"/>
    <n v="5"/>
    <n v="4.3"/>
    <d v="2026-05-04T00:00:00"/>
    <x v="1"/>
  </r>
  <r>
    <s v="P080"/>
    <s v="Shoes 80"/>
    <x v="3"/>
    <s v="Mumbai WH"/>
    <x v="2"/>
    <n v="442"/>
    <n v="382"/>
    <n v="60"/>
    <n v="60"/>
    <n v="6671"/>
    <n v="9137.82"/>
    <n v="400260"/>
    <n v="5"/>
    <n v="4"/>
    <n v="4.5999999999999996"/>
    <d v="2026-01-31T00:00:00"/>
    <x v="0"/>
  </r>
  <r>
    <s v="P014"/>
    <s v="Mixer 14"/>
    <x v="2"/>
    <s v="Delhi WH"/>
    <x v="3"/>
    <n v="50"/>
    <n v="38"/>
    <n v="12"/>
    <n v="36"/>
    <n v="15841"/>
    <n v="18828.86"/>
    <n v="190092"/>
    <n v="4"/>
    <n v="9"/>
    <n v="3.5"/>
    <d v="2026-03-28T00:00:00"/>
    <x v="1"/>
  </r>
  <r>
    <s v="P051"/>
    <s v="Shoes 51"/>
    <x v="3"/>
    <s v="Bengaluru WH"/>
    <x v="1"/>
    <n v="262"/>
    <n v="120"/>
    <n v="142"/>
    <n v="35"/>
    <n v="45398"/>
    <n v="63017.97"/>
    <n v="6446516"/>
    <n v="1"/>
    <n v="2"/>
    <n v="4.2"/>
    <d v="2026-03-14T00:00:00"/>
    <x v="0"/>
  </r>
  <r>
    <s v="P024"/>
    <s v="Laptop 24"/>
    <x v="0"/>
    <s v="Delhi WH"/>
    <x v="0"/>
    <n v="354"/>
    <n v="179"/>
    <n v="175"/>
    <n v="25"/>
    <n v="44809"/>
    <n v="61205.32"/>
    <n v="7841575"/>
    <n v="0"/>
    <n v="6"/>
    <n v="4.4000000000000004"/>
    <d v="2026-05-03T00:00:00"/>
    <x v="0"/>
  </r>
  <r>
    <s v="P062"/>
    <s v="Mixer 62"/>
    <x v="2"/>
    <s v="Delhi WH"/>
    <x v="0"/>
    <n v="205"/>
    <n v="78"/>
    <n v="127"/>
    <n v="41"/>
    <n v="5938"/>
    <n v="6828.69"/>
    <n v="754126"/>
    <n v="0"/>
    <n v="9"/>
    <n v="4.7"/>
    <d v="2026-01-22T00:00:00"/>
    <x v="0"/>
  </r>
  <r>
    <s v="P062"/>
    <s v="Mixer 62"/>
    <x v="2"/>
    <s v="Bengaluru WH"/>
    <x v="1"/>
    <n v="408"/>
    <n v="309"/>
    <n v="99"/>
    <n v="61"/>
    <n v="47041"/>
    <n v="56952.32"/>
    <n v="4657059"/>
    <n v="5"/>
    <n v="10"/>
    <n v="4.0999999999999996"/>
    <d v="2026-01-08T00:00:00"/>
    <x v="0"/>
  </r>
  <r>
    <s v="P046"/>
    <s v="Laptop 46"/>
    <x v="0"/>
    <s v="Bengaluru WH"/>
    <x v="0"/>
    <n v="165"/>
    <n v="24"/>
    <n v="141"/>
    <n v="65"/>
    <n v="22600"/>
    <n v="28765.62"/>
    <n v="3186600"/>
    <n v="2"/>
    <n v="13"/>
    <n v="4.5999999999999996"/>
    <d v="2026-01-22T00:00:00"/>
    <x v="0"/>
  </r>
  <r>
    <s v="P057"/>
    <s v="Shoes 57"/>
    <x v="3"/>
    <s v="Mumbai WH"/>
    <x v="2"/>
    <n v="213"/>
    <n v="124"/>
    <n v="89"/>
    <n v="25"/>
    <n v="43532"/>
    <n v="54704.3"/>
    <n v="3874348"/>
    <n v="4"/>
    <n v="7"/>
    <n v="4.7"/>
    <d v="2026-03-13T00:00:00"/>
    <x v="0"/>
  </r>
  <r>
    <s v="P044"/>
    <s v="Chair 44"/>
    <x v="1"/>
    <s v="Mumbai WH"/>
    <x v="1"/>
    <n v="84"/>
    <n v="26"/>
    <n v="58"/>
    <n v="47"/>
    <n v="47412"/>
    <n v="55896.67"/>
    <n v="2749896"/>
    <n v="2"/>
    <n v="3"/>
    <n v="5"/>
    <d v="2026-04-24T00:00:00"/>
    <x v="0"/>
  </r>
  <r>
    <s v="P063"/>
    <s v="Shoes 63"/>
    <x v="3"/>
    <s v="Delhi WH"/>
    <x v="3"/>
    <n v="152"/>
    <n v="24"/>
    <n v="128"/>
    <n v="72"/>
    <n v="10617"/>
    <n v="13115.23"/>
    <n v="1358976"/>
    <n v="0"/>
    <n v="4"/>
    <n v="4"/>
    <d v="2026-03-27T00:00:00"/>
    <x v="0"/>
  </r>
  <r>
    <s v="P082"/>
    <s v="Mobile 82"/>
    <x v="0"/>
    <s v="Mumbai WH"/>
    <x v="3"/>
    <n v="490"/>
    <n v="285"/>
    <n v="205"/>
    <n v="46"/>
    <n v="3575"/>
    <n v="4662.26"/>
    <n v="732875"/>
    <n v="5"/>
    <n v="7"/>
    <n v="4.3"/>
    <d v="2026-04-02T00:00:00"/>
    <x v="0"/>
  </r>
  <r>
    <s v="P018"/>
    <s v="Laptop 18"/>
    <x v="0"/>
    <s v="Bengaluru WH"/>
    <x v="3"/>
    <n v="113"/>
    <n v="101"/>
    <n v="12"/>
    <n v="72"/>
    <n v="6648"/>
    <n v="7915.85"/>
    <n v="79776"/>
    <n v="3"/>
    <n v="4"/>
    <n v="4.2"/>
    <d v="2026-06-25T00:00:00"/>
    <x v="1"/>
  </r>
  <r>
    <s v="P042"/>
    <s v="Table 42"/>
    <x v="1"/>
    <s v="Delhi WH"/>
    <x v="2"/>
    <n v="401"/>
    <n v="299"/>
    <n v="102"/>
    <n v="36"/>
    <n v="7376"/>
    <n v="8377.4599999999991"/>
    <n v="752352"/>
    <n v="4"/>
    <n v="8"/>
    <n v="3.6"/>
    <d v="2026-05-01T00:00:00"/>
    <x v="0"/>
  </r>
  <r>
    <s v="P068"/>
    <s v="Mobile 68"/>
    <x v="0"/>
    <s v="Delhi WH"/>
    <x v="1"/>
    <n v="101"/>
    <n v="74"/>
    <n v="27"/>
    <n v="29"/>
    <n v="33796"/>
    <n v="44812.2"/>
    <n v="912492"/>
    <n v="5"/>
    <n v="14"/>
    <n v="3.6"/>
    <d v="2026-02-11T00:00:00"/>
    <x v="1"/>
  </r>
  <r>
    <s v="P041"/>
    <s v="Table 41"/>
    <x v="1"/>
    <s v="Delhi WH"/>
    <x v="3"/>
    <n v="266"/>
    <n v="67"/>
    <n v="199"/>
    <n v="52"/>
    <n v="25299"/>
    <n v="28041.45"/>
    <n v="5034501"/>
    <n v="0"/>
    <n v="15"/>
    <n v="4.2"/>
    <d v="2026-04-02T00:00:00"/>
    <x v="0"/>
  </r>
  <r>
    <s v="P060"/>
    <s v="Mixer 60"/>
    <x v="2"/>
    <s v="Delhi WH"/>
    <x v="1"/>
    <n v="221"/>
    <n v="138"/>
    <n v="83"/>
    <n v="20"/>
    <n v="50542"/>
    <n v="59673.51"/>
    <n v="4194986"/>
    <n v="3"/>
    <n v="12"/>
    <n v="3.9"/>
    <d v="2026-02-16T00:00:00"/>
    <x v="0"/>
  </r>
  <r>
    <s v="P020"/>
    <s v="Shoes 20"/>
    <x v="3"/>
    <s v="Kolkata WH"/>
    <x v="0"/>
    <n v="310"/>
    <n v="203"/>
    <n v="107"/>
    <n v="36"/>
    <n v="51377"/>
    <n v="70719.25"/>
    <n v="5497339"/>
    <n v="4"/>
    <n v="7"/>
    <n v="4.4000000000000004"/>
    <d v="2026-02-13T00:00:00"/>
    <x v="0"/>
  </r>
  <r>
    <s v="P020"/>
    <s v="Shoes 20"/>
    <x v="3"/>
    <s v="Delhi WH"/>
    <x v="1"/>
    <n v="235"/>
    <n v="162"/>
    <n v="73"/>
    <n v="66"/>
    <n v="44416"/>
    <n v="56556.23"/>
    <n v="3242368"/>
    <n v="1"/>
    <n v="5"/>
    <n v="4.0999999999999996"/>
    <d v="2026-02-04T00:00:00"/>
    <x v="0"/>
  </r>
  <r>
    <s v="P008"/>
    <s v="Shoes 8"/>
    <x v="3"/>
    <s v="Delhi WH"/>
    <x v="1"/>
    <n v="406"/>
    <n v="355"/>
    <n v="51"/>
    <n v="63"/>
    <n v="11170"/>
    <n v="14746.01"/>
    <n v="569670"/>
    <n v="3"/>
    <n v="7"/>
    <n v="3.8"/>
    <d v="2026-04-20T00:00:00"/>
    <x v="1"/>
  </r>
  <r>
    <s v="P049"/>
    <s v="Shoes 49"/>
    <x v="3"/>
    <s v="Delhi WH"/>
    <x v="1"/>
    <n v="206"/>
    <n v="148"/>
    <n v="58"/>
    <n v="36"/>
    <n v="15164"/>
    <n v="18195.490000000002"/>
    <n v="879512"/>
    <n v="0"/>
    <n v="10"/>
    <n v="4.2"/>
    <d v="2026-06-17T00:00:00"/>
    <x v="0"/>
  </r>
  <r>
    <s v="P082"/>
    <s v="Mobile 82"/>
    <x v="0"/>
    <s v="Bengaluru WH"/>
    <x v="0"/>
    <n v="138"/>
    <n v="120"/>
    <n v="18"/>
    <n v="68"/>
    <n v="39779"/>
    <n v="51676.6"/>
    <n v="716022"/>
    <n v="2"/>
    <n v="4"/>
    <n v="4"/>
    <d v="2026-02-11T00:00:00"/>
    <x v="1"/>
  </r>
  <r>
    <s v="P053"/>
    <s v="Laptop 53"/>
    <x v="0"/>
    <s v="Kolkata WH"/>
    <x v="0"/>
    <n v="129"/>
    <n v="96"/>
    <n v="33"/>
    <n v="79"/>
    <n v="56531"/>
    <n v="71243.320000000007"/>
    <n v="1865523"/>
    <n v="1"/>
    <n v="11"/>
    <n v="4.7"/>
    <d v="2026-04-22T00:00:00"/>
    <x v="1"/>
  </r>
  <r>
    <s v="P009"/>
    <s v="Laptop 9"/>
    <x v="0"/>
    <s v="Kolkata WH"/>
    <x v="3"/>
    <n v="386"/>
    <n v="11"/>
    <n v="375"/>
    <n v="33"/>
    <n v="36147"/>
    <n v="49595.31"/>
    <n v="13555125"/>
    <n v="1"/>
    <n v="2"/>
    <n v="4.2"/>
    <d v="2026-06-13T00:00:00"/>
    <x v="0"/>
  </r>
  <r>
    <s v="P061"/>
    <s v="Mobile 61"/>
    <x v="0"/>
    <s v="Mumbai WH"/>
    <x v="2"/>
    <n v="352"/>
    <n v="263"/>
    <n v="89"/>
    <n v="61"/>
    <n v="16965"/>
    <n v="20113.12"/>
    <n v="1509885"/>
    <n v="5"/>
    <n v="11"/>
    <n v="4"/>
    <d v="2026-03-20T00:00:00"/>
    <x v="0"/>
  </r>
  <r>
    <s v="P086"/>
    <s v="Mobile 86"/>
    <x v="0"/>
    <s v="Mumbai WH"/>
    <x v="0"/>
    <n v="267"/>
    <n v="34"/>
    <n v="233"/>
    <n v="49"/>
    <n v="9178"/>
    <n v="12157.91"/>
    <n v="2138474"/>
    <n v="1"/>
    <n v="13"/>
    <n v="4.7"/>
    <d v="2026-02-09T00:00:00"/>
    <x v="0"/>
  </r>
  <r>
    <s v="P046"/>
    <s v="Laptop 46"/>
    <x v="0"/>
    <s v="Mumbai WH"/>
    <x v="0"/>
    <n v="232"/>
    <n v="45"/>
    <n v="187"/>
    <n v="69"/>
    <n v="41883"/>
    <n v="51603.85"/>
    <n v="7832121"/>
    <n v="5"/>
    <n v="9"/>
    <n v="4.2"/>
    <d v="2026-06-06T00:00:00"/>
    <x v="0"/>
  </r>
  <r>
    <s v="P049"/>
    <s v="Shoes 49"/>
    <x v="3"/>
    <s v="Bengaluru WH"/>
    <x v="1"/>
    <n v="447"/>
    <n v="356"/>
    <n v="91"/>
    <n v="43"/>
    <n v="27693"/>
    <n v="37279.839999999997"/>
    <n v="2520063"/>
    <n v="2"/>
    <n v="11"/>
    <n v="4.8"/>
    <d v="2026-01-15T00:00:00"/>
    <x v="0"/>
  </r>
  <r>
    <s v="P095"/>
    <s v="Mobile 95"/>
    <x v="0"/>
    <s v="Delhi WH"/>
    <x v="1"/>
    <n v="379"/>
    <n v="248"/>
    <n v="131"/>
    <n v="37"/>
    <n v="55374"/>
    <n v="76954.09"/>
    <n v="7253994"/>
    <n v="2"/>
    <n v="12"/>
    <n v="4.0999999999999996"/>
    <d v="2026-06-29T00:00:00"/>
    <x v="0"/>
  </r>
  <r>
    <s v="P085"/>
    <s v="Chair 85"/>
    <x v="1"/>
    <s v="Delhi WH"/>
    <x v="2"/>
    <n v="115"/>
    <n v="94"/>
    <n v="21"/>
    <n v="55"/>
    <n v="12432"/>
    <n v="14466.32"/>
    <n v="261072"/>
    <n v="1"/>
    <n v="15"/>
    <n v="4.9000000000000004"/>
    <d v="2026-05-30T00:00:00"/>
    <x v="1"/>
  </r>
  <r>
    <s v="P042"/>
    <s v="Table 42"/>
    <x v="1"/>
    <s v="Kolkata WH"/>
    <x v="2"/>
    <n v="280"/>
    <n v="13"/>
    <n v="267"/>
    <n v="56"/>
    <n v="49375"/>
    <n v="68150.240000000005"/>
    <n v="13183125"/>
    <n v="4"/>
    <n v="11"/>
    <n v="3.7"/>
    <d v="2026-03-20T00:00:00"/>
    <x v="0"/>
  </r>
  <r>
    <s v="P091"/>
    <s v="Laptop 91"/>
    <x v="0"/>
    <s v="Bengaluru WH"/>
    <x v="2"/>
    <n v="334"/>
    <n v="207"/>
    <n v="127"/>
    <n v="52"/>
    <n v="16337"/>
    <n v="19112.580000000002"/>
    <n v="2074799"/>
    <n v="1"/>
    <n v="13"/>
    <n v="4.8"/>
    <d v="2026-01-22T00:00:00"/>
    <x v="0"/>
  </r>
  <r>
    <s v="P096"/>
    <s v="Chair 96"/>
    <x v="1"/>
    <s v="Delhi WH"/>
    <x v="1"/>
    <n v="127"/>
    <n v="2"/>
    <n v="125"/>
    <n v="21"/>
    <n v="1988"/>
    <n v="2587.79"/>
    <n v="248500"/>
    <n v="4"/>
    <n v="7"/>
    <n v="4.2"/>
    <d v="2026-06-07T00:00:00"/>
    <x v="0"/>
  </r>
  <r>
    <s v="P087"/>
    <s v="Table 87"/>
    <x v="1"/>
    <s v="Bengaluru WH"/>
    <x v="3"/>
    <n v="171"/>
    <n v="40"/>
    <n v="131"/>
    <n v="23"/>
    <n v="20305"/>
    <n v="25508.65"/>
    <n v="2659955"/>
    <n v="4"/>
    <n v="9"/>
    <n v="3.8"/>
    <d v="2026-05-06T00:00:00"/>
    <x v="0"/>
  </r>
  <r>
    <s v="P090"/>
    <s v="Mixer 90"/>
    <x v="2"/>
    <s v="Bengaluru WH"/>
    <x v="3"/>
    <n v="141"/>
    <n v="100"/>
    <n v="41"/>
    <n v="61"/>
    <n v="542"/>
    <n v="749.78"/>
    <n v="22222"/>
    <n v="1"/>
    <n v="14"/>
    <n v="4.2"/>
    <d v="2026-03-22T00:00:00"/>
    <x v="1"/>
  </r>
  <r>
    <s v="P014"/>
    <s v="Mixer 14"/>
    <x v="2"/>
    <s v="Mumbai WH"/>
    <x v="1"/>
    <n v="232"/>
    <n v="174"/>
    <n v="58"/>
    <n v="69"/>
    <n v="24334"/>
    <n v="29524.03"/>
    <n v="1411372"/>
    <n v="5"/>
    <n v="5"/>
    <n v="4.5"/>
    <d v="2026-04-17T00:00:00"/>
    <x v="1"/>
  </r>
  <r>
    <s v="P073"/>
    <s v="Mixer 73"/>
    <x v="2"/>
    <s v="Kolkata WH"/>
    <x v="0"/>
    <n v="330"/>
    <n v="121"/>
    <n v="209"/>
    <n v="59"/>
    <n v="13551"/>
    <n v="18956.810000000001"/>
    <n v="2832159"/>
    <n v="5"/>
    <n v="13"/>
    <n v="4.9000000000000004"/>
    <d v="2026-06-26T00:00:00"/>
    <x v="0"/>
  </r>
  <r>
    <s v="P055"/>
    <s v="Chair 55"/>
    <x v="1"/>
    <s v="Mumbai WH"/>
    <x v="1"/>
    <n v="418"/>
    <n v="132"/>
    <n v="286"/>
    <n v="52"/>
    <n v="53977"/>
    <n v="73388.78"/>
    <n v="15437422"/>
    <n v="1"/>
    <n v="2"/>
    <n v="3.6"/>
    <d v="2026-04-21T00:00:00"/>
    <x v="0"/>
  </r>
  <r>
    <s v="P082"/>
    <s v="Mobile 82"/>
    <x v="0"/>
    <s v="Bengaluru WH"/>
    <x v="1"/>
    <n v="140"/>
    <n v="71"/>
    <n v="69"/>
    <n v="37"/>
    <n v="34736"/>
    <n v="47611.16"/>
    <n v="2396784"/>
    <n v="2"/>
    <n v="8"/>
    <n v="4.3"/>
    <d v="2026-04-22T00:00:00"/>
    <x v="0"/>
  </r>
  <r>
    <s v="P052"/>
    <s v="Laptop 52"/>
    <x v="0"/>
    <s v="Mumbai WH"/>
    <x v="3"/>
    <n v="376"/>
    <n v="53"/>
    <n v="323"/>
    <n v="65"/>
    <n v="29749"/>
    <n v="33029.07"/>
    <n v="9608927"/>
    <n v="4"/>
    <n v="8"/>
    <n v="3.6"/>
    <d v="2026-06-08T00:00:00"/>
    <x v="0"/>
  </r>
  <r>
    <s v="P035"/>
    <s v="Table 35"/>
    <x v="1"/>
    <s v="Kolkata WH"/>
    <x v="1"/>
    <n v="463"/>
    <n v="87"/>
    <n v="376"/>
    <n v="36"/>
    <n v="36564"/>
    <n v="44636.74"/>
    <n v="13748064"/>
    <n v="0"/>
    <n v="15"/>
    <n v="4.9000000000000004"/>
    <d v="2026-04-13T00:00:00"/>
    <x v="0"/>
  </r>
  <r>
    <s v="P024"/>
    <s v="Laptop 24"/>
    <x v="0"/>
    <s v="Delhi WH"/>
    <x v="2"/>
    <n v="67"/>
    <n v="3"/>
    <n v="64"/>
    <n v="61"/>
    <n v="28858"/>
    <n v="40401.08"/>
    <n v="1846912"/>
    <n v="2"/>
    <n v="15"/>
    <n v="4.9000000000000004"/>
    <d v="2026-05-23T00:00:00"/>
    <x v="0"/>
  </r>
  <r>
    <s v="P013"/>
    <s v="Chair 13"/>
    <x v="1"/>
    <s v="Delhi WH"/>
    <x v="3"/>
    <n v="456"/>
    <n v="187"/>
    <n v="269"/>
    <n v="22"/>
    <n v="19880"/>
    <n v="25560.89"/>
    <n v="5347720"/>
    <n v="0"/>
    <n v="8"/>
    <n v="4.5"/>
    <d v="2026-06-09T00:00:00"/>
    <x v="0"/>
  </r>
  <r>
    <s v="P013"/>
    <s v="Chair 13"/>
    <x v="1"/>
    <s v="Mumbai WH"/>
    <x v="0"/>
    <n v="50"/>
    <n v="4"/>
    <n v="46"/>
    <n v="72"/>
    <n v="38103"/>
    <n v="46974.080000000002"/>
    <n v="1752738"/>
    <n v="2"/>
    <n v="8"/>
    <n v="4.5"/>
    <d v="2026-06-01T00:00:00"/>
    <x v="1"/>
  </r>
  <r>
    <s v="P055"/>
    <s v="Chair 55"/>
    <x v="1"/>
    <s v="Bengaluru WH"/>
    <x v="0"/>
    <n v="364"/>
    <n v="30"/>
    <n v="334"/>
    <n v="26"/>
    <n v="16675"/>
    <n v="22458.25"/>
    <n v="5569450"/>
    <n v="4"/>
    <n v="12"/>
    <n v="4.4000000000000004"/>
    <d v="2026-05-17T00:00:00"/>
    <x v="0"/>
  </r>
  <r>
    <s v="P097"/>
    <s v="Mobile 97"/>
    <x v="0"/>
    <s v="Bengaluru WH"/>
    <x v="1"/>
    <n v="212"/>
    <n v="98"/>
    <n v="114"/>
    <n v="40"/>
    <n v="7002"/>
    <n v="8065.21"/>
    <n v="798228"/>
    <n v="1"/>
    <n v="13"/>
    <n v="4.8"/>
    <d v="2026-01-09T00:00:00"/>
    <x v="0"/>
  </r>
  <r>
    <s v="P027"/>
    <s v="Chair 27"/>
    <x v="1"/>
    <s v="Bengaluru WH"/>
    <x v="2"/>
    <n v="96"/>
    <n v="89"/>
    <n v="7"/>
    <n v="55"/>
    <n v="30725"/>
    <n v="34421.93"/>
    <n v="215075"/>
    <n v="0"/>
    <n v="13"/>
    <n v="4.4000000000000004"/>
    <d v="2026-05-24T00:00:00"/>
    <x v="1"/>
  </r>
  <r>
    <s v="P037"/>
    <s v="Mixer 37"/>
    <x v="2"/>
    <s v="Delhi WH"/>
    <x v="3"/>
    <n v="212"/>
    <n v="101"/>
    <n v="111"/>
    <n v="41"/>
    <n v="1488"/>
    <n v="1720.71"/>
    <n v="165168"/>
    <n v="4"/>
    <n v="9"/>
    <n v="4.4000000000000004"/>
    <d v="2026-01-28T00:00:00"/>
    <x v="0"/>
  </r>
  <r>
    <s v="P031"/>
    <s v="Table 31"/>
    <x v="1"/>
    <s v="Mumbai WH"/>
    <x v="1"/>
    <n v="162"/>
    <n v="76"/>
    <n v="86"/>
    <n v="72"/>
    <n v="18271"/>
    <n v="24219.279999999999"/>
    <n v="1571306"/>
    <n v="0"/>
    <n v="5"/>
    <n v="4.5999999999999996"/>
    <d v="2026-05-31T00:00:00"/>
    <x v="0"/>
  </r>
  <r>
    <s v="P078"/>
    <s v="Chair 78"/>
    <x v="1"/>
    <s v="Kolkata WH"/>
    <x v="0"/>
    <n v="462"/>
    <n v="155"/>
    <n v="307"/>
    <n v="48"/>
    <n v="25076"/>
    <n v="29367.85"/>
    <n v="7698332"/>
    <n v="4"/>
    <n v="8"/>
    <n v="3.9"/>
    <d v="2026-03-27T00:00:00"/>
    <x v="0"/>
  </r>
  <r>
    <s v="P040"/>
    <s v="Chair 40"/>
    <x v="1"/>
    <s v="Delhi WH"/>
    <x v="3"/>
    <n v="169"/>
    <n v="59"/>
    <n v="110"/>
    <n v="35"/>
    <n v="7764"/>
    <n v="10850.46"/>
    <n v="854040"/>
    <n v="2"/>
    <n v="9"/>
    <n v="4.9000000000000004"/>
    <d v="2026-03-15T00:00:00"/>
    <x v="0"/>
  </r>
  <r>
    <s v="P002"/>
    <s v="Laptop 2"/>
    <x v="0"/>
    <s v="Bengaluru WH"/>
    <x v="0"/>
    <n v="485"/>
    <n v="311"/>
    <n v="174"/>
    <n v="38"/>
    <n v="50260"/>
    <n v="56878.26"/>
    <n v="8745240"/>
    <n v="3"/>
    <n v="4"/>
    <n v="4.3"/>
    <d v="2026-05-25T00:00:00"/>
    <x v="0"/>
  </r>
  <r>
    <s v="P053"/>
    <s v="Laptop 53"/>
    <x v="0"/>
    <s v="Delhi WH"/>
    <x v="2"/>
    <n v="196"/>
    <n v="47"/>
    <n v="149"/>
    <n v="42"/>
    <n v="25004"/>
    <n v="31333.47"/>
    <n v="3725596"/>
    <n v="5"/>
    <n v="12"/>
    <n v="4.4000000000000004"/>
    <d v="2026-02-15T00:00:00"/>
    <x v="0"/>
  </r>
  <r>
    <s v="P086"/>
    <s v="Mobile 86"/>
    <x v="0"/>
    <s v="Delhi WH"/>
    <x v="0"/>
    <n v="391"/>
    <n v="122"/>
    <n v="269"/>
    <n v="68"/>
    <n v="6447"/>
    <n v="8269.84"/>
    <n v="1734243"/>
    <n v="2"/>
    <n v="5"/>
    <n v="4.8"/>
    <d v="2026-02-11T00:00:00"/>
    <x v="0"/>
  </r>
  <r>
    <s v="P071"/>
    <s v="Mobile 71"/>
    <x v="0"/>
    <s v="Delhi WH"/>
    <x v="0"/>
    <n v="364"/>
    <n v="132"/>
    <n v="232"/>
    <n v="58"/>
    <n v="7423"/>
    <n v="9331.08"/>
    <n v="1722136"/>
    <n v="4"/>
    <n v="3"/>
    <n v="4.5"/>
    <d v="2026-05-31T00:00:00"/>
    <x v="0"/>
  </r>
  <r>
    <s v="P040"/>
    <s v="Chair 40"/>
    <x v="1"/>
    <s v="Bengaluru WH"/>
    <x v="1"/>
    <n v="276"/>
    <n v="241"/>
    <n v="35"/>
    <n v="21"/>
    <n v="59954"/>
    <n v="80702.12"/>
    <n v="2098390"/>
    <n v="2"/>
    <n v="5"/>
    <n v="3.6"/>
    <d v="2026-05-21T00:00:00"/>
    <x v="0"/>
  </r>
  <r>
    <s v="P100"/>
    <s v="Mobile 100"/>
    <x v="0"/>
    <s v="Mumbai WH"/>
    <x v="2"/>
    <n v="209"/>
    <n v="50"/>
    <n v="159"/>
    <n v="44"/>
    <n v="33858"/>
    <n v="41969.77"/>
    <n v="5383422"/>
    <n v="3"/>
    <n v="3"/>
    <n v="4.4000000000000004"/>
    <d v="2026-06-09T00:00:00"/>
    <x v="0"/>
  </r>
  <r>
    <s v="P040"/>
    <s v="Chair 40"/>
    <x v="1"/>
    <s v="Delhi WH"/>
    <x v="2"/>
    <n v="55"/>
    <n v="12"/>
    <n v="43"/>
    <n v="80"/>
    <n v="59554"/>
    <n v="75741.81"/>
    <n v="2560822"/>
    <n v="1"/>
    <n v="8"/>
    <n v="4.5999999999999996"/>
    <d v="2026-03-14T00:00:00"/>
    <x v="1"/>
  </r>
  <r>
    <s v="P083"/>
    <s v="Table 83"/>
    <x v="1"/>
    <s v="Mumbai WH"/>
    <x v="1"/>
    <n v="53"/>
    <n v="26"/>
    <n v="27"/>
    <n v="49"/>
    <n v="15069"/>
    <n v="17642.07"/>
    <n v="406863"/>
    <n v="5"/>
    <n v="3"/>
    <n v="3.5"/>
    <d v="2026-06-12T00:00:00"/>
    <x v="1"/>
  </r>
  <r>
    <s v="P004"/>
    <s v="Mixer 4"/>
    <x v="2"/>
    <s v="Mumbai WH"/>
    <x v="2"/>
    <n v="152"/>
    <n v="149"/>
    <n v="3"/>
    <n v="51"/>
    <n v="50535"/>
    <n v="57918.62"/>
    <n v="151605"/>
    <n v="3"/>
    <n v="13"/>
    <n v="4.3"/>
    <d v="2026-05-23T00:00:00"/>
    <x v="1"/>
  </r>
  <r>
    <s v="P070"/>
    <s v="Laptop 70"/>
    <x v="0"/>
    <s v="Delhi WH"/>
    <x v="0"/>
    <n v="374"/>
    <n v="222"/>
    <n v="152"/>
    <n v="68"/>
    <n v="26075"/>
    <n v="31243.38"/>
    <n v="3963400"/>
    <n v="3"/>
    <n v="12"/>
    <n v="4.5999999999999996"/>
    <d v="2026-04-09T00:00:00"/>
    <x v="0"/>
  </r>
  <r>
    <s v="P008"/>
    <s v="Shoes 8"/>
    <x v="3"/>
    <s v="Kolkata WH"/>
    <x v="1"/>
    <n v="81"/>
    <n v="37"/>
    <n v="44"/>
    <n v="48"/>
    <n v="26223"/>
    <n v="31799.61"/>
    <n v="1153812"/>
    <n v="1"/>
    <n v="14"/>
    <n v="4.4000000000000004"/>
    <d v="2026-05-19T00:00:00"/>
    <x v="1"/>
  </r>
  <r>
    <s v="P036"/>
    <s v="Shoes 36"/>
    <x v="3"/>
    <s v="Mumbai WH"/>
    <x v="2"/>
    <n v="208"/>
    <n v="123"/>
    <n v="85"/>
    <n v="28"/>
    <n v="37574"/>
    <n v="44263.32"/>
    <n v="3193790"/>
    <n v="3"/>
    <n v="10"/>
    <n v="4.9000000000000004"/>
    <d v="2026-02-16T00:00:00"/>
    <x v="0"/>
  </r>
  <r>
    <s v="P065"/>
    <s v="Mobile 65"/>
    <x v="0"/>
    <s v="Delhi WH"/>
    <x v="1"/>
    <n v="122"/>
    <n v="93"/>
    <n v="29"/>
    <n v="20"/>
    <n v="6390"/>
    <n v="8287.7000000000007"/>
    <n v="185310"/>
    <n v="1"/>
    <n v="2"/>
    <n v="4.4000000000000004"/>
    <d v="2026-01-06T00:00:00"/>
    <x v="0"/>
  </r>
  <r>
    <s v="P017"/>
    <s v="Shoes 17"/>
    <x v="3"/>
    <s v="Kolkata WH"/>
    <x v="1"/>
    <n v="436"/>
    <n v="187"/>
    <n v="249"/>
    <n v="70"/>
    <n v="20180"/>
    <n v="26300.09"/>
    <n v="5024820"/>
    <n v="4"/>
    <n v="10"/>
    <n v="4.9000000000000004"/>
    <d v="2026-05-02T00:00:00"/>
    <x v="0"/>
  </r>
  <r>
    <s v="P021"/>
    <s v="Mobile 21"/>
    <x v="0"/>
    <s v="Kolkata WH"/>
    <x v="3"/>
    <n v="88"/>
    <n v="81"/>
    <n v="7"/>
    <n v="20"/>
    <n v="57045"/>
    <n v="75101.759999999995"/>
    <n v="399315"/>
    <n v="2"/>
    <n v="9"/>
    <n v="4.8"/>
    <d v="2026-06-01T00:00:00"/>
    <x v="1"/>
  </r>
  <r>
    <s v="P017"/>
    <s v="Shoes 17"/>
    <x v="3"/>
    <s v="Mumbai WH"/>
    <x v="2"/>
    <n v="153"/>
    <n v="21"/>
    <n v="132"/>
    <n v="29"/>
    <n v="4659"/>
    <n v="5733.08"/>
    <n v="614988"/>
    <n v="2"/>
    <n v="3"/>
    <n v="4.9000000000000004"/>
    <d v="2026-02-03T00:00:00"/>
    <x v="0"/>
  </r>
  <r>
    <s v="P066"/>
    <s v="Mobile 66"/>
    <x v="0"/>
    <s v="Bengaluru WH"/>
    <x v="0"/>
    <n v="406"/>
    <n v="242"/>
    <n v="164"/>
    <n v="73"/>
    <n v="27273"/>
    <n v="31357.57"/>
    <n v="4472772"/>
    <n v="0"/>
    <n v="5"/>
    <n v="4.3"/>
    <d v="2026-05-15T00:00:00"/>
    <x v="0"/>
  </r>
  <r>
    <s v="P045"/>
    <s v="Chair 45"/>
    <x v="1"/>
    <s v="Mumbai WH"/>
    <x v="1"/>
    <n v="348"/>
    <n v="103"/>
    <n v="245"/>
    <n v="79"/>
    <n v="25452"/>
    <n v="33140.400000000001"/>
    <n v="6235740"/>
    <n v="2"/>
    <n v="9"/>
    <n v="3.9"/>
    <d v="2026-03-12T00:00:00"/>
    <x v="0"/>
  </r>
  <r>
    <s v="P073"/>
    <s v="Mixer 73"/>
    <x v="2"/>
    <s v="Delhi WH"/>
    <x v="1"/>
    <n v="289"/>
    <n v="53"/>
    <n v="236"/>
    <n v="39"/>
    <n v="16259"/>
    <n v="20964.82"/>
    <n v="3837124"/>
    <n v="5"/>
    <n v="3"/>
    <n v="5"/>
    <d v="2026-06-14T00:00:00"/>
    <x v="0"/>
  </r>
  <r>
    <s v="P082"/>
    <s v="Mobile 82"/>
    <x v="0"/>
    <s v="Bengaluru WH"/>
    <x v="3"/>
    <n v="358"/>
    <n v="46"/>
    <n v="312"/>
    <n v="27"/>
    <n v="22686"/>
    <n v="25793.94"/>
    <n v="7078032"/>
    <n v="0"/>
    <n v="14"/>
    <n v="3.5"/>
    <d v="2026-05-24T00:00:00"/>
    <x v="0"/>
  </r>
  <r>
    <s v="P036"/>
    <s v="Shoes 36"/>
    <x v="3"/>
    <s v="Bengaluru WH"/>
    <x v="3"/>
    <n v="85"/>
    <n v="52"/>
    <n v="33"/>
    <n v="56"/>
    <n v="58481"/>
    <n v="70434.880000000005"/>
    <n v="1929873"/>
    <n v="2"/>
    <n v="7"/>
    <n v="3.9"/>
    <d v="2026-02-13T00:00:00"/>
    <x v="1"/>
  </r>
  <r>
    <s v="P003"/>
    <s v="Mixer 3"/>
    <x v="2"/>
    <s v="Mumbai WH"/>
    <x v="3"/>
    <n v="194"/>
    <n v="85"/>
    <n v="109"/>
    <n v="60"/>
    <n v="10827"/>
    <n v="14971.4"/>
    <n v="1180143"/>
    <n v="3"/>
    <n v="11"/>
    <n v="4.0999999999999996"/>
    <d v="2026-04-14T00:00:00"/>
    <x v="0"/>
  </r>
  <r>
    <s v="P095"/>
    <s v="Mobile 95"/>
    <x v="0"/>
    <s v="Kolkata WH"/>
    <x v="1"/>
    <n v="474"/>
    <n v="390"/>
    <n v="84"/>
    <n v="70"/>
    <n v="6048"/>
    <n v="7680.28"/>
    <n v="508032"/>
    <n v="2"/>
    <n v="9"/>
    <n v="3.7"/>
    <d v="2026-06-19T00:00:00"/>
    <x v="0"/>
  </r>
  <r>
    <s v="P089"/>
    <s v="Laptop 89"/>
    <x v="0"/>
    <s v="Mumbai WH"/>
    <x v="3"/>
    <n v="152"/>
    <n v="51"/>
    <n v="101"/>
    <n v="64"/>
    <n v="14318"/>
    <n v="18985.16"/>
    <n v="1446118"/>
    <n v="5"/>
    <n v="6"/>
    <n v="4.2"/>
    <d v="2026-01-18T00:00:00"/>
    <x v="0"/>
  </r>
  <r>
    <s v="P064"/>
    <s v="Table 64"/>
    <x v="1"/>
    <s v="Bengaluru WH"/>
    <x v="0"/>
    <n v="83"/>
    <n v="27"/>
    <n v="56"/>
    <n v="41"/>
    <n v="26354"/>
    <n v="31473.74"/>
    <n v="1475824"/>
    <n v="2"/>
    <n v="8"/>
    <n v="3.7"/>
    <d v="2026-06-18T00:00:00"/>
    <x v="0"/>
  </r>
  <r>
    <s v="P043"/>
    <s v="Mobile 43"/>
    <x v="0"/>
    <s v="Bengaluru WH"/>
    <x v="0"/>
    <n v="464"/>
    <n v="273"/>
    <n v="191"/>
    <n v="53"/>
    <n v="35437"/>
    <n v="43509"/>
    <n v="6768467"/>
    <n v="5"/>
    <n v="15"/>
    <n v="3.6"/>
    <d v="2026-02-19T00:00:00"/>
    <x v="0"/>
  </r>
  <r>
    <s v="P068"/>
    <s v="Mobile 68"/>
    <x v="0"/>
    <s v="Delhi WH"/>
    <x v="2"/>
    <n v="386"/>
    <n v="42"/>
    <n v="344"/>
    <n v="75"/>
    <n v="12701"/>
    <n v="17437.66"/>
    <n v="4369144"/>
    <n v="1"/>
    <n v="9"/>
    <n v="4.5"/>
    <d v="2026-05-25T00:00:00"/>
    <x v="0"/>
  </r>
  <r>
    <s v="P079"/>
    <s v="Mobile 79"/>
    <x v="0"/>
    <s v="Delhi WH"/>
    <x v="1"/>
    <n v="205"/>
    <n v="117"/>
    <n v="88"/>
    <n v="63"/>
    <n v="58636"/>
    <n v="69292.86"/>
    <n v="5159968"/>
    <n v="0"/>
    <n v="11"/>
    <n v="4.4000000000000004"/>
    <d v="2026-05-09T00:00:00"/>
    <x v="0"/>
  </r>
  <r>
    <s v="P012"/>
    <s v="Table 12"/>
    <x v="1"/>
    <s v="Bengaluru WH"/>
    <x v="3"/>
    <n v="246"/>
    <n v="24"/>
    <n v="222"/>
    <n v="52"/>
    <n v="53597"/>
    <n v="60172.42"/>
    <n v="11898534"/>
    <n v="3"/>
    <n v="3"/>
    <n v="4.3"/>
    <d v="2026-04-24T00:00:00"/>
    <x v="0"/>
  </r>
  <r>
    <s v="P079"/>
    <s v="Mobile 79"/>
    <x v="0"/>
    <s v="Delhi WH"/>
    <x v="1"/>
    <n v="497"/>
    <n v="345"/>
    <n v="152"/>
    <n v="68"/>
    <n v="24893"/>
    <n v="31767.58"/>
    <n v="3783736"/>
    <n v="0"/>
    <n v="13"/>
    <n v="4.9000000000000004"/>
    <d v="2026-04-29T00:00:00"/>
    <x v="0"/>
  </r>
  <r>
    <s v="P089"/>
    <s v="Laptop 89"/>
    <x v="0"/>
    <s v="Bengaluru WH"/>
    <x v="0"/>
    <n v="194"/>
    <n v="78"/>
    <n v="116"/>
    <n v="49"/>
    <n v="27526"/>
    <n v="36862.03"/>
    <n v="3193016"/>
    <n v="1"/>
    <n v="9"/>
    <n v="4.2"/>
    <d v="2026-04-25T00:00:00"/>
    <x v="0"/>
  </r>
  <r>
    <s v="P038"/>
    <s v="Mobile 38"/>
    <x v="0"/>
    <s v="Kolkata WH"/>
    <x v="1"/>
    <n v="353"/>
    <n v="126"/>
    <n v="227"/>
    <n v="60"/>
    <n v="58670"/>
    <n v="75715.839999999997"/>
    <n v="13318090"/>
    <n v="1"/>
    <n v="11"/>
    <n v="4.3"/>
    <d v="2026-04-20T00:00:00"/>
    <x v="0"/>
  </r>
  <r>
    <s v="P086"/>
    <s v="Mobile 86"/>
    <x v="0"/>
    <s v="Mumbai WH"/>
    <x v="2"/>
    <n v="405"/>
    <n v="215"/>
    <n v="190"/>
    <n v="53"/>
    <n v="49734"/>
    <n v="58910.13"/>
    <n v="9449460"/>
    <n v="1"/>
    <n v="4"/>
    <n v="4"/>
    <d v="2026-03-25T00:00:00"/>
    <x v="0"/>
  </r>
  <r>
    <s v="P023"/>
    <s v="Mobile 23"/>
    <x v="0"/>
    <s v="Mumbai WH"/>
    <x v="1"/>
    <n v="260"/>
    <n v="189"/>
    <n v="71"/>
    <n v="68"/>
    <n v="18198"/>
    <n v="21528.84"/>
    <n v="1292058"/>
    <n v="0"/>
    <n v="10"/>
    <n v="4.2"/>
    <d v="2026-03-24T00:00:00"/>
    <x v="0"/>
  </r>
  <r>
    <s v="P065"/>
    <s v="Mobile 65"/>
    <x v="0"/>
    <s v="Kolkata WH"/>
    <x v="2"/>
    <n v="375"/>
    <n v="358"/>
    <n v="17"/>
    <n v="77"/>
    <n v="23727"/>
    <n v="26874.95"/>
    <n v="403359"/>
    <n v="2"/>
    <n v="4"/>
    <n v="4.5999999999999996"/>
    <d v="2026-05-16T00:00:00"/>
    <x v="1"/>
  </r>
  <r>
    <s v="P014"/>
    <s v="Mixer 14"/>
    <x v="2"/>
    <s v="Bengaluru WH"/>
    <x v="3"/>
    <n v="230"/>
    <n v="120"/>
    <n v="110"/>
    <n v="27"/>
    <n v="55986"/>
    <n v="70683.009999999995"/>
    <n v="6158460"/>
    <n v="4"/>
    <n v="6"/>
    <n v="4.5"/>
    <d v="2026-06-11T00:00:00"/>
    <x v="0"/>
  </r>
  <r>
    <s v="P064"/>
    <s v="Table 64"/>
    <x v="1"/>
    <s v="Bengaluru WH"/>
    <x v="2"/>
    <n v="275"/>
    <n v="217"/>
    <n v="58"/>
    <n v="75"/>
    <n v="31204"/>
    <n v="40341.199999999997"/>
    <n v="1809832"/>
    <n v="2"/>
    <n v="12"/>
    <n v="4.9000000000000004"/>
    <d v="2026-06-20T00:00:00"/>
    <x v="1"/>
  </r>
  <r>
    <s v="P064"/>
    <s v="Table 64"/>
    <x v="1"/>
    <s v="Mumbai WH"/>
    <x v="2"/>
    <n v="313"/>
    <n v="116"/>
    <n v="197"/>
    <n v="45"/>
    <n v="55326"/>
    <n v="60971.53"/>
    <n v="10899222"/>
    <n v="4"/>
    <n v="9"/>
    <n v="4.8"/>
    <d v="2026-05-29T00:00:00"/>
    <x v="0"/>
  </r>
  <r>
    <s v="P053"/>
    <s v="Laptop 53"/>
    <x v="0"/>
    <s v="Mumbai WH"/>
    <x v="2"/>
    <n v="75"/>
    <n v="40"/>
    <n v="35"/>
    <n v="34"/>
    <n v="23551"/>
    <n v="28033.77"/>
    <n v="824285"/>
    <n v="4"/>
    <n v="8"/>
    <n v="4.0999999999999996"/>
    <d v="2026-06-09T00:00:00"/>
    <x v="0"/>
  </r>
  <r>
    <s v="P042"/>
    <s v="Table 42"/>
    <x v="1"/>
    <s v="Delhi WH"/>
    <x v="1"/>
    <n v="220"/>
    <n v="43"/>
    <n v="177"/>
    <n v="58"/>
    <n v="7334"/>
    <n v="8361.98"/>
    <n v="1298118"/>
    <n v="0"/>
    <n v="15"/>
    <n v="4.5"/>
    <d v="2026-05-24T00:00:00"/>
    <x v="0"/>
  </r>
  <r>
    <s v="P055"/>
    <s v="Chair 55"/>
    <x v="1"/>
    <s v="Kolkata WH"/>
    <x v="2"/>
    <n v="84"/>
    <n v="53"/>
    <n v="31"/>
    <n v="42"/>
    <n v="59576"/>
    <n v="67494.039999999994"/>
    <n v="1846856"/>
    <n v="0"/>
    <n v="15"/>
    <n v="3.9"/>
    <d v="2026-05-27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D9232-8318-4926-A4F4-173D76BFC8FA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O43:P48" firstHeaderRow="1" firstDataRow="1" firstDataCol="1"/>
  <pivotFields count="17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>
      <items count="4">
        <item x="1"/>
        <item x="0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rrent_Stock" fld="7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299D8-94EB-4C57-85CB-32021F57B838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5:Y30" firstHeaderRow="1" firstDataRow="1" firstDataCol="1"/>
  <pivotFields count="17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ventory_Val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3CB3B-25A9-41F0-B8CF-10A9FB0E2191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25:Q30" firstHeaderRow="1" firstDataRow="1" firstDataCol="1"/>
  <pivotFields count="17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rrent_Stock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38B4B-64E4-442D-860C-584B0F7CDF3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8:L13" firstHeaderRow="1" firstDataRow="1" firstDataCol="1"/>
  <pivotFields count="24">
    <pivotField showAll="0"/>
    <pivotField numFmtId="169" showAll="0">
      <items count="182">
        <item x="18"/>
        <item x="138"/>
        <item x="27"/>
        <item x="123"/>
        <item x="17"/>
        <item x="167"/>
        <item x="109"/>
        <item x="110"/>
        <item x="171"/>
        <item x="14"/>
        <item x="29"/>
        <item x="35"/>
        <item x="5"/>
        <item x="176"/>
        <item x="39"/>
        <item x="81"/>
        <item x="121"/>
        <item x="8"/>
        <item x="36"/>
        <item x="78"/>
        <item x="41"/>
        <item x="48"/>
        <item x="70"/>
        <item x="130"/>
        <item x="175"/>
        <item x="79"/>
        <item x="87"/>
        <item x="122"/>
        <item x="86"/>
        <item x="30"/>
        <item x="6"/>
        <item x="31"/>
        <item x="12"/>
        <item x="172"/>
        <item x="156"/>
        <item x="165"/>
        <item x="151"/>
        <item x="106"/>
        <item x="47"/>
        <item x="84"/>
        <item x="132"/>
        <item x="103"/>
        <item x="150"/>
        <item x="145"/>
        <item x="80"/>
        <item x="66"/>
        <item x="22"/>
        <item x="139"/>
        <item x="83"/>
        <item x="152"/>
        <item x="91"/>
        <item x="9"/>
        <item x="28"/>
        <item x="4"/>
        <item x="63"/>
        <item x="62"/>
        <item x="33"/>
        <item x="147"/>
        <item x="55"/>
        <item x="74"/>
        <item x="143"/>
        <item x="133"/>
        <item x="93"/>
        <item x="45"/>
        <item x="159"/>
        <item x="92"/>
        <item x="128"/>
        <item x="178"/>
        <item x="166"/>
        <item x="108"/>
        <item x="180"/>
        <item x="49"/>
        <item x="51"/>
        <item x="89"/>
        <item x="7"/>
        <item x="24"/>
        <item x="76"/>
        <item x="111"/>
        <item x="98"/>
        <item x="170"/>
        <item x="42"/>
        <item x="113"/>
        <item x="69"/>
        <item x="2"/>
        <item x="46"/>
        <item x="64"/>
        <item x="15"/>
        <item x="97"/>
        <item x="52"/>
        <item x="169"/>
        <item x="54"/>
        <item x="112"/>
        <item x="67"/>
        <item x="140"/>
        <item x="32"/>
        <item x="59"/>
        <item x="50"/>
        <item x="40"/>
        <item x="115"/>
        <item x="19"/>
        <item x="26"/>
        <item x="179"/>
        <item x="149"/>
        <item x="100"/>
        <item x="102"/>
        <item x="44"/>
        <item x="137"/>
        <item x="72"/>
        <item x="53"/>
        <item x="129"/>
        <item x="13"/>
        <item x="99"/>
        <item x="61"/>
        <item x="158"/>
        <item x="77"/>
        <item x="157"/>
        <item x="90"/>
        <item x="73"/>
        <item x="94"/>
        <item x="38"/>
        <item x="10"/>
        <item x="126"/>
        <item x="134"/>
        <item x="168"/>
        <item x="101"/>
        <item x="25"/>
        <item x="116"/>
        <item x="21"/>
        <item x="11"/>
        <item x="154"/>
        <item x="104"/>
        <item x="163"/>
        <item x="0"/>
        <item x="135"/>
        <item x="155"/>
        <item x="16"/>
        <item x="1"/>
        <item x="160"/>
        <item x="71"/>
        <item x="173"/>
        <item x="125"/>
        <item x="131"/>
        <item x="43"/>
        <item x="119"/>
        <item x="3"/>
        <item x="88"/>
        <item x="65"/>
        <item x="164"/>
        <item x="144"/>
        <item x="146"/>
        <item x="23"/>
        <item x="114"/>
        <item x="105"/>
        <item x="142"/>
        <item x="174"/>
        <item x="85"/>
        <item x="60"/>
        <item x="117"/>
        <item x="82"/>
        <item x="136"/>
        <item x="96"/>
        <item x="95"/>
        <item x="161"/>
        <item x="107"/>
        <item x="120"/>
        <item x="75"/>
        <item x="56"/>
        <item x="127"/>
        <item x="148"/>
        <item x="118"/>
        <item x="68"/>
        <item x="57"/>
        <item x="141"/>
        <item x="153"/>
        <item x="34"/>
        <item x="58"/>
        <item x="162"/>
        <item x="177"/>
        <item x="124"/>
        <item x="37"/>
        <item x="2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A30F2-0613-451E-808E-8162C35832F4}" name="PivotTable2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H8:I13" firstHeaderRow="1" firstDataRow="1" firstDataCol="1"/>
  <pivotFields count="24">
    <pivotField showAll="0"/>
    <pivotField numFmtId="169" showAll="0">
      <items count="182">
        <item x="18"/>
        <item x="138"/>
        <item x="27"/>
        <item x="123"/>
        <item x="17"/>
        <item x="167"/>
        <item x="109"/>
        <item x="110"/>
        <item x="171"/>
        <item x="14"/>
        <item x="29"/>
        <item x="35"/>
        <item x="5"/>
        <item x="176"/>
        <item x="39"/>
        <item x="81"/>
        <item x="121"/>
        <item x="8"/>
        <item x="36"/>
        <item x="78"/>
        <item x="41"/>
        <item x="48"/>
        <item x="70"/>
        <item x="130"/>
        <item x="175"/>
        <item x="79"/>
        <item x="87"/>
        <item x="122"/>
        <item x="86"/>
        <item x="30"/>
        <item x="6"/>
        <item x="31"/>
        <item x="12"/>
        <item x="172"/>
        <item x="156"/>
        <item x="165"/>
        <item x="151"/>
        <item x="106"/>
        <item x="47"/>
        <item x="84"/>
        <item x="132"/>
        <item x="103"/>
        <item x="150"/>
        <item x="145"/>
        <item x="80"/>
        <item x="66"/>
        <item x="22"/>
        <item x="139"/>
        <item x="83"/>
        <item x="152"/>
        <item x="91"/>
        <item x="9"/>
        <item x="28"/>
        <item x="4"/>
        <item x="63"/>
        <item x="62"/>
        <item x="33"/>
        <item x="147"/>
        <item x="55"/>
        <item x="74"/>
        <item x="143"/>
        <item x="133"/>
        <item x="93"/>
        <item x="45"/>
        <item x="159"/>
        <item x="92"/>
        <item x="128"/>
        <item x="178"/>
        <item x="166"/>
        <item x="108"/>
        <item x="180"/>
        <item x="49"/>
        <item x="51"/>
        <item x="89"/>
        <item x="7"/>
        <item x="24"/>
        <item x="76"/>
        <item x="111"/>
        <item x="98"/>
        <item x="170"/>
        <item x="42"/>
        <item x="113"/>
        <item x="69"/>
        <item x="2"/>
        <item x="46"/>
        <item x="64"/>
        <item x="15"/>
        <item x="97"/>
        <item x="52"/>
        <item x="169"/>
        <item x="54"/>
        <item x="112"/>
        <item x="67"/>
        <item x="140"/>
        <item x="32"/>
        <item x="59"/>
        <item x="50"/>
        <item x="40"/>
        <item x="115"/>
        <item x="19"/>
        <item x="26"/>
        <item x="179"/>
        <item x="149"/>
        <item x="100"/>
        <item x="102"/>
        <item x="44"/>
        <item x="137"/>
        <item x="72"/>
        <item x="53"/>
        <item x="129"/>
        <item x="13"/>
        <item x="99"/>
        <item x="61"/>
        <item x="158"/>
        <item x="77"/>
        <item x="157"/>
        <item x="90"/>
        <item x="73"/>
        <item x="94"/>
        <item x="38"/>
        <item x="10"/>
        <item x="126"/>
        <item x="134"/>
        <item x="168"/>
        <item x="101"/>
        <item x="25"/>
        <item x="116"/>
        <item x="21"/>
        <item x="11"/>
        <item x="154"/>
        <item x="104"/>
        <item x="163"/>
        <item x="0"/>
        <item x="135"/>
        <item x="155"/>
        <item x="16"/>
        <item x="1"/>
        <item x="160"/>
        <item x="71"/>
        <item x="173"/>
        <item x="125"/>
        <item x="131"/>
        <item x="43"/>
        <item x="119"/>
        <item x="3"/>
        <item x="88"/>
        <item x="65"/>
        <item x="164"/>
        <item x="144"/>
        <item x="146"/>
        <item x="23"/>
        <item x="114"/>
        <item x="105"/>
        <item x="142"/>
        <item x="174"/>
        <item x="85"/>
        <item x="60"/>
        <item x="117"/>
        <item x="82"/>
        <item x="136"/>
        <item x="96"/>
        <item x="95"/>
        <item x="161"/>
        <item x="107"/>
        <item x="120"/>
        <item x="75"/>
        <item x="56"/>
        <item x="127"/>
        <item x="148"/>
        <item x="118"/>
        <item x="68"/>
        <item x="57"/>
        <item x="141"/>
        <item x="153"/>
        <item x="34"/>
        <item x="58"/>
        <item x="162"/>
        <item x="177"/>
        <item x="124"/>
        <item x="3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BD51C-759E-4A2E-A362-0A6E28C45E6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2:I29" firstHeaderRow="1" firstDataRow="1" firstDataCol="1"/>
  <pivotFields count="24">
    <pivotField showAll="0"/>
    <pivotField axis="axisRow" numFmtId="169" showAll="0">
      <items count="182">
        <item x="18"/>
        <item x="138"/>
        <item x="27"/>
        <item x="123"/>
        <item x="17"/>
        <item x="167"/>
        <item x="109"/>
        <item x="110"/>
        <item x="171"/>
        <item x="14"/>
        <item x="29"/>
        <item x="35"/>
        <item x="5"/>
        <item x="176"/>
        <item x="39"/>
        <item x="81"/>
        <item x="121"/>
        <item x="8"/>
        <item x="36"/>
        <item x="78"/>
        <item x="41"/>
        <item x="48"/>
        <item x="70"/>
        <item x="130"/>
        <item x="175"/>
        <item x="79"/>
        <item x="87"/>
        <item x="122"/>
        <item x="86"/>
        <item x="30"/>
        <item x="6"/>
        <item x="31"/>
        <item x="12"/>
        <item x="172"/>
        <item x="156"/>
        <item x="165"/>
        <item x="151"/>
        <item x="106"/>
        <item x="47"/>
        <item x="84"/>
        <item x="132"/>
        <item x="103"/>
        <item x="150"/>
        <item x="145"/>
        <item x="80"/>
        <item x="66"/>
        <item x="22"/>
        <item x="139"/>
        <item x="83"/>
        <item x="152"/>
        <item x="91"/>
        <item x="9"/>
        <item x="28"/>
        <item x="4"/>
        <item x="63"/>
        <item x="62"/>
        <item x="33"/>
        <item x="147"/>
        <item x="55"/>
        <item x="74"/>
        <item x="143"/>
        <item x="133"/>
        <item x="93"/>
        <item x="45"/>
        <item x="159"/>
        <item x="92"/>
        <item x="128"/>
        <item x="178"/>
        <item x="166"/>
        <item x="108"/>
        <item x="180"/>
        <item x="49"/>
        <item x="51"/>
        <item x="89"/>
        <item x="7"/>
        <item x="24"/>
        <item x="76"/>
        <item x="111"/>
        <item x="98"/>
        <item x="170"/>
        <item x="42"/>
        <item x="113"/>
        <item x="69"/>
        <item x="2"/>
        <item x="46"/>
        <item x="64"/>
        <item x="15"/>
        <item x="97"/>
        <item x="52"/>
        <item x="169"/>
        <item x="54"/>
        <item x="112"/>
        <item x="67"/>
        <item x="140"/>
        <item x="32"/>
        <item x="59"/>
        <item x="50"/>
        <item x="40"/>
        <item x="115"/>
        <item x="19"/>
        <item x="26"/>
        <item x="179"/>
        <item x="149"/>
        <item x="100"/>
        <item x="102"/>
        <item x="44"/>
        <item x="137"/>
        <item x="72"/>
        <item x="53"/>
        <item x="129"/>
        <item x="13"/>
        <item x="99"/>
        <item x="61"/>
        <item x="158"/>
        <item x="77"/>
        <item x="157"/>
        <item x="90"/>
        <item x="73"/>
        <item x="94"/>
        <item x="38"/>
        <item x="10"/>
        <item x="126"/>
        <item x="134"/>
        <item x="168"/>
        <item x="101"/>
        <item x="25"/>
        <item x="116"/>
        <item x="21"/>
        <item x="11"/>
        <item x="154"/>
        <item x="104"/>
        <item x="163"/>
        <item x="0"/>
        <item x="135"/>
        <item x="155"/>
        <item x="16"/>
        <item x="1"/>
        <item x="160"/>
        <item x="71"/>
        <item x="173"/>
        <item x="125"/>
        <item x="131"/>
        <item x="43"/>
        <item x="119"/>
        <item x="3"/>
        <item x="88"/>
        <item x="65"/>
        <item x="164"/>
        <item x="144"/>
        <item x="146"/>
        <item x="23"/>
        <item x="114"/>
        <item x="105"/>
        <item x="142"/>
        <item x="174"/>
        <item x="85"/>
        <item x="60"/>
        <item x="117"/>
        <item x="82"/>
        <item x="136"/>
        <item x="96"/>
        <item x="95"/>
        <item x="161"/>
        <item x="107"/>
        <item x="120"/>
        <item x="75"/>
        <item x="56"/>
        <item x="127"/>
        <item x="148"/>
        <item x="118"/>
        <item x="68"/>
        <item x="57"/>
        <item x="141"/>
        <item x="153"/>
        <item x="34"/>
        <item x="58"/>
        <item x="162"/>
        <item x="177"/>
        <item x="124"/>
        <item x="3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23"/>
    <field x="22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1"/>
  <sheetViews>
    <sheetView workbookViewId="0">
      <selection activeCell="B8" sqref="B8"/>
    </sheetView>
  </sheetViews>
  <sheetFormatPr defaultRowHeight="14.4" x14ac:dyDescent="0.3"/>
  <cols>
    <col min="1" max="1" width="12.77734375" customWidth="1"/>
    <col min="2" max="2" width="21.44140625" style="7" customWidth="1"/>
    <col min="3" max="6" width="12.77734375" customWidth="1"/>
    <col min="7" max="7" width="15.77734375" customWidth="1"/>
    <col min="8" max="22" width="12.77734375" customWidth="1"/>
  </cols>
  <sheetData>
    <row r="1" spans="1:22" x14ac:dyDescent="0.3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</row>
    <row r="2" spans="1:22" x14ac:dyDescent="0.3">
      <c r="A2" s="5" t="s">
        <v>22</v>
      </c>
      <c r="B2" s="6">
        <v>46155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>
        <v>5</v>
      </c>
      <c r="M2" s="5">
        <v>27720</v>
      </c>
      <c r="N2" s="5">
        <v>10</v>
      </c>
      <c r="O2" s="5">
        <v>124740</v>
      </c>
      <c r="P2" s="5">
        <v>110047.41</v>
      </c>
      <c r="Q2" s="5">
        <v>14692.59</v>
      </c>
      <c r="R2" s="5" t="s">
        <v>32</v>
      </c>
      <c r="S2" s="5" t="s">
        <v>33</v>
      </c>
      <c r="T2" s="5" t="s">
        <v>34</v>
      </c>
      <c r="U2" s="5">
        <v>4</v>
      </c>
      <c r="V2" s="5" t="s">
        <v>35</v>
      </c>
    </row>
    <row r="3" spans="1:22" x14ac:dyDescent="0.3">
      <c r="A3" s="5" t="s">
        <v>36</v>
      </c>
      <c r="B3" s="6">
        <v>46159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30</v>
      </c>
      <c r="K3" s="5" t="s">
        <v>31</v>
      </c>
      <c r="L3" s="5">
        <v>1</v>
      </c>
      <c r="M3" s="5">
        <v>73635</v>
      </c>
      <c r="N3" s="5">
        <v>15</v>
      </c>
      <c r="O3" s="5">
        <v>62589.75</v>
      </c>
      <c r="P3" s="5">
        <v>56147.55</v>
      </c>
      <c r="Q3" s="5">
        <v>6442.2</v>
      </c>
      <c r="R3" s="5" t="s">
        <v>44</v>
      </c>
      <c r="S3" s="5" t="s">
        <v>33</v>
      </c>
      <c r="T3" s="5" t="s">
        <v>34</v>
      </c>
      <c r="U3" s="5">
        <v>1</v>
      </c>
      <c r="V3" s="5" t="s">
        <v>45</v>
      </c>
    </row>
    <row r="4" spans="1:22" x14ac:dyDescent="0.3">
      <c r="A4" s="5" t="s">
        <v>46</v>
      </c>
      <c r="B4" s="6">
        <v>46106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>
        <v>2</v>
      </c>
      <c r="M4" s="5">
        <v>73753</v>
      </c>
      <c r="N4" s="5">
        <v>0</v>
      </c>
      <c r="O4" s="5">
        <v>147506</v>
      </c>
      <c r="P4" s="5">
        <v>117588.51</v>
      </c>
      <c r="Q4" s="5">
        <v>29917.49</v>
      </c>
      <c r="R4" s="5" t="s">
        <v>44</v>
      </c>
      <c r="S4" s="5" t="s">
        <v>33</v>
      </c>
      <c r="T4" s="5" t="s">
        <v>34</v>
      </c>
      <c r="U4" s="5">
        <v>5</v>
      </c>
      <c r="V4" s="5" t="s">
        <v>45</v>
      </c>
    </row>
    <row r="5" spans="1:22" x14ac:dyDescent="0.3">
      <c r="A5" s="5" t="s">
        <v>56</v>
      </c>
      <c r="B5" s="6">
        <v>46167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61</v>
      </c>
      <c r="H5" s="5" t="s">
        <v>62</v>
      </c>
      <c r="I5" s="5" t="s">
        <v>63</v>
      </c>
      <c r="J5" s="5" t="s">
        <v>54</v>
      </c>
      <c r="K5" s="5" t="s">
        <v>55</v>
      </c>
      <c r="L5" s="5">
        <v>3</v>
      </c>
      <c r="M5" s="5">
        <v>18611</v>
      </c>
      <c r="N5" s="5">
        <v>15</v>
      </c>
      <c r="O5" s="5">
        <v>47458.05</v>
      </c>
      <c r="P5" s="5">
        <v>40125.480000000003</v>
      </c>
      <c r="Q5" s="5">
        <v>7332.57</v>
      </c>
      <c r="R5" s="5" t="s">
        <v>64</v>
      </c>
      <c r="S5" s="5" t="s">
        <v>33</v>
      </c>
      <c r="T5" s="5" t="s">
        <v>65</v>
      </c>
      <c r="U5" s="5">
        <v>3</v>
      </c>
      <c r="V5" s="5" t="s">
        <v>45</v>
      </c>
    </row>
    <row r="6" spans="1:22" x14ac:dyDescent="0.3">
      <c r="A6" s="5" t="s">
        <v>66</v>
      </c>
      <c r="B6" s="6">
        <v>46076</v>
      </c>
      <c r="C6" s="5" t="s">
        <v>67</v>
      </c>
      <c r="D6" s="5" t="s">
        <v>68</v>
      </c>
      <c r="E6" s="5" t="s">
        <v>39</v>
      </c>
      <c r="F6" s="5" t="s">
        <v>40</v>
      </c>
      <c r="G6" s="5" t="s">
        <v>41</v>
      </c>
      <c r="H6" s="5" t="s">
        <v>69</v>
      </c>
      <c r="I6" s="5" t="s">
        <v>70</v>
      </c>
      <c r="J6" s="5" t="s">
        <v>71</v>
      </c>
      <c r="K6" s="5" t="s">
        <v>72</v>
      </c>
      <c r="L6" s="5">
        <v>3</v>
      </c>
      <c r="M6" s="5">
        <v>19914</v>
      </c>
      <c r="N6" s="5">
        <v>10</v>
      </c>
      <c r="O6" s="5">
        <v>53767.8</v>
      </c>
      <c r="P6" s="5">
        <v>37965.300000000003</v>
      </c>
      <c r="Q6" s="5">
        <v>15802.5</v>
      </c>
      <c r="R6" s="5" t="s">
        <v>44</v>
      </c>
      <c r="S6" s="5" t="s">
        <v>33</v>
      </c>
      <c r="T6" s="5" t="s">
        <v>73</v>
      </c>
      <c r="U6" s="5">
        <v>1</v>
      </c>
      <c r="V6" s="5" t="s">
        <v>35</v>
      </c>
    </row>
    <row r="7" spans="1:22" x14ac:dyDescent="0.3">
      <c r="A7" s="5" t="s">
        <v>74</v>
      </c>
      <c r="B7" s="6">
        <v>46035</v>
      </c>
      <c r="C7" s="5" t="s">
        <v>75</v>
      </c>
      <c r="D7" s="5" t="s">
        <v>76</v>
      </c>
      <c r="E7" s="5" t="s">
        <v>77</v>
      </c>
      <c r="F7" s="5" t="s">
        <v>78</v>
      </c>
      <c r="G7" s="5" t="s">
        <v>41</v>
      </c>
      <c r="H7" s="5" t="s">
        <v>79</v>
      </c>
      <c r="I7" s="5" t="s">
        <v>80</v>
      </c>
      <c r="J7" s="5" t="s">
        <v>71</v>
      </c>
      <c r="K7" s="5" t="s">
        <v>81</v>
      </c>
      <c r="L7" s="5">
        <v>2</v>
      </c>
      <c r="M7" s="5">
        <v>44996</v>
      </c>
      <c r="N7" s="5">
        <v>20</v>
      </c>
      <c r="O7" s="5">
        <v>71993.600000000006</v>
      </c>
      <c r="P7" s="5">
        <v>54910.48</v>
      </c>
      <c r="Q7" s="5">
        <v>17083.12</v>
      </c>
      <c r="R7" s="5" t="s">
        <v>32</v>
      </c>
      <c r="S7" s="5" t="s">
        <v>82</v>
      </c>
      <c r="T7" s="5" t="s">
        <v>34</v>
      </c>
      <c r="U7" s="5">
        <v>2</v>
      </c>
      <c r="V7" s="5" t="s">
        <v>35</v>
      </c>
    </row>
    <row r="8" spans="1:22" x14ac:dyDescent="0.3">
      <c r="A8" s="5" t="s">
        <v>83</v>
      </c>
      <c r="B8" s="6">
        <v>46053</v>
      </c>
      <c r="C8" s="5" t="s">
        <v>84</v>
      </c>
      <c r="D8" s="5" t="s">
        <v>76</v>
      </c>
      <c r="E8" s="5" t="s">
        <v>59</v>
      </c>
      <c r="F8" s="5" t="s">
        <v>60</v>
      </c>
      <c r="G8" s="5" t="s">
        <v>61</v>
      </c>
      <c r="H8" s="5" t="s">
        <v>85</v>
      </c>
      <c r="I8" s="5" t="s">
        <v>86</v>
      </c>
      <c r="J8" s="5" t="s">
        <v>71</v>
      </c>
      <c r="K8" s="5" t="s">
        <v>72</v>
      </c>
      <c r="L8" s="5">
        <v>3</v>
      </c>
      <c r="M8" s="5">
        <v>54196</v>
      </c>
      <c r="N8" s="5">
        <v>20</v>
      </c>
      <c r="O8" s="5">
        <v>130070.39999999999</v>
      </c>
      <c r="P8" s="5">
        <v>106515.81</v>
      </c>
      <c r="Q8" s="5">
        <v>23554.59</v>
      </c>
      <c r="R8" s="5" t="s">
        <v>32</v>
      </c>
      <c r="S8" s="5" t="s">
        <v>33</v>
      </c>
      <c r="T8" s="5" t="s">
        <v>65</v>
      </c>
      <c r="U8" s="5">
        <v>4</v>
      </c>
      <c r="V8" s="5" t="s">
        <v>45</v>
      </c>
    </row>
    <row r="9" spans="1:22" ht="15" customHeight="1" x14ac:dyDescent="0.3">
      <c r="A9" s="5" t="s">
        <v>87</v>
      </c>
      <c r="B9" s="6">
        <v>46097</v>
      </c>
      <c r="C9" s="5" t="s">
        <v>88</v>
      </c>
      <c r="D9" s="5" t="s">
        <v>89</v>
      </c>
      <c r="E9" s="5" t="s">
        <v>59</v>
      </c>
      <c r="F9" s="5" t="s">
        <v>60</v>
      </c>
      <c r="G9" s="5" t="s">
        <v>61</v>
      </c>
      <c r="H9" s="5" t="s">
        <v>90</v>
      </c>
      <c r="I9" s="5" t="s">
        <v>91</v>
      </c>
      <c r="J9" s="5" t="s">
        <v>71</v>
      </c>
      <c r="K9" s="5" t="s">
        <v>81</v>
      </c>
      <c r="L9" s="5">
        <v>3</v>
      </c>
      <c r="M9" s="5">
        <v>66370</v>
      </c>
      <c r="N9" s="5">
        <v>10</v>
      </c>
      <c r="O9" s="5">
        <v>179199</v>
      </c>
      <c r="P9" s="5">
        <v>163264.22</v>
      </c>
      <c r="Q9" s="5">
        <v>15934.78</v>
      </c>
      <c r="R9" s="5" t="s">
        <v>64</v>
      </c>
      <c r="S9" s="5" t="s">
        <v>82</v>
      </c>
      <c r="T9" s="5" t="s">
        <v>65</v>
      </c>
      <c r="U9" s="5">
        <v>1</v>
      </c>
      <c r="V9" s="5" t="s">
        <v>45</v>
      </c>
    </row>
    <row r="10" spans="1:22" x14ac:dyDescent="0.3">
      <c r="A10" s="5" t="s">
        <v>92</v>
      </c>
      <c r="B10" s="6">
        <v>46040</v>
      </c>
      <c r="C10" s="5" t="s">
        <v>93</v>
      </c>
      <c r="D10" s="5" t="s">
        <v>38</v>
      </c>
      <c r="E10" s="5" t="s">
        <v>94</v>
      </c>
      <c r="F10" s="5" t="s">
        <v>26</v>
      </c>
      <c r="G10" s="5" t="s">
        <v>27</v>
      </c>
      <c r="H10" s="5" t="s">
        <v>95</v>
      </c>
      <c r="I10" s="5" t="s">
        <v>96</v>
      </c>
      <c r="J10" s="5" t="s">
        <v>54</v>
      </c>
      <c r="K10" s="5" t="s">
        <v>97</v>
      </c>
      <c r="L10" s="5">
        <v>4</v>
      </c>
      <c r="M10" s="5">
        <v>6035</v>
      </c>
      <c r="N10" s="5">
        <v>20</v>
      </c>
      <c r="O10" s="5">
        <v>19312</v>
      </c>
      <c r="P10" s="5">
        <v>19952.77</v>
      </c>
      <c r="Q10" s="5">
        <v>-640.77</v>
      </c>
      <c r="R10" s="5" t="s">
        <v>44</v>
      </c>
      <c r="S10" s="5" t="s">
        <v>33</v>
      </c>
      <c r="T10" s="5" t="s">
        <v>34</v>
      </c>
      <c r="U10" s="5">
        <v>3</v>
      </c>
      <c r="V10" s="5" t="s">
        <v>35</v>
      </c>
    </row>
    <row r="11" spans="1:22" x14ac:dyDescent="0.3">
      <c r="A11" s="5" t="s">
        <v>98</v>
      </c>
      <c r="B11" s="6">
        <v>46074</v>
      </c>
      <c r="C11" s="5" t="s">
        <v>99</v>
      </c>
      <c r="D11" s="5" t="s">
        <v>48</v>
      </c>
      <c r="E11" s="5" t="s">
        <v>59</v>
      </c>
      <c r="F11" s="5" t="s">
        <v>60</v>
      </c>
      <c r="G11" s="5" t="s">
        <v>61</v>
      </c>
      <c r="H11" s="5" t="s">
        <v>100</v>
      </c>
      <c r="I11" s="5" t="s">
        <v>101</v>
      </c>
      <c r="J11" s="5" t="s">
        <v>102</v>
      </c>
      <c r="K11" s="5" t="s">
        <v>103</v>
      </c>
      <c r="L11" s="5">
        <v>3</v>
      </c>
      <c r="M11" s="5">
        <v>41563</v>
      </c>
      <c r="N11" s="5">
        <v>20</v>
      </c>
      <c r="O11" s="5">
        <v>99751.2</v>
      </c>
      <c r="P11" s="5">
        <v>87180.86</v>
      </c>
      <c r="Q11" s="5">
        <v>12570.34</v>
      </c>
      <c r="R11" s="5" t="s">
        <v>44</v>
      </c>
      <c r="S11" s="5" t="s">
        <v>33</v>
      </c>
      <c r="T11" s="5" t="s">
        <v>73</v>
      </c>
      <c r="U11" s="5">
        <v>1</v>
      </c>
      <c r="V11" s="5" t="s">
        <v>45</v>
      </c>
    </row>
    <row r="12" spans="1:22" x14ac:dyDescent="0.3">
      <c r="A12" s="5" t="s">
        <v>104</v>
      </c>
      <c r="B12" s="6">
        <v>46143</v>
      </c>
      <c r="C12" s="5" t="s">
        <v>105</v>
      </c>
      <c r="D12" s="5" t="s">
        <v>38</v>
      </c>
      <c r="E12" s="5" t="s">
        <v>49</v>
      </c>
      <c r="F12" s="5" t="s">
        <v>50</v>
      </c>
      <c r="G12" s="5" t="s">
        <v>51</v>
      </c>
      <c r="H12" s="5" t="s">
        <v>106</v>
      </c>
      <c r="I12" s="5" t="s">
        <v>107</v>
      </c>
      <c r="J12" s="5" t="s">
        <v>30</v>
      </c>
      <c r="K12" s="5" t="s">
        <v>31</v>
      </c>
      <c r="L12" s="5">
        <v>1</v>
      </c>
      <c r="M12" s="5">
        <v>60732</v>
      </c>
      <c r="N12" s="5">
        <v>20</v>
      </c>
      <c r="O12" s="5">
        <v>48585.599999999999</v>
      </c>
      <c r="P12" s="5">
        <v>36918.160000000003</v>
      </c>
      <c r="Q12" s="5">
        <v>11667.44</v>
      </c>
      <c r="R12" s="5" t="s">
        <v>44</v>
      </c>
      <c r="S12" s="5" t="s">
        <v>33</v>
      </c>
      <c r="T12" s="5" t="s">
        <v>73</v>
      </c>
      <c r="U12" s="5">
        <v>5</v>
      </c>
      <c r="V12" s="5" t="s">
        <v>45</v>
      </c>
    </row>
    <row r="13" spans="1:22" x14ac:dyDescent="0.3">
      <c r="A13" s="5" t="s">
        <v>108</v>
      </c>
      <c r="B13" s="6">
        <v>46151</v>
      </c>
      <c r="C13" s="5" t="s">
        <v>109</v>
      </c>
      <c r="D13" s="5" t="s">
        <v>110</v>
      </c>
      <c r="E13" s="5" t="s">
        <v>39</v>
      </c>
      <c r="F13" s="5" t="s">
        <v>40</v>
      </c>
      <c r="G13" s="5" t="s">
        <v>41</v>
      </c>
      <c r="H13" s="5" t="s">
        <v>28</v>
      </c>
      <c r="I13" s="5" t="s">
        <v>29</v>
      </c>
      <c r="J13" s="5" t="s">
        <v>30</v>
      </c>
      <c r="K13" s="5" t="s">
        <v>31</v>
      </c>
      <c r="L13" s="5">
        <v>3</v>
      </c>
      <c r="M13" s="5">
        <v>56160</v>
      </c>
      <c r="N13" s="5">
        <v>5</v>
      </c>
      <c r="O13" s="5">
        <v>160056</v>
      </c>
      <c r="P13" s="5">
        <v>111084.13</v>
      </c>
      <c r="Q13" s="5">
        <v>48971.87</v>
      </c>
      <c r="R13" s="5" t="s">
        <v>32</v>
      </c>
      <c r="S13" s="5" t="s">
        <v>33</v>
      </c>
      <c r="T13" s="5" t="s">
        <v>65</v>
      </c>
      <c r="U13" s="5">
        <v>2</v>
      </c>
      <c r="V13" s="5" t="s">
        <v>35</v>
      </c>
    </row>
    <row r="14" spans="1:22" x14ac:dyDescent="0.3">
      <c r="A14" s="5" t="s">
        <v>111</v>
      </c>
      <c r="B14" s="6">
        <v>46055</v>
      </c>
      <c r="C14" s="5" t="s">
        <v>112</v>
      </c>
      <c r="D14" s="5" t="s">
        <v>68</v>
      </c>
      <c r="E14" s="5" t="s">
        <v>49</v>
      </c>
      <c r="F14" s="5" t="s">
        <v>50</v>
      </c>
      <c r="G14" s="5" t="s">
        <v>51</v>
      </c>
      <c r="H14" s="5" t="s">
        <v>113</v>
      </c>
      <c r="I14" s="5" t="s">
        <v>114</v>
      </c>
      <c r="J14" s="5" t="s">
        <v>102</v>
      </c>
      <c r="K14" s="5" t="s">
        <v>103</v>
      </c>
      <c r="L14" s="5">
        <v>2</v>
      </c>
      <c r="M14" s="5">
        <v>716</v>
      </c>
      <c r="N14" s="5">
        <v>5</v>
      </c>
      <c r="O14" s="5">
        <v>1360.4</v>
      </c>
      <c r="P14" s="5">
        <v>821.02</v>
      </c>
      <c r="Q14" s="5">
        <v>539.38</v>
      </c>
      <c r="R14" s="5" t="s">
        <v>44</v>
      </c>
      <c r="S14" s="5" t="s">
        <v>82</v>
      </c>
      <c r="T14" s="5" t="s">
        <v>73</v>
      </c>
      <c r="U14" s="5">
        <v>3</v>
      </c>
      <c r="V14" s="5" t="s">
        <v>35</v>
      </c>
    </row>
    <row r="15" spans="1:22" x14ac:dyDescent="0.3">
      <c r="A15" s="5" t="s">
        <v>115</v>
      </c>
      <c r="B15" s="6">
        <v>46133</v>
      </c>
      <c r="C15" s="5" t="s">
        <v>116</v>
      </c>
      <c r="D15" s="5" t="s">
        <v>117</v>
      </c>
      <c r="E15" s="5" t="s">
        <v>94</v>
      </c>
      <c r="F15" s="5" t="s">
        <v>26</v>
      </c>
      <c r="G15" s="5" t="s">
        <v>27</v>
      </c>
      <c r="H15" s="5" t="s">
        <v>118</v>
      </c>
      <c r="I15" s="5" t="s">
        <v>119</v>
      </c>
      <c r="J15" s="5" t="s">
        <v>54</v>
      </c>
      <c r="K15" s="5" t="s">
        <v>97</v>
      </c>
      <c r="L15" s="5">
        <v>5</v>
      </c>
      <c r="M15" s="5">
        <v>16942</v>
      </c>
      <c r="N15" s="5">
        <v>5</v>
      </c>
      <c r="O15" s="5">
        <v>80474.5</v>
      </c>
      <c r="P15" s="5">
        <v>49637.5</v>
      </c>
      <c r="Q15" s="5">
        <v>30837</v>
      </c>
      <c r="R15" s="5" t="s">
        <v>64</v>
      </c>
      <c r="S15" s="5" t="s">
        <v>82</v>
      </c>
      <c r="T15" s="5" t="s">
        <v>34</v>
      </c>
      <c r="U15" s="5">
        <v>3</v>
      </c>
      <c r="V15" s="5" t="s">
        <v>35</v>
      </c>
    </row>
    <row r="16" spans="1:22" x14ac:dyDescent="0.3">
      <c r="A16" s="5" t="s">
        <v>120</v>
      </c>
      <c r="B16" s="6">
        <v>46032</v>
      </c>
      <c r="C16" s="5" t="s">
        <v>121</v>
      </c>
      <c r="D16" s="5" t="s">
        <v>89</v>
      </c>
      <c r="E16" s="5" t="s">
        <v>39</v>
      </c>
      <c r="F16" s="5" t="s">
        <v>40</v>
      </c>
      <c r="G16" s="5" t="s">
        <v>41</v>
      </c>
      <c r="H16" s="5" t="s">
        <v>122</v>
      </c>
      <c r="I16" s="5" t="s">
        <v>123</v>
      </c>
      <c r="J16" s="5" t="s">
        <v>30</v>
      </c>
      <c r="K16" s="5" t="s">
        <v>31</v>
      </c>
      <c r="L16" s="5">
        <v>2</v>
      </c>
      <c r="M16" s="5">
        <v>24924</v>
      </c>
      <c r="N16" s="5">
        <v>10</v>
      </c>
      <c r="O16" s="5">
        <v>44863.199999999997</v>
      </c>
      <c r="P16" s="5">
        <v>29487.63</v>
      </c>
      <c r="Q16" s="5">
        <v>15375.57</v>
      </c>
      <c r="R16" s="5" t="s">
        <v>64</v>
      </c>
      <c r="S16" s="5" t="s">
        <v>33</v>
      </c>
      <c r="T16" s="5" t="s">
        <v>65</v>
      </c>
      <c r="U16" s="5">
        <v>5</v>
      </c>
      <c r="V16" s="5" t="s">
        <v>35</v>
      </c>
    </row>
    <row r="17" spans="1:22" x14ac:dyDescent="0.3">
      <c r="A17" s="5" t="s">
        <v>124</v>
      </c>
      <c r="B17" s="6">
        <v>46109</v>
      </c>
      <c r="C17" s="5" t="s">
        <v>125</v>
      </c>
      <c r="D17" s="5" t="s">
        <v>24</v>
      </c>
      <c r="E17" s="5" t="s">
        <v>126</v>
      </c>
      <c r="F17" s="5" t="s">
        <v>126</v>
      </c>
      <c r="G17" s="5" t="s">
        <v>51</v>
      </c>
      <c r="H17" s="5" t="s">
        <v>127</v>
      </c>
      <c r="I17" s="5" t="s">
        <v>128</v>
      </c>
      <c r="J17" s="5" t="s">
        <v>102</v>
      </c>
      <c r="K17" s="5" t="s">
        <v>103</v>
      </c>
      <c r="L17" s="5">
        <v>1</v>
      </c>
      <c r="M17" s="5">
        <v>41931</v>
      </c>
      <c r="N17" s="5">
        <v>20</v>
      </c>
      <c r="O17" s="5">
        <v>33544.800000000003</v>
      </c>
      <c r="P17" s="5">
        <v>23915.53</v>
      </c>
      <c r="Q17" s="5">
        <v>9629.27</v>
      </c>
      <c r="R17" s="5" t="s">
        <v>44</v>
      </c>
      <c r="S17" s="5" t="s">
        <v>33</v>
      </c>
      <c r="T17" s="5" t="s">
        <v>34</v>
      </c>
      <c r="U17" s="5">
        <v>1</v>
      </c>
      <c r="V17" s="5" t="s">
        <v>35</v>
      </c>
    </row>
    <row r="18" spans="1:22" x14ac:dyDescent="0.3">
      <c r="A18" s="5" t="s">
        <v>129</v>
      </c>
      <c r="B18" s="6">
        <v>46158</v>
      </c>
      <c r="C18" s="5" t="s">
        <v>130</v>
      </c>
      <c r="D18" s="5" t="s">
        <v>76</v>
      </c>
      <c r="E18" s="5" t="s">
        <v>59</v>
      </c>
      <c r="F18" s="5" t="s">
        <v>60</v>
      </c>
      <c r="G18" s="5" t="s">
        <v>61</v>
      </c>
      <c r="H18" s="5" t="s">
        <v>131</v>
      </c>
      <c r="I18" s="5" t="s">
        <v>132</v>
      </c>
      <c r="J18" s="5" t="s">
        <v>71</v>
      </c>
      <c r="K18" s="5" t="s">
        <v>81</v>
      </c>
      <c r="L18" s="5">
        <v>5</v>
      </c>
      <c r="M18" s="5">
        <v>65738</v>
      </c>
      <c r="N18" s="5">
        <v>10</v>
      </c>
      <c r="O18" s="5">
        <v>295821</v>
      </c>
      <c r="P18" s="5">
        <v>269340.65999999997</v>
      </c>
      <c r="Q18" s="5">
        <v>26480.34</v>
      </c>
      <c r="R18" s="5" t="s">
        <v>32</v>
      </c>
      <c r="S18" s="5" t="s">
        <v>33</v>
      </c>
      <c r="T18" s="5" t="s">
        <v>65</v>
      </c>
      <c r="U18" s="5">
        <v>4</v>
      </c>
      <c r="V18" s="5" t="s">
        <v>45</v>
      </c>
    </row>
    <row r="19" spans="1:22" x14ac:dyDescent="0.3">
      <c r="A19" s="5" t="s">
        <v>133</v>
      </c>
      <c r="B19" s="6">
        <v>46027</v>
      </c>
      <c r="C19" s="5" t="s">
        <v>134</v>
      </c>
      <c r="D19" s="5" t="s">
        <v>76</v>
      </c>
      <c r="E19" s="5" t="s">
        <v>25</v>
      </c>
      <c r="F19" s="5" t="s">
        <v>26</v>
      </c>
      <c r="G19" s="5" t="s">
        <v>27</v>
      </c>
      <c r="H19" s="5" t="s">
        <v>135</v>
      </c>
      <c r="I19" s="5" t="s">
        <v>136</v>
      </c>
      <c r="J19" s="5" t="s">
        <v>30</v>
      </c>
      <c r="K19" s="5" t="s">
        <v>31</v>
      </c>
      <c r="L19" s="5">
        <v>3</v>
      </c>
      <c r="M19" s="5">
        <v>41384</v>
      </c>
      <c r="N19" s="5">
        <v>5</v>
      </c>
      <c r="O19" s="5">
        <v>117944.4</v>
      </c>
      <c r="P19" s="5">
        <v>88799.93</v>
      </c>
      <c r="Q19" s="5">
        <v>29144.47</v>
      </c>
      <c r="R19" s="5" t="s">
        <v>44</v>
      </c>
      <c r="S19" s="5" t="s">
        <v>33</v>
      </c>
      <c r="T19" s="5" t="s">
        <v>73</v>
      </c>
      <c r="U19" s="5">
        <v>1</v>
      </c>
      <c r="V19" s="5" t="s">
        <v>45</v>
      </c>
    </row>
    <row r="20" spans="1:22" x14ac:dyDescent="0.3">
      <c r="A20" s="5" t="s">
        <v>137</v>
      </c>
      <c r="B20" s="6">
        <v>46023</v>
      </c>
      <c r="C20" s="5" t="s">
        <v>138</v>
      </c>
      <c r="D20" s="5" t="s">
        <v>68</v>
      </c>
      <c r="E20" s="5" t="s">
        <v>126</v>
      </c>
      <c r="F20" s="5" t="s">
        <v>126</v>
      </c>
      <c r="G20" s="5" t="s">
        <v>51</v>
      </c>
      <c r="H20" s="5" t="s">
        <v>28</v>
      </c>
      <c r="I20" s="5" t="s">
        <v>29</v>
      </c>
      <c r="J20" s="5" t="s">
        <v>30</v>
      </c>
      <c r="K20" s="5" t="s">
        <v>31</v>
      </c>
      <c r="L20" s="5">
        <v>5</v>
      </c>
      <c r="M20" s="5">
        <v>6251</v>
      </c>
      <c r="N20" s="5">
        <v>5</v>
      </c>
      <c r="O20" s="5">
        <v>29692.25</v>
      </c>
      <c r="P20" s="5">
        <v>21402.78</v>
      </c>
      <c r="Q20" s="5">
        <v>8289.4699999999993</v>
      </c>
      <c r="R20" s="5" t="s">
        <v>32</v>
      </c>
      <c r="S20" s="5" t="s">
        <v>33</v>
      </c>
      <c r="T20" s="5" t="s">
        <v>65</v>
      </c>
      <c r="U20" s="5">
        <v>5</v>
      </c>
      <c r="V20" s="5" t="s">
        <v>35</v>
      </c>
    </row>
    <row r="21" spans="1:22" x14ac:dyDescent="0.3">
      <c r="A21" s="5" t="s">
        <v>139</v>
      </c>
      <c r="B21" s="6">
        <v>46055</v>
      </c>
      <c r="C21" s="5" t="s">
        <v>140</v>
      </c>
      <c r="D21" s="5" t="s">
        <v>58</v>
      </c>
      <c r="E21" s="5" t="s">
        <v>126</v>
      </c>
      <c r="F21" s="5" t="s">
        <v>126</v>
      </c>
      <c r="G21" s="5" t="s">
        <v>51</v>
      </c>
      <c r="H21" s="5" t="s">
        <v>141</v>
      </c>
      <c r="I21" s="5" t="s">
        <v>142</v>
      </c>
      <c r="J21" s="5" t="s">
        <v>71</v>
      </c>
      <c r="K21" s="5" t="s">
        <v>81</v>
      </c>
      <c r="L21" s="5">
        <v>4</v>
      </c>
      <c r="M21" s="5">
        <v>54507</v>
      </c>
      <c r="N21" s="5">
        <v>5</v>
      </c>
      <c r="O21" s="5">
        <v>207126.6</v>
      </c>
      <c r="P21" s="5">
        <v>131803.68</v>
      </c>
      <c r="Q21" s="5">
        <v>75322.92</v>
      </c>
      <c r="R21" s="5" t="s">
        <v>44</v>
      </c>
      <c r="S21" s="5" t="s">
        <v>82</v>
      </c>
      <c r="T21" s="5" t="s">
        <v>65</v>
      </c>
      <c r="U21" s="5">
        <v>3</v>
      </c>
      <c r="V21" s="5" t="s">
        <v>45</v>
      </c>
    </row>
    <row r="22" spans="1:22" x14ac:dyDescent="0.3">
      <c r="A22" s="5" t="s">
        <v>143</v>
      </c>
      <c r="B22" s="6">
        <v>46122</v>
      </c>
      <c r="C22" s="5" t="s">
        <v>144</v>
      </c>
      <c r="D22" s="5" t="s">
        <v>68</v>
      </c>
      <c r="E22" s="5" t="s">
        <v>49</v>
      </c>
      <c r="F22" s="5" t="s">
        <v>50</v>
      </c>
      <c r="G22" s="5" t="s">
        <v>51</v>
      </c>
      <c r="H22" s="5" t="s">
        <v>127</v>
      </c>
      <c r="I22" s="5" t="s">
        <v>128</v>
      </c>
      <c r="J22" s="5" t="s">
        <v>102</v>
      </c>
      <c r="K22" s="5" t="s">
        <v>103</v>
      </c>
      <c r="L22" s="5">
        <v>2</v>
      </c>
      <c r="M22" s="5">
        <v>61709</v>
      </c>
      <c r="N22" s="5">
        <v>5</v>
      </c>
      <c r="O22" s="5">
        <v>117247.1</v>
      </c>
      <c r="P22" s="5">
        <v>81652.27</v>
      </c>
      <c r="Q22" s="5">
        <v>35594.83</v>
      </c>
      <c r="R22" s="5" t="s">
        <v>44</v>
      </c>
      <c r="S22" s="5" t="s">
        <v>33</v>
      </c>
      <c r="T22" s="5" t="s">
        <v>73</v>
      </c>
      <c r="U22" s="5">
        <v>3</v>
      </c>
      <c r="V22" s="5" t="s">
        <v>35</v>
      </c>
    </row>
    <row r="23" spans="1:22" x14ac:dyDescent="0.3">
      <c r="A23" s="5" t="s">
        <v>145</v>
      </c>
      <c r="B23" s="6">
        <v>46203</v>
      </c>
      <c r="C23" s="5" t="s">
        <v>130</v>
      </c>
      <c r="D23" s="5" t="s">
        <v>24</v>
      </c>
      <c r="E23" s="5" t="s">
        <v>94</v>
      </c>
      <c r="F23" s="5" t="s">
        <v>26</v>
      </c>
      <c r="G23" s="5" t="s">
        <v>27</v>
      </c>
      <c r="H23" s="5" t="s">
        <v>90</v>
      </c>
      <c r="I23" s="5" t="s">
        <v>91</v>
      </c>
      <c r="J23" s="5" t="s">
        <v>71</v>
      </c>
      <c r="K23" s="5" t="s">
        <v>81</v>
      </c>
      <c r="L23" s="5">
        <v>1</v>
      </c>
      <c r="M23" s="5">
        <v>26392</v>
      </c>
      <c r="N23" s="5">
        <v>15</v>
      </c>
      <c r="O23" s="5">
        <v>22433.200000000001</v>
      </c>
      <c r="P23" s="5">
        <v>17216.259999999998</v>
      </c>
      <c r="Q23" s="5">
        <v>5216.9399999999996</v>
      </c>
      <c r="R23" s="5" t="s">
        <v>44</v>
      </c>
      <c r="S23" s="5" t="s">
        <v>82</v>
      </c>
      <c r="T23" s="5" t="s">
        <v>65</v>
      </c>
      <c r="U23" s="5">
        <v>1</v>
      </c>
      <c r="V23" s="5" t="s">
        <v>45</v>
      </c>
    </row>
    <row r="24" spans="1:22" x14ac:dyDescent="0.3">
      <c r="A24" s="5" t="s">
        <v>146</v>
      </c>
      <c r="B24" s="6">
        <v>46150</v>
      </c>
      <c r="C24" s="5" t="s">
        <v>67</v>
      </c>
      <c r="D24" s="5" t="s">
        <v>76</v>
      </c>
      <c r="E24" s="5" t="s">
        <v>77</v>
      </c>
      <c r="F24" s="5" t="s">
        <v>78</v>
      </c>
      <c r="G24" s="5" t="s">
        <v>41</v>
      </c>
      <c r="H24" s="5" t="s">
        <v>147</v>
      </c>
      <c r="I24" s="5" t="s">
        <v>148</v>
      </c>
      <c r="J24" s="5" t="s">
        <v>71</v>
      </c>
      <c r="K24" s="5" t="s">
        <v>81</v>
      </c>
      <c r="L24" s="5">
        <v>3</v>
      </c>
      <c r="M24" s="5">
        <v>15906</v>
      </c>
      <c r="N24" s="5">
        <v>10</v>
      </c>
      <c r="O24" s="5">
        <v>42946.2</v>
      </c>
      <c r="P24" s="5">
        <v>34216.480000000003</v>
      </c>
      <c r="Q24" s="5">
        <v>8729.7199999999993</v>
      </c>
      <c r="R24" s="5" t="s">
        <v>64</v>
      </c>
      <c r="S24" s="5" t="s">
        <v>82</v>
      </c>
      <c r="T24" s="5" t="s">
        <v>34</v>
      </c>
      <c r="U24" s="5">
        <v>5</v>
      </c>
      <c r="V24" s="5" t="s">
        <v>45</v>
      </c>
    </row>
    <row r="25" spans="1:22" x14ac:dyDescent="0.3">
      <c r="A25" s="5" t="s">
        <v>149</v>
      </c>
      <c r="B25" s="6">
        <v>46069</v>
      </c>
      <c r="C25" s="5" t="s">
        <v>150</v>
      </c>
      <c r="D25" s="5" t="s">
        <v>151</v>
      </c>
      <c r="E25" s="5" t="s">
        <v>126</v>
      </c>
      <c r="F25" s="5" t="s">
        <v>126</v>
      </c>
      <c r="G25" s="5" t="s">
        <v>51</v>
      </c>
      <c r="H25" s="5" t="s">
        <v>152</v>
      </c>
      <c r="I25" s="5" t="s">
        <v>153</v>
      </c>
      <c r="J25" s="5" t="s">
        <v>54</v>
      </c>
      <c r="K25" s="5" t="s">
        <v>97</v>
      </c>
      <c r="L25" s="5">
        <v>1</v>
      </c>
      <c r="M25" s="5">
        <v>79766</v>
      </c>
      <c r="N25" s="5">
        <v>5</v>
      </c>
      <c r="O25" s="5">
        <v>75777.7</v>
      </c>
      <c r="P25" s="5">
        <v>49039.22</v>
      </c>
      <c r="Q25" s="5">
        <v>26738.48</v>
      </c>
      <c r="R25" s="5" t="s">
        <v>44</v>
      </c>
      <c r="S25" s="5" t="s">
        <v>33</v>
      </c>
      <c r="T25" s="5" t="s">
        <v>34</v>
      </c>
      <c r="U25" s="5">
        <v>4</v>
      </c>
      <c r="V25" s="5" t="s">
        <v>45</v>
      </c>
    </row>
    <row r="26" spans="1:22" x14ac:dyDescent="0.3">
      <c r="A26" s="5" t="s">
        <v>154</v>
      </c>
      <c r="B26" s="6">
        <v>46173</v>
      </c>
      <c r="C26" s="5" t="s">
        <v>155</v>
      </c>
      <c r="D26" s="5" t="s">
        <v>117</v>
      </c>
      <c r="E26" s="5" t="s">
        <v>94</v>
      </c>
      <c r="F26" s="5" t="s">
        <v>26</v>
      </c>
      <c r="G26" s="5" t="s">
        <v>27</v>
      </c>
      <c r="H26" s="5" t="s">
        <v>156</v>
      </c>
      <c r="I26" s="5" t="s">
        <v>157</v>
      </c>
      <c r="J26" s="5" t="s">
        <v>30</v>
      </c>
      <c r="K26" s="5" t="s">
        <v>31</v>
      </c>
      <c r="L26" s="5">
        <v>5</v>
      </c>
      <c r="M26" s="5">
        <v>65014</v>
      </c>
      <c r="N26" s="5">
        <v>0</v>
      </c>
      <c r="O26" s="5">
        <v>325070</v>
      </c>
      <c r="P26" s="5">
        <v>211686.13</v>
      </c>
      <c r="Q26" s="5">
        <v>113383.87</v>
      </c>
      <c r="R26" s="5" t="s">
        <v>44</v>
      </c>
      <c r="S26" s="5" t="s">
        <v>33</v>
      </c>
      <c r="T26" s="5" t="s">
        <v>34</v>
      </c>
      <c r="U26" s="5">
        <v>3</v>
      </c>
      <c r="V26" s="5" t="s">
        <v>45</v>
      </c>
    </row>
    <row r="27" spans="1:22" x14ac:dyDescent="0.3">
      <c r="A27" s="5" t="s">
        <v>158</v>
      </c>
      <c r="B27" s="6">
        <v>46159</v>
      </c>
      <c r="C27" s="5" t="s">
        <v>159</v>
      </c>
      <c r="D27" s="5" t="s">
        <v>24</v>
      </c>
      <c r="E27" s="5" t="s">
        <v>126</v>
      </c>
      <c r="F27" s="5" t="s">
        <v>126</v>
      </c>
      <c r="G27" s="5" t="s">
        <v>51</v>
      </c>
      <c r="H27" s="5" t="s">
        <v>160</v>
      </c>
      <c r="I27" s="5" t="s">
        <v>161</v>
      </c>
      <c r="J27" s="5" t="s">
        <v>102</v>
      </c>
      <c r="K27" s="5" t="s">
        <v>103</v>
      </c>
      <c r="L27" s="5">
        <v>1</v>
      </c>
      <c r="M27" s="5">
        <v>51060</v>
      </c>
      <c r="N27" s="5">
        <v>10</v>
      </c>
      <c r="O27" s="5">
        <v>45954</v>
      </c>
      <c r="P27" s="5">
        <v>39732.15</v>
      </c>
      <c r="Q27" s="5">
        <v>6221.85</v>
      </c>
      <c r="R27" s="5" t="s">
        <v>32</v>
      </c>
      <c r="S27" s="5" t="s">
        <v>82</v>
      </c>
      <c r="T27" s="5" t="s">
        <v>65</v>
      </c>
      <c r="U27" s="5">
        <v>1</v>
      </c>
      <c r="V27" s="5" t="s">
        <v>35</v>
      </c>
    </row>
    <row r="28" spans="1:22" x14ac:dyDescent="0.3">
      <c r="A28" s="5" t="s">
        <v>162</v>
      </c>
      <c r="B28" s="6">
        <v>46098</v>
      </c>
      <c r="C28" s="5" t="s">
        <v>163</v>
      </c>
      <c r="D28" s="5" t="s">
        <v>24</v>
      </c>
      <c r="E28" s="5" t="s">
        <v>39</v>
      </c>
      <c r="F28" s="5" t="s">
        <v>40</v>
      </c>
      <c r="G28" s="5" t="s">
        <v>41</v>
      </c>
      <c r="H28" s="5" t="s">
        <v>164</v>
      </c>
      <c r="I28" s="5" t="s">
        <v>165</v>
      </c>
      <c r="J28" s="5" t="s">
        <v>102</v>
      </c>
      <c r="K28" s="5" t="s">
        <v>103</v>
      </c>
      <c r="L28" s="5">
        <v>5</v>
      </c>
      <c r="M28" s="5">
        <v>52695</v>
      </c>
      <c r="N28" s="5">
        <v>10</v>
      </c>
      <c r="O28" s="5">
        <v>237127.5</v>
      </c>
      <c r="P28" s="5">
        <v>211401</v>
      </c>
      <c r="Q28" s="5">
        <v>25726.5</v>
      </c>
      <c r="R28" s="5" t="s">
        <v>32</v>
      </c>
      <c r="S28" s="5" t="s">
        <v>82</v>
      </c>
      <c r="T28" s="5" t="s">
        <v>73</v>
      </c>
      <c r="U28" s="5">
        <v>2</v>
      </c>
      <c r="V28" s="5" t="s">
        <v>35</v>
      </c>
    </row>
    <row r="29" spans="1:22" x14ac:dyDescent="0.3">
      <c r="A29" s="5" t="s">
        <v>166</v>
      </c>
      <c r="B29" s="6">
        <v>46148</v>
      </c>
      <c r="C29" s="5" t="s">
        <v>167</v>
      </c>
      <c r="D29" s="5" t="s">
        <v>117</v>
      </c>
      <c r="E29" s="5" t="s">
        <v>49</v>
      </c>
      <c r="F29" s="5" t="s">
        <v>50</v>
      </c>
      <c r="G29" s="5" t="s">
        <v>51</v>
      </c>
      <c r="H29" s="5" t="s">
        <v>168</v>
      </c>
      <c r="I29" s="5" t="s">
        <v>169</v>
      </c>
      <c r="J29" s="5" t="s">
        <v>102</v>
      </c>
      <c r="K29" s="5" t="s">
        <v>103</v>
      </c>
      <c r="L29" s="5">
        <v>4</v>
      </c>
      <c r="M29" s="5">
        <v>55838</v>
      </c>
      <c r="N29" s="5">
        <v>15</v>
      </c>
      <c r="O29" s="5">
        <v>189849.2</v>
      </c>
      <c r="P29" s="5">
        <v>173386.53</v>
      </c>
      <c r="Q29" s="5">
        <v>16462.669999999998</v>
      </c>
      <c r="R29" s="5" t="s">
        <v>44</v>
      </c>
      <c r="S29" s="5" t="s">
        <v>33</v>
      </c>
      <c r="T29" s="5" t="s">
        <v>34</v>
      </c>
      <c r="U29" s="5">
        <v>1</v>
      </c>
      <c r="V29" s="5" t="s">
        <v>45</v>
      </c>
    </row>
    <row r="30" spans="1:22" x14ac:dyDescent="0.3">
      <c r="A30" s="5" t="s">
        <v>170</v>
      </c>
      <c r="B30" s="6">
        <v>46123</v>
      </c>
      <c r="C30" s="5" t="s">
        <v>171</v>
      </c>
      <c r="D30" s="5" t="s">
        <v>117</v>
      </c>
      <c r="E30" s="5" t="s">
        <v>94</v>
      </c>
      <c r="F30" s="5" t="s">
        <v>26</v>
      </c>
      <c r="G30" s="5" t="s">
        <v>27</v>
      </c>
      <c r="H30" s="5" t="s">
        <v>172</v>
      </c>
      <c r="I30" s="5" t="s">
        <v>173</v>
      </c>
      <c r="J30" s="5" t="s">
        <v>54</v>
      </c>
      <c r="K30" s="5" t="s">
        <v>97</v>
      </c>
      <c r="L30" s="5">
        <v>5</v>
      </c>
      <c r="M30" s="5">
        <v>12309</v>
      </c>
      <c r="N30" s="5">
        <v>5</v>
      </c>
      <c r="O30" s="5">
        <v>58467.75</v>
      </c>
      <c r="P30" s="5">
        <v>44585.33</v>
      </c>
      <c r="Q30" s="5">
        <v>13882.42</v>
      </c>
      <c r="R30" s="5" t="s">
        <v>44</v>
      </c>
      <c r="S30" s="5" t="s">
        <v>82</v>
      </c>
      <c r="T30" s="5" t="s">
        <v>73</v>
      </c>
      <c r="U30" s="5">
        <v>5</v>
      </c>
      <c r="V30" s="5" t="s">
        <v>45</v>
      </c>
    </row>
    <row r="31" spans="1:22" x14ac:dyDescent="0.3">
      <c r="A31" s="5" t="s">
        <v>174</v>
      </c>
      <c r="B31" s="6">
        <v>46025</v>
      </c>
      <c r="C31" s="5" t="s">
        <v>175</v>
      </c>
      <c r="D31" s="5" t="s">
        <v>58</v>
      </c>
      <c r="E31" s="5" t="s">
        <v>59</v>
      </c>
      <c r="F31" s="5" t="s">
        <v>60</v>
      </c>
      <c r="G31" s="5" t="s">
        <v>61</v>
      </c>
      <c r="H31" s="5" t="s">
        <v>176</v>
      </c>
      <c r="I31" s="5" t="s">
        <v>177</v>
      </c>
      <c r="J31" s="5" t="s">
        <v>54</v>
      </c>
      <c r="K31" s="5" t="s">
        <v>97</v>
      </c>
      <c r="L31" s="5">
        <v>3</v>
      </c>
      <c r="M31" s="5">
        <v>43302</v>
      </c>
      <c r="N31" s="5">
        <v>15</v>
      </c>
      <c r="O31" s="5">
        <v>110420.1</v>
      </c>
      <c r="P31" s="5">
        <v>74096.160000000003</v>
      </c>
      <c r="Q31" s="5">
        <v>36323.94</v>
      </c>
      <c r="R31" s="5" t="s">
        <v>44</v>
      </c>
      <c r="S31" s="5" t="s">
        <v>33</v>
      </c>
      <c r="T31" s="5" t="s">
        <v>73</v>
      </c>
      <c r="U31" s="5">
        <v>4</v>
      </c>
      <c r="V31" s="5" t="s">
        <v>35</v>
      </c>
    </row>
    <row r="32" spans="1:22" x14ac:dyDescent="0.3">
      <c r="A32" s="5" t="s">
        <v>178</v>
      </c>
      <c r="B32" s="6">
        <v>46075</v>
      </c>
      <c r="C32" s="5" t="s">
        <v>179</v>
      </c>
      <c r="D32" s="5" t="s">
        <v>38</v>
      </c>
      <c r="E32" s="5" t="s">
        <v>77</v>
      </c>
      <c r="F32" s="5" t="s">
        <v>78</v>
      </c>
      <c r="G32" s="5" t="s">
        <v>41</v>
      </c>
      <c r="H32" s="5" t="s">
        <v>180</v>
      </c>
      <c r="I32" s="5" t="s">
        <v>181</v>
      </c>
      <c r="J32" s="5" t="s">
        <v>54</v>
      </c>
      <c r="K32" s="5" t="s">
        <v>55</v>
      </c>
      <c r="L32" s="5">
        <v>4</v>
      </c>
      <c r="M32" s="5">
        <v>68929</v>
      </c>
      <c r="N32" s="5">
        <v>15</v>
      </c>
      <c r="O32" s="5">
        <v>234358.6</v>
      </c>
      <c r="P32" s="5">
        <v>227988.45</v>
      </c>
      <c r="Q32" s="5">
        <v>6370.15</v>
      </c>
      <c r="R32" s="5" t="s">
        <v>64</v>
      </c>
      <c r="S32" s="5" t="s">
        <v>82</v>
      </c>
      <c r="T32" s="5" t="s">
        <v>34</v>
      </c>
      <c r="U32" s="5">
        <v>4</v>
      </c>
      <c r="V32" s="5" t="s">
        <v>45</v>
      </c>
    </row>
    <row r="33" spans="1:22" x14ac:dyDescent="0.3">
      <c r="A33" s="5" t="s">
        <v>182</v>
      </c>
      <c r="B33" s="6">
        <v>46033</v>
      </c>
      <c r="C33" s="5" t="s">
        <v>183</v>
      </c>
      <c r="D33" s="5" t="s">
        <v>117</v>
      </c>
      <c r="E33" s="5" t="s">
        <v>94</v>
      </c>
      <c r="F33" s="5" t="s">
        <v>26</v>
      </c>
      <c r="G33" s="5" t="s">
        <v>27</v>
      </c>
      <c r="H33" s="5" t="s">
        <v>184</v>
      </c>
      <c r="I33" s="5" t="s">
        <v>185</v>
      </c>
      <c r="J33" s="5" t="s">
        <v>102</v>
      </c>
      <c r="K33" s="5" t="s">
        <v>103</v>
      </c>
      <c r="L33" s="5">
        <v>2</v>
      </c>
      <c r="M33" s="5">
        <v>57271</v>
      </c>
      <c r="N33" s="5">
        <v>15</v>
      </c>
      <c r="O33" s="5">
        <v>97360.7</v>
      </c>
      <c r="P33" s="5">
        <v>68355.77</v>
      </c>
      <c r="Q33" s="5">
        <v>29004.93</v>
      </c>
      <c r="R33" s="5" t="s">
        <v>44</v>
      </c>
      <c r="S33" s="5" t="s">
        <v>82</v>
      </c>
      <c r="T33" s="5" t="s">
        <v>34</v>
      </c>
      <c r="U33" s="5">
        <v>5</v>
      </c>
      <c r="V33" s="5" t="s">
        <v>35</v>
      </c>
    </row>
    <row r="34" spans="1:22" x14ac:dyDescent="0.3">
      <c r="A34" s="5" t="s">
        <v>186</v>
      </c>
      <c r="B34" s="6">
        <v>46148</v>
      </c>
      <c r="C34" s="5" t="s">
        <v>187</v>
      </c>
      <c r="D34" s="5" t="s">
        <v>68</v>
      </c>
      <c r="E34" s="5" t="s">
        <v>39</v>
      </c>
      <c r="F34" s="5" t="s">
        <v>40</v>
      </c>
      <c r="G34" s="5" t="s">
        <v>41</v>
      </c>
      <c r="H34" s="5" t="s">
        <v>95</v>
      </c>
      <c r="I34" s="5" t="s">
        <v>96</v>
      </c>
      <c r="J34" s="5" t="s">
        <v>54</v>
      </c>
      <c r="K34" s="5" t="s">
        <v>97</v>
      </c>
      <c r="L34" s="5">
        <v>4</v>
      </c>
      <c r="M34" s="5">
        <v>5292</v>
      </c>
      <c r="N34" s="5">
        <v>20</v>
      </c>
      <c r="O34" s="5">
        <v>16934.400000000001</v>
      </c>
      <c r="P34" s="5">
        <v>14333.21</v>
      </c>
      <c r="Q34" s="5">
        <v>2601.19</v>
      </c>
      <c r="R34" s="5" t="s">
        <v>64</v>
      </c>
      <c r="S34" s="5" t="s">
        <v>33</v>
      </c>
      <c r="T34" s="5" t="s">
        <v>65</v>
      </c>
      <c r="U34" s="5">
        <v>1</v>
      </c>
      <c r="V34" s="5" t="s">
        <v>35</v>
      </c>
    </row>
    <row r="35" spans="1:22" x14ac:dyDescent="0.3">
      <c r="A35" s="5" t="s">
        <v>188</v>
      </c>
      <c r="B35" s="6">
        <v>46052</v>
      </c>
      <c r="C35" s="5" t="s">
        <v>134</v>
      </c>
      <c r="D35" s="5" t="s">
        <v>68</v>
      </c>
      <c r="E35" s="5" t="s">
        <v>94</v>
      </c>
      <c r="F35" s="5" t="s">
        <v>26</v>
      </c>
      <c r="G35" s="5" t="s">
        <v>27</v>
      </c>
      <c r="H35" s="5" t="s">
        <v>189</v>
      </c>
      <c r="I35" s="5" t="s">
        <v>190</v>
      </c>
      <c r="J35" s="5" t="s">
        <v>102</v>
      </c>
      <c r="K35" s="5" t="s">
        <v>103</v>
      </c>
      <c r="L35" s="5">
        <v>5</v>
      </c>
      <c r="M35" s="5">
        <v>8517</v>
      </c>
      <c r="N35" s="5">
        <v>5</v>
      </c>
      <c r="O35" s="5">
        <v>40455.75</v>
      </c>
      <c r="P35" s="5">
        <v>34368.25</v>
      </c>
      <c r="Q35" s="5">
        <v>6087.5</v>
      </c>
      <c r="R35" s="5" t="s">
        <v>44</v>
      </c>
      <c r="S35" s="5" t="s">
        <v>82</v>
      </c>
      <c r="T35" s="5" t="s">
        <v>73</v>
      </c>
      <c r="U35" s="5">
        <v>5</v>
      </c>
      <c r="V35" s="5" t="s">
        <v>45</v>
      </c>
    </row>
    <row r="36" spans="1:22" x14ac:dyDescent="0.3">
      <c r="A36" s="5" t="s">
        <v>191</v>
      </c>
      <c r="B36" s="6">
        <v>46150</v>
      </c>
      <c r="C36" s="5" t="s">
        <v>192</v>
      </c>
      <c r="D36" s="5" t="s">
        <v>38</v>
      </c>
      <c r="E36" s="5" t="s">
        <v>77</v>
      </c>
      <c r="F36" s="5" t="s">
        <v>78</v>
      </c>
      <c r="G36" s="5" t="s">
        <v>41</v>
      </c>
      <c r="H36" s="5" t="s">
        <v>193</v>
      </c>
      <c r="I36" s="5" t="s">
        <v>194</v>
      </c>
      <c r="J36" s="5" t="s">
        <v>71</v>
      </c>
      <c r="K36" s="5" t="s">
        <v>72</v>
      </c>
      <c r="L36" s="5">
        <v>3</v>
      </c>
      <c r="M36" s="5">
        <v>23315</v>
      </c>
      <c r="N36" s="5">
        <v>5</v>
      </c>
      <c r="O36" s="5">
        <v>66447.75</v>
      </c>
      <c r="P36" s="5">
        <v>58615.49</v>
      </c>
      <c r="Q36" s="5">
        <v>7832.26</v>
      </c>
      <c r="R36" s="5" t="s">
        <v>64</v>
      </c>
      <c r="S36" s="5" t="s">
        <v>82</v>
      </c>
      <c r="T36" s="5" t="s">
        <v>34</v>
      </c>
      <c r="U36" s="5">
        <v>4</v>
      </c>
      <c r="V36" s="5" t="s">
        <v>35</v>
      </c>
    </row>
    <row r="37" spans="1:22" x14ac:dyDescent="0.3">
      <c r="A37" s="5" t="s">
        <v>195</v>
      </c>
      <c r="B37" s="6">
        <v>46054</v>
      </c>
      <c r="C37" s="5" t="s">
        <v>196</v>
      </c>
      <c r="D37" s="5" t="s">
        <v>151</v>
      </c>
      <c r="E37" s="5" t="s">
        <v>126</v>
      </c>
      <c r="F37" s="5" t="s">
        <v>126</v>
      </c>
      <c r="G37" s="5" t="s">
        <v>51</v>
      </c>
      <c r="H37" s="5" t="s">
        <v>197</v>
      </c>
      <c r="I37" s="5" t="s">
        <v>198</v>
      </c>
      <c r="J37" s="5" t="s">
        <v>30</v>
      </c>
      <c r="K37" s="5" t="s">
        <v>31</v>
      </c>
      <c r="L37" s="5">
        <v>3</v>
      </c>
      <c r="M37" s="5">
        <v>44105</v>
      </c>
      <c r="N37" s="5">
        <v>0</v>
      </c>
      <c r="O37" s="5">
        <v>132315</v>
      </c>
      <c r="P37" s="5">
        <v>88832.960000000006</v>
      </c>
      <c r="Q37" s="5">
        <v>43482.04</v>
      </c>
      <c r="R37" s="5" t="s">
        <v>32</v>
      </c>
      <c r="S37" s="5" t="s">
        <v>82</v>
      </c>
      <c r="T37" s="5" t="s">
        <v>73</v>
      </c>
      <c r="U37" s="5">
        <v>4</v>
      </c>
      <c r="V37" s="5" t="s">
        <v>45</v>
      </c>
    </row>
    <row r="38" spans="1:22" x14ac:dyDescent="0.3">
      <c r="A38" s="5" t="s">
        <v>199</v>
      </c>
      <c r="B38" s="6">
        <v>46117</v>
      </c>
      <c r="C38" s="5" t="s">
        <v>200</v>
      </c>
      <c r="D38" s="5" t="s">
        <v>89</v>
      </c>
      <c r="E38" s="5" t="s">
        <v>94</v>
      </c>
      <c r="F38" s="5" t="s">
        <v>26</v>
      </c>
      <c r="G38" s="5" t="s">
        <v>27</v>
      </c>
      <c r="H38" s="5" t="s">
        <v>176</v>
      </c>
      <c r="I38" s="5" t="s">
        <v>177</v>
      </c>
      <c r="J38" s="5" t="s">
        <v>54</v>
      </c>
      <c r="K38" s="5" t="s">
        <v>97</v>
      </c>
      <c r="L38" s="5">
        <v>3</v>
      </c>
      <c r="M38" s="5">
        <v>65440</v>
      </c>
      <c r="N38" s="5">
        <v>5</v>
      </c>
      <c r="O38" s="5">
        <v>186504</v>
      </c>
      <c r="P38" s="5">
        <v>112137.96</v>
      </c>
      <c r="Q38" s="5">
        <v>74366.039999999994</v>
      </c>
      <c r="R38" s="5" t="s">
        <v>64</v>
      </c>
      <c r="S38" s="5" t="s">
        <v>82</v>
      </c>
      <c r="T38" s="5" t="s">
        <v>65</v>
      </c>
      <c r="U38" s="5">
        <v>5</v>
      </c>
      <c r="V38" s="5" t="s">
        <v>35</v>
      </c>
    </row>
    <row r="39" spans="1:22" x14ac:dyDescent="0.3">
      <c r="A39" s="5" t="s">
        <v>201</v>
      </c>
      <c r="B39" s="6">
        <v>46079</v>
      </c>
      <c r="C39" s="5" t="s">
        <v>202</v>
      </c>
      <c r="D39" s="5" t="s">
        <v>58</v>
      </c>
      <c r="E39" s="5" t="s">
        <v>25</v>
      </c>
      <c r="F39" s="5" t="s">
        <v>26</v>
      </c>
      <c r="G39" s="5" t="s">
        <v>27</v>
      </c>
      <c r="H39" s="5" t="s">
        <v>203</v>
      </c>
      <c r="I39" s="5" t="s">
        <v>204</v>
      </c>
      <c r="J39" s="5" t="s">
        <v>71</v>
      </c>
      <c r="K39" s="5" t="s">
        <v>81</v>
      </c>
      <c r="L39" s="5">
        <v>4</v>
      </c>
      <c r="M39" s="5">
        <v>34506</v>
      </c>
      <c r="N39" s="5">
        <v>0</v>
      </c>
      <c r="O39" s="5">
        <v>138024</v>
      </c>
      <c r="P39" s="5">
        <v>108889.54</v>
      </c>
      <c r="Q39" s="5">
        <v>29134.46</v>
      </c>
      <c r="R39" s="5" t="s">
        <v>44</v>
      </c>
      <c r="S39" s="5" t="s">
        <v>33</v>
      </c>
      <c r="T39" s="5" t="s">
        <v>73</v>
      </c>
      <c r="U39" s="5">
        <v>4</v>
      </c>
      <c r="V39" s="5" t="s">
        <v>45</v>
      </c>
    </row>
    <row r="40" spans="1:22" x14ac:dyDescent="0.3">
      <c r="A40" s="5" t="s">
        <v>205</v>
      </c>
      <c r="B40" s="6">
        <v>46197</v>
      </c>
      <c r="C40" s="5" t="s">
        <v>23</v>
      </c>
      <c r="D40" s="5" t="s">
        <v>76</v>
      </c>
      <c r="E40" s="5" t="s">
        <v>77</v>
      </c>
      <c r="F40" s="5" t="s">
        <v>78</v>
      </c>
      <c r="G40" s="5" t="s">
        <v>41</v>
      </c>
      <c r="H40" s="5" t="s">
        <v>206</v>
      </c>
      <c r="I40" s="5" t="s">
        <v>207</v>
      </c>
      <c r="J40" s="5" t="s">
        <v>30</v>
      </c>
      <c r="K40" s="5" t="s">
        <v>31</v>
      </c>
      <c r="L40" s="5">
        <v>2</v>
      </c>
      <c r="M40" s="5">
        <v>26228</v>
      </c>
      <c r="N40" s="5">
        <v>10</v>
      </c>
      <c r="O40" s="5">
        <v>47210.400000000001</v>
      </c>
      <c r="P40" s="5">
        <v>41410.01</v>
      </c>
      <c r="Q40" s="5">
        <v>5800.39</v>
      </c>
      <c r="R40" s="5" t="s">
        <v>32</v>
      </c>
      <c r="S40" s="5" t="s">
        <v>82</v>
      </c>
      <c r="T40" s="5" t="s">
        <v>73</v>
      </c>
      <c r="U40" s="5">
        <v>5</v>
      </c>
      <c r="V40" s="5" t="s">
        <v>35</v>
      </c>
    </row>
    <row r="41" spans="1:22" x14ac:dyDescent="0.3">
      <c r="A41" s="5" t="s">
        <v>208</v>
      </c>
      <c r="B41" s="6">
        <v>46033</v>
      </c>
      <c r="C41" s="5" t="s">
        <v>209</v>
      </c>
      <c r="D41" s="5" t="s">
        <v>110</v>
      </c>
      <c r="E41" s="5" t="s">
        <v>25</v>
      </c>
      <c r="F41" s="5" t="s">
        <v>26</v>
      </c>
      <c r="G41" s="5" t="s">
        <v>27</v>
      </c>
      <c r="H41" s="5" t="s">
        <v>210</v>
      </c>
      <c r="I41" s="5" t="s">
        <v>211</v>
      </c>
      <c r="J41" s="5" t="s">
        <v>102</v>
      </c>
      <c r="K41" s="5" t="s">
        <v>103</v>
      </c>
      <c r="L41" s="5">
        <v>1</v>
      </c>
      <c r="M41" s="5">
        <v>46388</v>
      </c>
      <c r="N41" s="5">
        <v>0</v>
      </c>
      <c r="O41" s="5">
        <v>46388</v>
      </c>
      <c r="P41" s="5">
        <v>28948.76</v>
      </c>
      <c r="Q41" s="5">
        <v>17439.240000000002</v>
      </c>
      <c r="R41" s="5" t="s">
        <v>64</v>
      </c>
      <c r="S41" s="5" t="s">
        <v>33</v>
      </c>
      <c r="T41" s="5" t="s">
        <v>73</v>
      </c>
      <c r="U41" s="5">
        <v>1</v>
      </c>
      <c r="V41" s="5" t="s">
        <v>45</v>
      </c>
    </row>
    <row r="42" spans="1:22" x14ac:dyDescent="0.3">
      <c r="A42" s="5" t="s">
        <v>212</v>
      </c>
      <c r="B42" s="6">
        <v>46069</v>
      </c>
      <c r="C42" s="5" t="s">
        <v>105</v>
      </c>
      <c r="D42" s="5" t="s">
        <v>76</v>
      </c>
      <c r="E42" s="5" t="s">
        <v>25</v>
      </c>
      <c r="F42" s="5" t="s">
        <v>26</v>
      </c>
      <c r="G42" s="5" t="s">
        <v>27</v>
      </c>
      <c r="H42" s="5" t="s">
        <v>213</v>
      </c>
      <c r="I42" s="5" t="s">
        <v>214</v>
      </c>
      <c r="J42" s="5" t="s">
        <v>54</v>
      </c>
      <c r="K42" s="5" t="s">
        <v>97</v>
      </c>
      <c r="L42" s="5">
        <v>2</v>
      </c>
      <c r="M42" s="5">
        <v>57757</v>
      </c>
      <c r="N42" s="5">
        <v>10</v>
      </c>
      <c r="O42" s="5">
        <v>103962.6</v>
      </c>
      <c r="P42" s="5">
        <v>93712.28</v>
      </c>
      <c r="Q42" s="5">
        <v>10250.32</v>
      </c>
      <c r="R42" s="5" t="s">
        <v>32</v>
      </c>
      <c r="S42" s="5" t="s">
        <v>33</v>
      </c>
      <c r="T42" s="5" t="s">
        <v>65</v>
      </c>
      <c r="U42" s="5">
        <v>1</v>
      </c>
      <c r="V42" s="5" t="s">
        <v>35</v>
      </c>
    </row>
    <row r="43" spans="1:22" x14ac:dyDescent="0.3">
      <c r="A43" s="5" t="s">
        <v>215</v>
      </c>
      <c r="B43" s="6">
        <v>46055</v>
      </c>
      <c r="C43" s="5" t="s">
        <v>216</v>
      </c>
      <c r="D43" s="5" t="s">
        <v>24</v>
      </c>
      <c r="E43" s="5" t="s">
        <v>94</v>
      </c>
      <c r="F43" s="5" t="s">
        <v>26</v>
      </c>
      <c r="G43" s="5" t="s">
        <v>27</v>
      </c>
      <c r="H43" s="5" t="s">
        <v>217</v>
      </c>
      <c r="I43" s="5" t="s">
        <v>218</v>
      </c>
      <c r="J43" s="5" t="s">
        <v>54</v>
      </c>
      <c r="K43" s="5" t="s">
        <v>97</v>
      </c>
      <c r="L43" s="5">
        <v>2</v>
      </c>
      <c r="M43" s="5">
        <v>35624</v>
      </c>
      <c r="N43" s="5">
        <v>15</v>
      </c>
      <c r="O43" s="5">
        <v>60560.800000000003</v>
      </c>
      <c r="P43" s="5">
        <v>50370.68</v>
      </c>
      <c r="Q43" s="5">
        <v>10190.120000000001</v>
      </c>
      <c r="R43" s="5" t="s">
        <v>64</v>
      </c>
      <c r="S43" s="5" t="s">
        <v>82</v>
      </c>
      <c r="T43" s="5" t="s">
        <v>65</v>
      </c>
      <c r="U43" s="5">
        <v>5</v>
      </c>
      <c r="V43" s="5" t="s">
        <v>35</v>
      </c>
    </row>
    <row r="44" spans="1:22" x14ac:dyDescent="0.3">
      <c r="A44" s="5" t="s">
        <v>219</v>
      </c>
      <c r="B44" s="6">
        <v>46034</v>
      </c>
      <c r="C44" s="5" t="s">
        <v>220</v>
      </c>
      <c r="D44" s="5" t="s">
        <v>89</v>
      </c>
      <c r="E44" s="5" t="s">
        <v>77</v>
      </c>
      <c r="F44" s="5" t="s">
        <v>78</v>
      </c>
      <c r="G44" s="5" t="s">
        <v>41</v>
      </c>
      <c r="H44" s="5" t="s">
        <v>69</v>
      </c>
      <c r="I44" s="5" t="s">
        <v>70</v>
      </c>
      <c r="J44" s="5" t="s">
        <v>71</v>
      </c>
      <c r="K44" s="5" t="s">
        <v>72</v>
      </c>
      <c r="L44" s="5">
        <v>5</v>
      </c>
      <c r="M44" s="5">
        <v>34200</v>
      </c>
      <c r="N44" s="5">
        <v>10</v>
      </c>
      <c r="O44" s="5">
        <v>153900</v>
      </c>
      <c r="P44" s="5">
        <v>144868.97</v>
      </c>
      <c r="Q44" s="5">
        <v>9031.0300000000007</v>
      </c>
      <c r="R44" s="5" t="s">
        <v>32</v>
      </c>
      <c r="S44" s="5" t="s">
        <v>82</v>
      </c>
      <c r="T44" s="5" t="s">
        <v>73</v>
      </c>
      <c r="U44" s="5">
        <v>5</v>
      </c>
      <c r="V44" s="5" t="s">
        <v>35</v>
      </c>
    </row>
    <row r="45" spans="1:22" x14ac:dyDescent="0.3">
      <c r="A45" s="5" t="s">
        <v>221</v>
      </c>
      <c r="B45" s="6">
        <v>46041</v>
      </c>
      <c r="C45" s="5" t="s">
        <v>155</v>
      </c>
      <c r="D45" s="5" t="s">
        <v>117</v>
      </c>
      <c r="E45" s="5" t="s">
        <v>25</v>
      </c>
      <c r="F45" s="5" t="s">
        <v>26</v>
      </c>
      <c r="G45" s="5" t="s">
        <v>27</v>
      </c>
      <c r="H45" s="5" t="s">
        <v>118</v>
      </c>
      <c r="I45" s="5" t="s">
        <v>119</v>
      </c>
      <c r="J45" s="5" t="s">
        <v>54</v>
      </c>
      <c r="K45" s="5" t="s">
        <v>97</v>
      </c>
      <c r="L45" s="5">
        <v>2</v>
      </c>
      <c r="M45" s="5">
        <v>1099</v>
      </c>
      <c r="N45" s="5">
        <v>10</v>
      </c>
      <c r="O45" s="5">
        <v>1978.2</v>
      </c>
      <c r="P45" s="5">
        <v>1536.76</v>
      </c>
      <c r="Q45" s="5">
        <v>441.44</v>
      </c>
      <c r="R45" s="5" t="s">
        <v>44</v>
      </c>
      <c r="S45" s="5" t="s">
        <v>82</v>
      </c>
      <c r="T45" s="5" t="s">
        <v>34</v>
      </c>
      <c r="U45" s="5">
        <v>3</v>
      </c>
      <c r="V45" s="5" t="s">
        <v>35</v>
      </c>
    </row>
    <row r="46" spans="1:22" x14ac:dyDescent="0.3">
      <c r="A46" s="5" t="s">
        <v>222</v>
      </c>
      <c r="B46" s="6">
        <v>46202</v>
      </c>
      <c r="C46" s="5" t="s">
        <v>223</v>
      </c>
      <c r="D46" s="5" t="s">
        <v>76</v>
      </c>
      <c r="E46" s="5" t="s">
        <v>59</v>
      </c>
      <c r="F46" s="5" t="s">
        <v>60</v>
      </c>
      <c r="G46" s="5" t="s">
        <v>61</v>
      </c>
      <c r="H46" s="5" t="s">
        <v>224</v>
      </c>
      <c r="I46" s="5" t="s">
        <v>225</v>
      </c>
      <c r="J46" s="5" t="s">
        <v>102</v>
      </c>
      <c r="K46" s="5" t="s">
        <v>103</v>
      </c>
      <c r="L46" s="5">
        <v>4</v>
      </c>
      <c r="M46" s="5">
        <v>48780</v>
      </c>
      <c r="N46" s="5">
        <v>10</v>
      </c>
      <c r="O46" s="5">
        <v>175608</v>
      </c>
      <c r="P46" s="5">
        <v>116574.54</v>
      </c>
      <c r="Q46" s="5">
        <v>59033.46</v>
      </c>
      <c r="R46" s="5" t="s">
        <v>32</v>
      </c>
      <c r="S46" s="5" t="s">
        <v>33</v>
      </c>
      <c r="T46" s="5" t="s">
        <v>65</v>
      </c>
      <c r="U46" s="5">
        <v>5</v>
      </c>
      <c r="V46" s="5" t="s">
        <v>35</v>
      </c>
    </row>
    <row r="47" spans="1:22" x14ac:dyDescent="0.3">
      <c r="A47" s="5" t="s">
        <v>226</v>
      </c>
      <c r="B47" s="6">
        <v>46142</v>
      </c>
      <c r="C47" s="5" t="s">
        <v>175</v>
      </c>
      <c r="D47" s="5" t="s">
        <v>110</v>
      </c>
      <c r="E47" s="5" t="s">
        <v>59</v>
      </c>
      <c r="F47" s="5" t="s">
        <v>60</v>
      </c>
      <c r="G47" s="5" t="s">
        <v>61</v>
      </c>
      <c r="H47" s="5" t="s">
        <v>118</v>
      </c>
      <c r="I47" s="5" t="s">
        <v>119</v>
      </c>
      <c r="J47" s="5" t="s">
        <v>54</v>
      </c>
      <c r="K47" s="5" t="s">
        <v>97</v>
      </c>
      <c r="L47" s="5">
        <v>5</v>
      </c>
      <c r="M47" s="5">
        <v>25514</v>
      </c>
      <c r="N47" s="5">
        <v>0</v>
      </c>
      <c r="O47" s="5">
        <v>127570</v>
      </c>
      <c r="P47" s="5">
        <v>87868.28</v>
      </c>
      <c r="Q47" s="5">
        <v>39701.72</v>
      </c>
      <c r="R47" s="5" t="s">
        <v>44</v>
      </c>
      <c r="S47" s="5" t="s">
        <v>82</v>
      </c>
      <c r="T47" s="5" t="s">
        <v>34</v>
      </c>
      <c r="U47" s="5">
        <v>3</v>
      </c>
      <c r="V47" s="5" t="s">
        <v>35</v>
      </c>
    </row>
    <row r="48" spans="1:22" x14ac:dyDescent="0.3">
      <c r="A48" s="5" t="s">
        <v>227</v>
      </c>
      <c r="B48" s="6">
        <v>46037</v>
      </c>
      <c r="C48" s="5" t="s">
        <v>228</v>
      </c>
      <c r="D48" s="5" t="s">
        <v>38</v>
      </c>
      <c r="E48" s="5" t="s">
        <v>126</v>
      </c>
      <c r="F48" s="5" t="s">
        <v>126</v>
      </c>
      <c r="G48" s="5" t="s">
        <v>51</v>
      </c>
      <c r="H48" s="5" t="s">
        <v>172</v>
      </c>
      <c r="I48" s="5" t="s">
        <v>173</v>
      </c>
      <c r="J48" s="5" t="s">
        <v>54</v>
      </c>
      <c r="K48" s="5" t="s">
        <v>97</v>
      </c>
      <c r="L48" s="5">
        <v>3</v>
      </c>
      <c r="M48" s="5">
        <v>63197</v>
      </c>
      <c r="N48" s="5">
        <v>20</v>
      </c>
      <c r="O48" s="5">
        <v>151672.79999999999</v>
      </c>
      <c r="P48" s="5">
        <v>129068.53</v>
      </c>
      <c r="Q48" s="5">
        <v>22604.27</v>
      </c>
      <c r="R48" s="5" t="s">
        <v>32</v>
      </c>
      <c r="S48" s="5" t="s">
        <v>82</v>
      </c>
      <c r="T48" s="5" t="s">
        <v>34</v>
      </c>
      <c r="U48" s="5">
        <v>3</v>
      </c>
      <c r="V48" s="5" t="s">
        <v>45</v>
      </c>
    </row>
    <row r="49" spans="1:22" x14ac:dyDescent="0.3">
      <c r="A49" s="5" t="s">
        <v>229</v>
      </c>
      <c r="B49" s="6">
        <v>46120</v>
      </c>
      <c r="C49" s="5" t="s">
        <v>230</v>
      </c>
      <c r="D49" s="5" t="s">
        <v>48</v>
      </c>
      <c r="E49" s="5" t="s">
        <v>94</v>
      </c>
      <c r="F49" s="5" t="s">
        <v>26</v>
      </c>
      <c r="G49" s="5" t="s">
        <v>27</v>
      </c>
      <c r="H49" s="5" t="s">
        <v>231</v>
      </c>
      <c r="I49" s="5" t="s">
        <v>232</v>
      </c>
      <c r="J49" s="5" t="s">
        <v>54</v>
      </c>
      <c r="K49" s="5" t="s">
        <v>97</v>
      </c>
      <c r="L49" s="5">
        <v>3</v>
      </c>
      <c r="M49" s="5">
        <v>6018</v>
      </c>
      <c r="N49" s="5">
        <v>15</v>
      </c>
      <c r="O49" s="5">
        <v>15345.9</v>
      </c>
      <c r="P49" s="5">
        <v>15007.05</v>
      </c>
      <c r="Q49" s="5">
        <v>338.85</v>
      </c>
      <c r="R49" s="5" t="s">
        <v>44</v>
      </c>
      <c r="S49" s="5" t="s">
        <v>33</v>
      </c>
      <c r="T49" s="5" t="s">
        <v>34</v>
      </c>
      <c r="U49" s="5">
        <v>3</v>
      </c>
      <c r="V49" s="5" t="s">
        <v>45</v>
      </c>
    </row>
    <row r="50" spans="1:22" x14ac:dyDescent="0.3">
      <c r="A50" s="5" t="s">
        <v>233</v>
      </c>
      <c r="B50" s="6">
        <v>46055</v>
      </c>
      <c r="C50" s="5" t="s">
        <v>209</v>
      </c>
      <c r="D50" s="5" t="s">
        <v>117</v>
      </c>
      <c r="E50" s="5" t="s">
        <v>49</v>
      </c>
      <c r="F50" s="5" t="s">
        <v>50</v>
      </c>
      <c r="G50" s="5" t="s">
        <v>51</v>
      </c>
      <c r="H50" s="5" t="s">
        <v>234</v>
      </c>
      <c r="I50" s="5" t="s">
        <v>235</v>
      </c>
      <c r="J50" s="5" t="s">
        <v>102</v>
      </c>
      <c r="K50" s="5" t="s">
        <v>103</v>
      </c>
      <c r="L50" s="5">
        <v>1</v>
      </c>
      <c r="M50" s="5">
        <v>44458</v>
      </c>
      <c r="N50" s="5">
        <v>15</v>
      </c>
      <c r="O50" s="5">
        <v>37789.300000000003</v>
      </c>
      <c r="P50" s="5">
        <v>24467.84</v>
      </c>
      <c r="Q50" s="5">
        <v>13321.46</v>
      </c>
      <c r="R50" s="5" t="s">
        <v>44</v>
      </c>
      <c r="S50" s="5" t="s">
        <v>33</v>
      </c>
      <c r="T50" s="5" t="s">
        <v>73</v>
      </c>
      <c r="U50" s="5">
        <v>2</v>
      </c>
      <c r="V50" s="5" t="s">
        <v>45</v>
      </c>
    </row>
    <row r="51" spans="1:22" x14ac:dyDescent="0.3">
      <c r="A51" s="5" t="s">
        <v>236</v>
      </c>
      <c r="B51" s="6">
        <v>46043</v>
      </c>
      <c r="C51" s="5" t="s">
        <v>237</v>
      </c>
      <c r="D51" s="5" t="s">
        <v>58</v>
      </c>
      <c r="E51" s="5" t="s">
        <v>94</v>
      </c>
      <c r="F51" s="5" t="s">
        <v>26</v>
      </c>
      <c r="G51" s="5" t="s">
        <v>27</v>
      </c>
      <c r="H51" s="5" t="s">
        <v>238</v>
      </c>
      <c r="I51" s="5" t="s">
        <v>239</v>
      </c>
      <c r="J51" s="5" t="s">
        <v>71</v>
      </c>
      <c r="K51" s="5" t="s">
        <v>81</v>
      </c>
      <c r="L51" s="5">
        <v>5</v>
      </c>
      <c r="M51" s="5">
        <v>73704</v>
      </c>
      <c r="N51" s="5">
        <v>5</v>
      </c>
      <c r="O51" s="5">
        <v>350094</v>
      </c>
      <c r="P51" s="5">
        <v>240217.81</v>
      </c>
      <c r="Q51" s="5">
        <v>109876.19</v>
      </c>
      <c r="R51" s="5" t="s">
        <v>32</v>
      </c>
      <c r="S51" s="5" t="s">
        <v>33</v>
      </c>
      <c r="T51" s="5" t="s">
        <v>65</v>
      </c>
      <c r="U51" s="5">
        <v>4</v>
      </c>
      <c r="V51" s="5" t="s">
        <v>45</v>
      </c>
    </row>
    <row r="52" spans="1:22" x14ac:dyDescent="0.3">
      <c r="A52" s="5" t="s">
        <v>240</v>
      </c>
      <c r="B52" s="6">
        <v>46103</v>
      </c>
      <c r="C52" s="5" t="s">
        <v>99</v>
      </c>
      <c r="D52" s="5" t="s">
        <v>76</v>
      </c>
      <c r="E52" s="5" t="s">
        <v>39</v>
      </c>
      <c r="F52" s="5" t="s">
        <v>40</v>
      </c>
      <c r="G52" s="5" t="s">
        <v>41</v>
      </c>
      <c r="H52" s="5" t="s">
        <v>241</v>
      </c>
      <c r="I52" s="5" t="s">
        <v>242</v>
      </c>
      <c r="J52" s="5" t="s">
        <v>54</v>
      </c>
      <c r="K52" s="5" t="s">
        <v>55</v>
      </c>
      <c r="L52" s="5">
        <v>2</v>
      </c>
      <c r="M52" s="5">
        <v>79831</v>
      </c>
      <c r="N52" s="5">
        <v>10</v>
      </c>
      <c r="O52" s="5">
        <v>143695.79999999999</v>
      </c>
      <c r="P52" s="5">
        <v>133459.69</v>
      </c>
      <c r="Q52" s="5">
        <v>10236.11</v>
      </c>
      <c r="R52" s="5" t="s">
        <v>44</v>
      </c>
      <c r="S52" s="5" t="s">
        <v>33</v>
      </c>
      <c r="T52" s="5" t="s">
        <v>73</v>
      </c>
      <c r="U52" s="5">
        <v>5</v>
      </c>
      <c r="V52" s="5" t="s">
        <v>45</v>
      </c>
    </row>
    <row r="53" spans="1:22" x14ac:dyDescent="0.3">
      <c r="A53" s="5" t="s">
        <v>243</v>
      </c>
      <c r="B53" s="6">
        <v>46165</v>
      </c>
      <c r="C53" s="5" t="s">
        <v>244</v>
      </c>
      <c r="D53" s="5" t="s">
        <v>89</v>
      </c>
      <c r="E53" s="5" t="s">
        <v>25</v>
      </c>
      <c r="F53" s="5" t="s">
        <v>26</v>
      </c>
      <c r="G53" s="5" t="s">
        <v>27</v>
      </c>
      <c r="H53" s="5" t="s">
        <v>245</v>
      </c>
      <c r="I53" s="5" t="s">
        <v>246</v>
      </c>
      <c r="J53" s="5" t="s">
        <v>54</v>
      </c>
      <c r="K53" s="5" t="s">
        <v>97</v>
      </c>
      <c r="L53" s="5">
        <v>1</v>
      </c>
      <c r="M53" s="5">
        <v>35624</v>
      </c>
      <c r="N53" s="5">
        <v>0</v>
      </c>
      <c r="O53" s="5">
        <v>35624</v>
      </c>
      <c r="P53" s="5">
        <v>21002.5</v>
      </c>
      <c r="Q53" s="5">
        <v>14621.5</v>
      </c>
      <c r="R53" s="5" t="s">
        <v>44</v>
      </c>
      <c r="S53" s="5" t="s">
        <v>33</v>
      </c>
      <c r="T53" s="5" t="s">
        <v>65</v>
      </c>
      <c r="U53" s="5">
        <v>5</v>
      </c>
      <c r="V53" s="5" t="s">
        <v>35</v>
      </c>
    </row>
    <row r="54" spans="1:22" x14ac:dyDescent="0.3">
      <c r="A54" s="5" t="s">
        <v>247</v>
      </c>
      <c r="B54" s="6">
        <v>46053</v>
      </c>
      <c r="C54" s="5" t="s">
        <v>248</v>
      </c>
      <c r="D54" s="5" t="s">
        <v>24</v>
      </c>
      <c r="E54" s="5" t="s">
        <v>77</v>
      </c>
      <c r="F54" s="5" t="s">
        <v>78</v>
      </c>
      <c r="G54" s="5" t="s">
        <v>41</v>
      </c>
      <c r="H54" s="5" t="s">
        <v>168</v>
      </c>
      <c r="I54" s="5" t="s">
        <v>169</v>
      </c>
      <c r="J54" s="5" t="s">
        <v>102</v>
      </c>
      <c r="K54" s="5" t="s">
        <v>103</v>
      </c>
      <c r="L54" s="5">
        <v>2</v>
      </c>
      <c r="M54" s="5">
        <v>28038</v>
      </c>
      <c r="N54" s="5">
        <v>0</v>
      </c>
      <c r="O54" s="5">
        <v>56076</v>
      </c>
      <c r="P54" s="5">
        <v>40285.03</v>
      </c>
      <c r="Q54" s="5">
        <v>15790.97</v>
      </c>
      <c r="R54" s="5" t="s">
        <v>44</v>
      </c>
      <c r="S54" s="5" t="s">
        <v>33</v>
      </c>
      <c r="T54" s="5" t="s">
        <v>34</v>
      </c>
      <c r="U54" s="5">
        <v>3</v>
      </c>
      <c r="V54" s="5" t="s">
        <v>45</v>
      </c>
    </row>
    <row r="55" spans="1:22" x14ac:dyDescent="0.3">
      <c r="A55" s="5" t="s">
        <v>249</v>
      </c>
      <c r="B55" s="6">
        <v>46128</v>
      </c>
      <c r="C55" s="5" t="s">
        <v>250</v>
      </c>
      <c r="D55" s="5" t="s">
        <v>110</v>
      </c>
      <c r="E55" s="5" t="s">
        <v>49</v>
      </c>
      <c r="F55" s="5" t="s">
        <v>50</v>
      </c>
      <c r="G55" s="5" t="s">
        <v>51</v>
      </c>
      <c r="H55" s="5" t="s">
        <v>69</v>
      </c>
      <c r="I55" s="5" t="s">
        <v>70</v>
      </c>
      <c r="J55" s="5" t="s">
        <v>71</v>
      </c>
      <c r="K55" s="5" t="s">
        <v>72</v>
      </c>
      <c r="L55" s="5">
        <v>2</v>
      </c>
      <c r="M55" s="5">
        <v>55803</v>
      </c>
      <c r="N55" s="5">
        <v>15</v>
      </c>
      <c r="O55" s="5">
        <v>94865.1</v>
      </c>
      <c r="P55" s="5">
        <v>64229.29</v>
      </c>
      <c r="Q55" s="5">
        <v>30635.81</v>
      </c>
      <c r="R55" s="5" t="s">
        <v>64</v>
      </c>
      <c r="S55" s="5" t="s">
        <v>82</v>
      </c>
      <c r="T55" s="5" t="s">
        <v>65</v>
      </c>
      <c r="U55" s="5">
        <v>5</v>
      </c>
      <c r="V55" s="5" t="s">
        <v>35</v>
      </c>
    </row>
    <row r="56" spans="1:22" x14ac:dyDescent="0.3">
      <c r="A56" s="5" t="s">
        <v>251</v>
      </c>
      <c r="B56" s="6">
        <v>46086</v>
      </c>
      <c r="C56" s="5" t="s">
        <v>252</v>
      </c>
      <c r="D56" s="5" t="s">
        <v>76</v>
      </c>
      <c r="E56" s="5" t="s">
        <v>39</v>
      </c>
      <c r="F56" s="5" t="s">
        <v>40</v>
      </c>
      <c r="G56" s="5" t="s">
        <v>41</v>
      </c>
      <c r="H56" s="5" t="s">
        <v>253</v>
      </c>
      <c r="I56" s="5" t="s">
        <v>254</v>
      </c>
      <c r="J56" s="5" t="s">
        <v>54</v>
      </c>
      <c r="K56" s="5" t="s">
        <v>55</v>
      </c>
      <c r="L56" s="5">
        <v>5</v>
      </c>
      <c r="M56" s="5">
        <v>37419</v>
      </c>
      <c r="N56" s="5">
        <v>10</v>
      </c>
      <c r="O56" s="5">
        <v>168385.5</v>
      </c>
      <c r="P56" s="5">
        <v>134820.62</v>
      </c>
      <c r="Q56" s="5">
        <v>33564.879999999997</v>
      </c>
      <c r="R56" s="5" t="s">
        <v>32</v>
      </c>
      <c r="S56" s="5" t="s">
        <v>33</v>
      </c>
      <c r="T56" s="5" t="s">
        <v>65</v>
      </c>
      <c r="U56" s="5">
        <v>3</v>
      </c>
      <c r="V56" s="5" t="s">
        <v>35</v>
      </c>
    </row>
    <row r="57" spans="1:22" x14ac:dyDescent="0.3">
      <c r="A57" s="5" t="s">
        <v>255</v>
      </c>
      <c r="B57" s="6">
        <v>46107</v>
      </c>
      <c r="C57" s="5" t="s">
        <v>256</v>
      </c>
      <c r="D57" s="5" t="s">
        <v>110</v>
      </c>
      <c r="E57" s="5" t="s">
        <v>94</v>
      </c>
      <c r="F57" s="5" t="s">
        <v>26</v>
      </c>
      <c r="G57" s="5" t="s">
        <v>27</v>
      </c>
      <c r="H57" s="5" t="s">
        <v>257</v>
      </c>
      <c r="I57" s="5" t="s">
        <v>258</v>
      </c>
      <c r="J57" s="5" t="s">
        <v>71</v>
      </c>
      <c r="K57" s="5" t="s">
        <v>81</v>
      </c>
      <c r="L57" s="5">
        <v>4</v>
      </c>
      <c r="M57" s="5">
        <v>79507</v>
      </c>
      <c r="N57" s="5">
        <v>20</v>
      </c>
      <c r="O57" s="5">
        <v>254422.39999999999</v>
      </c>
      <c r="P57" s="5">
        <v>258152.59</v>
      </c>
      <c r="Q57" s="5">
        <v>-3730.19</v>
      </c>
      <c r="R57" s="5" t="s">
        <v>32</v>
      </c>
      <c r="S57" s="5" t="s">
        <v>82</v>
      </c>
      <c r="T57" s="5" t="s">
        <v>65</v>
      </c>
      <c r="U57" s="5">
        <v>5</v>
      </c>
      <c r="V57" s="5" t="s">
        <v>35</v>
      </c>
    </row>
    <row r="58" spans="1:22" x14ac:dyDescent="0.3">
      <c r="A58" s="5" t="s">
        <v>259</v>
      </c>
      <c r="B58" s="6">
        <v>46061</v>
      </c>
      <c r="C58" s="5" t="s">
        <v>260</v>
      </c>
      <c r="D58" s="5" t="s">
        <v>48</v>
      </c>
      <c r="E58" s="5" t="s">
        <v>77</v>
      </c>
      <c r="F58" s="5" t="s">
        <v>78</v>
      </c>
      <c r="G58" s="5" t="s">
        <v>41</v>
      </c>
      <c r="H58" s="5" t="s">
        <v>261</v>
      </c>
      <c r="I58" s="5" t="s">
        <v>262</v>
      </c>
      <c r="J58" s="5" t="s">
        <v>102</v>
      </c>
      <c r="K58" s="5" t="s">
        <v>103</v>
      </c>
      <c r="L58" s="5">
        <v>3</v>
      </c>
      <c r="M58" s="5">
        <v>65425</v>
      </c>
      <c r="N58" s="5">
        <v>0</v>
      </c>
      <c r="O58" s="5">
        <v>196275</v>
      </c>
      <c r="P58" s="5">
        <v>157838.04</v>
      </c>
      <c r="Q58" s="5">
        <v>38436.959999999999</v>
      </c>
      <c r="R58" s="5" t="s">
        <v>32</v>
      </c>
      <c r="S58" s="5" t="s">
        <v>33</v>
      </c>
      <c r="T58" s="5" t="s">
        <v>65</v>
      </c>
      <c r="U58" s="5">
        <v>2</v>
      </c>
      <c r="V58" s="5" t="s">
        <v>45</v>
      </c>
    </row>
    <row r="59" spans="1:22" x14ac:dyDescent="0.3">
      <c r="A59" s="5" t="s">
        <v>263</v>
      </c>
      <c r="B59" s="6">
        <v>46044</v>
      </c>
      <c r="C59" s="5" t="s">
        <v>264</v>
      </c>
      <c r="D59" s="5" t="s">
        <v>24</v>
      </c>
      <c r="E59" s="5" t="s">
        <v>126</v>
      </c>
      <c r="F59" s="5" t="s">
        <v>126</v>
      </c>
      <c r="G59" s="5" t="s">
        <v>51</v>
      </c>
      <c r="H59" s="5" t="s">
        <v>265</v>
      </c>
      <c r="I59" s="5" t="s">
        <v>266</v>
      </c>
      <c r="J59" s="5" t="s">
        <v>71</v>
      </c>
      <c r="K59" s="5" t="s">
        <v>81</v>
      </c>
      <c r="L59" s="5">
        <v>1</v>
      </c>
      <c r="M59" s="5">
        <v>56709</v>
      </c>
      <c r="N59" s="5">
        <v>5</v>
      </c>
      <c r="O59" s="5">
        <v>53873.55</v>
      </c>
      <c r="P59" s="5">
        <v>32047.15</v>
      </c>
      <c r="Q59" s="5">
        <v>21826.400000000001</v>
      </c>
      <c r="R59" s="5" t="s">
        <v>44</v>
      </c>
      <c r="S59" s="5" t="s">
        <v>33</v>
      </c>
      <c r="T59" s="5" t="s">
        <v>34</v>
      </c>
      <c r="U59" s="5">
        <v>1</v>
      </c>
      <c r="V59" s="5" t="s">
        <v>35</v>
      </c>
    </row>
    <row r="60" spans="1:22" x14ac:dyDescent="0.3">
      <c r="A60" s="5" t="s">
        <v>267</v>
      </c>
      <c r="B60" s="6">
        <v>46155</v>
      </c>
      <c r="C60" s="5" t="s">
        <v>268</v>
      </c>
      <c r="D60" s="5" t="s">
        <v>24</v>
      </c>
      <c r="E60" s="5" t="s">
        <v>39</v>
      </c>
      <c r="F60" s="5" t="s">
        <v>40</v>
      </c>
      <c r="G60" s="5" t="s">
        <v>41</v>
      </c>
      <c r="H60" s="5" t="s">
        <v>269</v>
      </c>
      <c r="I60" s="5" t="s">
        <v>270</v>
      </c>
      <c r="J60" s="5" t="s">
        <v>71</v>
      </c>
      <c r="K60" s="5" t="s">
        <v>72</v>
      </c>
      <c r="L60" s="5">
        <v>3</v>
      </c>
      <c r="M60" s="5">
        <v>60407</v>
      </c>
      <c r="N60" s="5">
        <v>0</v>
      </c>
      <c r="O60" s="5">
        <v>181221</v>
      </c>
      <c r="P60" s="5">
        <v>148154.23999999999</v>
      </c>
      <c r="Q60" s="5">
        <v>33066.76</v>
      </c>
      <c r="R60" s="5" t="s">
        <v>44</v>
      </c>
      <c r="S60" s="5" t="s">
        <v>82</v>
      </c>
      <c r="T60" s="5" t="s">
        <v>65</v>
      </c>
      <c r="U60" s="5">
        <v>3</v>
      </c>
      <c r="V60" s="5" t="s">
        <v>45</v>
      </c>
    </row>
    <row r="61" spans="1:22" x14ac:dyDescent="0.3">
      <c r="A61" s="5" t="s">
        <v>271</v>
      </c>
      <c r="B61" s="6">
        <v>46094</v>
      </c>
      <c r="C61" s="5" t="s">
        <v>272</v>
      </c>
      <c r="D61" s="5" t="s">
        <v>76</v>
      </c>
      <c r="E61" s="5" t="s">
        <v>49</v>
      </c>
      <c r="F61" s="5" t="s">
        <v>50</v>
      </c>
      <c r="G61" s="5" t="s">
        <v>51</v>
      </c>
      <c r="H61" s="5" t="s">
        <v>224</v>
      </c>
      <c r="I61" s="5" t="s">
        <v>225</v>
      </c>
      <c r="J61" s="5" t="s">
        <v>102</v>
      </c>
      <c r="K61" s="5" t="s">
        <v>103</v>
      </c>
      <c r="L61" s="5">
        <v>2</v>
      </c>
      <c r="M61" s="5">
        <v>14316</v>
      </c>
      <c r="N61" s="5">
        <v>20</v>
      </c>
      <c r="O61" s="5">
        <v>22905.599999999999</v>
      </c>
      <c r="P61" s="5">
        <v>21174.94</v>
      </c>
      <c r="Q61" s="5">
        <v>1730.66</v>
      </c>
      <c r="R61" s="5" t="s">
        <v>44</v>
      </c>
      <c r="S61" s="5" t="s">
        <v>82</v>
      </c>
      <c r="T61" s="5" t="s">
        <v>34</v>
      </c>
      <c r="U61" s="5">
        <v>1</v>
      </c>
      <c r="V61" s="5" t="s">
        <v>35</v>
      </c>
    </row>
    <row r="62" spans="1:22" x14ac:dyDescent="0.3">
      <c r="A62" s="5" t="s">
        <v>273</v>
      </c>
      <c r="B62" s="6">
        <v>46098</v>
      </c>
      <c r="C62" s="5" t="s">
        <v>274</v>
      </c>
      <c r="D62" s="5" t="s">
        <v>68</v>
      </c>
      <c r="E62" s="5" t="s">
        <v>94</v>
      </c>
      <c r="F62" s="5" t="s">
        <v>26</v>
      </c>
      <c r="G62" s="5" t="s">
        <v>27</v>
      </c>
      <c r="H62" s="5" t="s">
        <v>164</v>
      </c>
      <c r="I62" s="5" t="s">
        <v>165</v>
      </c>
      <c r="J62" s="5" t="s">
        <v>102</v>
      </c>
      <c r="K62" s="5" t="s">
        <v>103</v>
      </c>
      <c r="L62" s="5">
        <v>3</v>
      </c>
      <c r="M62" s="5">
        <v>22186</v>
      </c>
      <c r="N62" s="5">
        <v>20</v>
      </c>
      <c r="O62" s="5">
        <v>53246.400000000001</v>
      </c>
      <c r="P62" s="5">
        <v>49033.45</v>
      </c>
      <c r="Q62" s="5">
        <v>4212.95</v>
      </c>
      <c r="R62" s="5" t="s">
        <v>32</v>
      </c>
      <c r="S62" s="5" t="s">
        <v>82</v>
      </c>
      <c r="T62" s="5" t="s">
        <v>34</v>
      </c>
      <c r="U62" s="5">
        <v>4</v>
      </c>
      <c r="V62" s="5" t="s">
        <v>35</v>
      </c>
    </row>
    <row r="63" spans="1:22" x14ac:dyDescent="0.3">
      <c r="A63" s="5" t="s">
        <v>275</v>
      </c>
      <c r="B63" s="6">
        <v>46119</v>
      </c>
      <c r="C63" s="5" t="s">
        <v>276</v>
      </c>
      <c r="D63" s="5" t="s">
        <v>24</v>
      </c>
      <c r="E63" s="5" t="s">
        <v>49</v>
      </c>
      <c r="F63" s="5" t="s">
        <v>50</v>
      </c>
      <c r="G63" s="5" t="s">
        <v>51</v>
      </c>
      <c r="H63" s="5" t="s">
        <v>277</v>
      </c>
      <c r="I63" s="5" t="s">
        <v>278</v>
      </c>
      <c r="J63" s="5" t="s">
        <v>71</v>
      </c>
      <c r="K63" s="5" t="s">
        <v>81</v>
      </c>
      <c r="L63" s="5">
        <v>1</v>
      </c>
      <c r="M63" s="5">
        <v>45793</v>
      </c>
      <c r="N63" s="5">
        <v>10</v>
      </c>
      <c r="O63" s="5">
        <v>41213.699999999997</v>
      </c>
      <c r="P63" s="5">
        <v>32207.33</v>
      </c>
      <c r="Q63" s="5">
        <v>9006.3700000000008</v>
      </c>
      <c r="R63" s="5" t="s">
        <v>44</v>
      </c>
      <c r="S63" s="5" t="s">
        <v>82</v>
      </c>
      <c r="T63" s="5" t="s">
        <v>73</v>
      </c>
      <c r="U63" s="5">
        <v>4</v>
      </c>
      <c r="V63" s="5" t="s">
        <v>35</v>
      </c>
    </row>
    <row r="64" spans="1:22" x14ac:dyDescent="0.3">
      <c r="A64" s="5" t="s">
        <v>279</v>
      </c>
      <c r="B64" s="6">
        <v>46095</v>
      </c>
      <c r="C64" s="5" t="s">
        <v>280</v>
      </c>
      <c r="D64" s="5" t="s">
        <v>38</v>
      </c>
      <c r="E64" s="5" t="s">
        <v>94</v>
      </c>
      <c r="F64" s="5" t="s">
        <v>26</v>
      </c>
      <c r="G64" s="5" t="s">
        <v>27</v>
      </c>
      <c r="H64" s="5" t="s">
        <v>281</v>
      </c>
      <c r="I64" s="5" t="s">
        <v>282</v>
      </c>
      <c r="J64" s="5" t="s">
        <v>30</v>
      </c>
      <c r="K64" s="5" t="s">
        <v>31</v>
      </c>
      <c r="L64" s="5">
        <v>1</v>
      </c>
      <c r="M64" s="5">
        <v>12709</v>
      </c>
      <c r="N64" s="5">
        <v>10</v>
      </c>
      <c r="O64" s="5">
        <v>11438.1</v>
      </c>
      <c r="P64" s="5">
        <v>8562.69</v>
      </c>
      <c r="Q64" s="5">
        <v>2875.41</v>
      </c>
      <c r="R64" s="5" t="s">
        <v>64</v>
      </c>
      <c r="S64" s="5" t="s">
        <v>82</v>
      </c>
      <c r="T64" s="5" t="s">
        <v>65</v>
      </c>
      <c r="U64" s="5">
        <v>1</v>
      </c>
      <c r="V64" s="5" t="s">
        <v>45</v>
      </c>
    </row>
    <row r="65" spans="1:22" x14ac:dyDescent="0.3">
      <c r="A65" s="5" t="s">
        <v>283</v>
      </c>
      <c r="B65" s="6">
        <v>46111</v>
      </c>
      <c r="C65" s="5" t="s">
        <v>274</v>
      </c>
      <c r="D65" s="5" t="s">
        <v>68</v>
      </c>
      <c r="E65" s="5" t="s">
        <v>49</v>
      </c>
      <c r="F65" s="5" t="s">
        <v>50</v>
      </c>
      <c r="G65" s="5" t="s">
        <v>51</v>
      </c>
      <c r="H65" s="5" t="s">
        <v>284</v>
      </c>
      <c r="I65" s="5" t="s">
        <v>285</v>
      </c>
      <c r="J65" s="5" t="s">
        <v>54</v>
      </c>
      <c r="K65" s="5" t="s">
        <v>55</v>
      </c>
      <c r="L65" s="5">
        <v>3</v>
      </c>
      <c r="M65" s="5">
        <v>64758</v>
      </c>
      <c r="N65" s="5">
        <v>5</v>
      </c>
      <c r="O65" s="5">
        <v>184560.3</v>
      </c>
      <c r="P65" s="5">
        <v>148818.15</v>
      </c>
      <c r="Q65" s="5">
        <v>35742.15</v>
      </c>
      <c r="R65" s="5" t="s">
        <v>64</v>
      </c>
      <c r="S65" s="5" t="s">
        <v>82</v>
      </c>
      <c r="T65" s="5" t="s">
        <v>34</v>
      </c>
      <c r="U65" s="5">
        <v>1</v>
      </c>
      <c r="V65" s="5" t="s">
        <v>45</v>
      </c>
    </row>
    <row r="66" spans="1:22" x14ac:dyDescent="0.3">
      <c r="A66" s="5" t="s">
        <v>286</v>
      </c>
      <c r="B66" s="6">
        <v>46131</v>
      </c>
      <c r="C66" s="5" t="s">
        <v>287</v>
      </c>
      <c r="D66" s="5" t="s">
        <v>76</v>
      </c>
      <c r="E66" s="5" t="s">
        <v>25</v>
      </c>
      <c r="F66" s="5" t="s">
        <v>26</v>
      </c>
      <c r="G66" s="5" t="s">
        <v>27</v>
      </c>
      <c r="H66" s="5" t="s">
        <v>176</v>
      </c>
      <c r="I66" s="5" t="s">
        <v>177</v>
      </c>
      <c r="J66" s="5" t="s">
        <v>54</v>
      </c>
      <c r="K66" s="5" t="s">
        <v>97</v>
      </c>
      <c r="L66" s="5">
        <v>1</v>
      </c>
      <c r="M66" s="5">
        <v>39518</v>
      </c>
      <c r="N66" s="5">
        <v>5</v>
      </c>
      <c r="O66" s="5">
        <v>37542.1</v>
      </c>
      <c r="P66" s="5">
        <v>23486.54</v>
      </c>
      <c r="Q66" s="5">
        <v>14055.56</v>
      </c>
      <c r="R66" s="5" t="s">
        <v>44</v>
      </c>
      <c r="S66" s="5" t="s">
        <v>82</v>
      </c>
      <c r="T66" s="5" t="s">
        <v>34</v>
      </c>
      <c r="U66" s="5">
        <v>2</v>
      </c>
      <c r="V66" s="5" t="s">
        <v>35</v>
      </c>
    </row>
    <row r="67" spans="1:22" x14ac:dyDescent="0.3">
      <c r="A67" s="5" t="s">
        <v>288</v>
      </c>
      <c r="B67" s="6">
        <v>46117</v>
      </c>
      <c r="C67" s="5" t="s">
        <v>289</v>
      </c>
      <c r="D67" s="5" t="s">
        <v>58</v>
      </c>
      <c r="E67" s="5" t="s">
        <v>126</v>
      </c>
      <c r="F67" s="5" t="s">
        <v>126</v>
      </c>
      <c r="G67" s="5" t="s">
        <v>51</v>
      </c>
      <c r="H67" s="5" t="s">
        <v>156</v>
      </c>
      <c r="I67" s="5" t="s">
        <v>157</v>
      </c>
      <c r="J67" s="5" t="s">
        <v>30</v>
      </c>
      <c r="K67" s="5" t="s">
        <v>31</v>
      </c>
      <c r="L67" s="5">
        <v>1</v>
      </c>
      <c r="M67" s="5">
        <v>64753</v>
      </c>
      <c r="N67" s="5">
        <v>20</v>
      </c>
      <c r="O67" s="5">
        <v>51802.400000000001</v>
      </c>
      <c r="P67" s="5">
        <v>37187.69</v>
      </c>
      <c r="Q67" s="5">
        <v>14614.71</v>
      </c>
      <c r="R67" s="5" t="s">
        <v>44</v>
      </c>
      <c r="S67" s="5" t="s">
        <v>82</v>
      </c>
      <c r="T67" s="5" t="s">
        <v>34</v>
      </c>
      <c r="U67" s="5">
        <v>1</v>
      </c>
      <c r="V67" s="5" t="s">
        <v>45</v>
      </c>
    </row>
    <row r="68" spans="1:22" x14ac:dyDescent="0.3">
      <c r="A68" s="5" t="s">
        <v>290</v>
      </c>
      <c r="B68" s="6">
        <v>46158</v>
      </c>
      <c r="C68" s="5" t="s">
        <v>159</v>
      </c>
      <c r="D68" s="5" t="s">
        <v>76</v>
      </c>
      <c r="E68" s="5" t="s">
        <v>59</v>
      </c>
      <c r="F68" s="5" t="s">
        <v>60</v>
      </c>
      <c r="G68" s="5" t="s">
        <v>61</v>
      </c>
      <c r="H68" s="5" t="s">
        <v>131</v>
      </c>
      <c r="I68" s="5" t="s">
        <v>132</v>
      </c>
      <c r="J68" s="5" t="s">
        <v>71</v>
      </c>
      <c r="K68" s="5" t="s">
        <v>81</v>
      </c>
      <c r="L68" s="5">
        <v>2</v>
      </c>
      <c r="M68" s="5">
        <v>2065</v>
      </c>
      <c r="N68" s="5">
        <v>15</v>
      </c>
      <c r="O68" s="5">
        <v>3510.5</v>
      </c>
      <c r="P68" s="5">
        <v>3320.72</v>
      </c>
      <c r="Q68" s="5">
        <v>189.78</v>
      </c>
      <c r="R68" s="5" t="s">
        <v>32</v>
      </c>
      <c r="S68" s="5" t="s">
        <v>33</v>
      </c>
      <c r="T68" s="5" t="s">
        <v>73</v>
      </c>
      <c r="U68" s="5">
        <v>5</v>
      </c>
      <c r="V68" s="5" t="s">
        <v>45</v>
      </c>
    </row>
    <row r="69" spans="1:22" x14ac:dyDescent="0.3">
      <c r="A69" s="5" t="s">
        <v>291</v>
      </c>
      <c r="B69" s="6">
        <v>46113</v>
      </c>
      <c r="C69" s="5" t="s">
        <v>292</v>
      </c>
      <c r="D69" s="5" t="s">
        <v>110</v>
      </c>
      <c r="E69" s="5" t="s">
        <v>94</v>
      </c>
      <c r="F69" s="5" t="s">
        <v>26</v>
      </c>
      <c r="G69" s="5" t="s">
        <v>27</v>
      </c>
      <c r="H69" s="5" t="s">
        <v>197</v>
      </c>
      <c r="I69" s="5" t="s">
        <v>198</v>
      </c>
      <c r="J69" s="5" t="s">
        <v>30</v>
      </c>
      <c r="K69" s="5" t="s">
        <v>31</v>
      </c>
      <c r="L69" s="5">
        <v>2</v>
      </c>
      <c r="M69" s="5">
        <v>63321</v>
      </c>
      <c r="N69" s="5">
        <v>15</v>
      </c>
      <c r="O69" s="5">
        <v>107645.7</v>
      </c>
      <c r="P69" s="5">
        <v>70433.789999999994</v>
      </c>
      <c r="Q69" s="5">
        <v>37211.910000000003</v>
      </c>
      <c r="R69" s="5" t="s">
        <v>64</v>
      </c>
      <c r="S69" s="5" t="s">
        <v>33</v>
      </c>
      <c r="T69" s="5" t="s">
        <v>73</v>
      </c>
      <c r="U69" s="5">
        <v>2</v>
      </c>
      <c r="V69" s="5" t="s">
        <v>35</v>
      </c>
    </row>
    <row r="70" spans="1:22" x14ac:dyDescent="0.3">
      <c r="A70" s="5" t="s">
        <v>293</v>
      </c>
      <c r="B70" s="6">
        <v>46081</v>
      </c>
      <c r="C70" s="5" t="s">
        <v>294</v>
      </c>
      <c r="D70" s="5" t="s">
        <v>48</v>
      </c>
      <c r="E70" s="5" t="s">
        <v>49</v>
      </c>
      <c r="F70" s="5" t="s">
        <v>50</v>
      </c>
      <c r="G70" s="5" t="s">
        <v>51</v>
      </c>
      <c r="H70" s="5" t="s">
        <v>295</v>
      </c>
      <c r="I70" s="5" t="s">
        <v>296</v>
      </c>
      <c r="J70" s="5" t="s">
        <v>30</v>
      </c>
      <c r="K70" s="5" t="s">
        <v>31</v>
      </c>
      <c r="L70" s="5">
        <v>1</v>
      </c>
      <c r="M70" s="5">
        <v>63115</v>
      </c>
      <c r="N70" s="5">
        <v>10</v>
      </c>
      <c r="O70" s="5">
        <v>56803.5</v>
      </c>
      <c r="P70" s="5">
        <v>43938.879999999997</v>
      </c>
      <c r="Q70" s="5">
        <v>12864.62</v>
      </c>
      <c r="R70" s="5" t="s">
        <v>32</v>
      </c>
      <c r="S70" s="5" t="s">
        <v>82</v>
      </c>
      <c r="T70" s="5" t="s">
        <v>73</v>
      </c>
      <c r="U70" s="5">
        <v>4</v>
      </c>
      <c r="V70" s="5" t="s">
        <v>45</v>
      </c>
    </row>
    <row r="71" spans="1:22" x14ac:dyDescent="0.3">
      <c r="A71" s="5" t="s">
        <v>297</v>
      </c>
      <c r="B71" s="6">
        <v>46142</v>
      </c>
      <c r="C71" s="5" t="s">
        <v>298</v>
      </c>
      <c r="D71" s="5" t="s">
        <v>151</v>
      </c>
      <c r="E71" s="5" t="s">
        <v>49</v>
      </c>
      <c r="F71" s="5" t="s">
        <v>50</v>
      </c>
      <c r="G71" s="5" t="s">
        <v>51</v>
      </c>
      <c r="H71" s="5" t="s">
        <v>299</v>
      </c>
      <c r="I71" s="5" t="s">
        <v>300</v>
      </c>
      <c r="J71" s="5" t="s">
        <v>71</v>
      </c>
      <c r="K71" s="5" t="s">
        <v>72</v>
      </c>
      <c r="L71" s="5">
        <v>5</v>
      </c>
      <c r="M71" s="5">
        <v>27303</v>
      </c>
      <c r="N71" s="5">
        <v>0</v>
      </c>
      <c r="O71" s="5">
        <v>136515</v>
      </c>
      <c r="P71" s="5">
        <v>91720.2</v>
      </c>
      <c r="Q71" s="5">
        <v>44794.8</v>
      </c>
      <c r="R71" s="5" t="s">
        <v>44</v>
      </c>
      <c r="S71" s="5" t="s">
        <v>33</v>
      </c>
      <c r="T71" s="5" t="s">
        <v>65</v>
      </c>
      <c r="U71" s="5">
        <v>4</v>
      </c>
      <c r="V71" s="5" t="s">
        <v>35</v>
      </c>
    </row>
    <row r="72" spans="1:22" x14ac:dyDescent="0.3">
      <c r="A72" s="5" t="s">
        <v>301</v>
      </c>
      <c r="B72" s="6">
        <v>46189</v>
      </c>
      <c r="C72" s="5" t="s">
        <v>302</v>
      </c>
      <c r="D72" s="5" t="s">
        <v>24</v>
      </c>
      <c r="E72" s="5" t="s">
        <v>126</v>
      </c>
      <c r="F72" s="5" t="s">
        <v>126</v>
      </c>
      <c r="G72" s="5" t="s">
        <v>51</v>
      </c>
      <c r="H72" s="5" t="s">
        <v>127</v>
      </c>
      <c r="I72" s="5" t="s">
        <v>128</v>
      </c>
      <c r="J72" s="5" t="s">
        <v>102</v>
      </c>
      <c r="K72" s="5" t="s">
        <v>103</v>
      </c>
      <c r="L72" s="5">
        <v>1</v>
      </c>
      <c r="M72" s="5">
        <v>34324</v>
      </c>
      <c r="N72" s="5">
        <v>15</v>
      </c>
      <c r="O72" s="5">
        <v>29175.4</v>
      </c>
      <c r="P72" s="5">
        <v>25704.3</v>
      </c>
      <c r="Q72" s="5">
        <v>3471.1</v>
      </c>
      <c r="R72" s="5" t="s">
        <v>44</v>
      </c>
      <c r="S72" s="5" t="s">
        <v>33</v>
      </c>
      <c r="T72" s="5" t="s">
        <v>65</v>
      </c>
      <c r="U72" s="5">
        <v>5</v>
      </c>
      <c r="V72" s="5" t="s">
        <v>35</v>
      </c>
    </row>
    <row r="73" spans="1:22" x14ac:dyDescent="0.3">
      <c r="A73" s="5" t="s">
        <v>303</v>
      </c>
      <c r="B73" s="6">
        <v>46194</v>
      </c>
      <c r="C73" s="5" t="s">
        <v>304</v>
      </c>
      <c r="D73" s="5" t="s">
        <v>89</v>
      </c>
      <c r="E73" s="5" t="s">
        <v>39</v>
      </c>
      <c r="F73" s="5" t="s">
        <v>40</v>
      </c>
      <c r="G73" s="5" t="s">
        <v>41</v>
      </c>
      <c r="H73" s="5" t="s">
        <v>203</v>
      </c>
      <c r="I73" s="5" t="s">
        <v>204</v>
      </c>
      <c r="J73" s="5" t="s">
        <v>71</v>
      </c>
      <c r="K73" s="5" t="s">
        <v>81</v>
      </c>
      <c r="L73" s="5">
        <v>2</v>
      </c>
      <c r="M73" s="5">
        <v>70701</v>
      </c>
      <c r="N73" s="5">
        <v>10</v>
      </c>
      <c r="O73" s="5">
        <v>127261.8</v>
      </c>
      <c r="P73" s="5">
        <v>118622.36</v>
      </c>
      <c r="Q73" s="5">
        <v>8639.44</v>
      </c>
      <c r="R73" s="5" t="s">
        <v>32</v>
      </c>
      <c r="S73" s="5" t="s">
        <v>82</v>
      </c>
      <c r="T73" s="5" t="s">
        <v>65</v>
      </c>
      <c r="U73" s="5">
        <v>4</v>
      </c>
      <c r="V73" s="5" t="s">
        <v>45</v>
      </c>
    </row>
    <row r="74" spans="1:22" x14ac:dyDescent="0.3">
      <c r="A74" s="5" t="s">
        <v>305</v>
      </c>
      <c r="B74" s="6">
        <v>46198</v>
      </c>
      <c r="C74" s="5" t="s">
        <v>167</v>
      </c>
      <c r="D74" s="5" t="s">
        <v>89</v>
      </c>
      <c r="E74" s="5" t="s">
        <v>59</v>
      </c>
      <c r="F74" s="5" t="s">
        <v>60</v>
      </c>
      <c r="G74" s="5" t="s">
        <v>61</v>
      </c>
      <c r="H74" s="5" t="s">
        <v>306</v>
      </c>
      <c r="I74" s="5" t="s">
        <v>307</v>
      </c>
      <c r="J74" s="5" t="s">
        <v>71</v>
      </c>
      <c r="K74" s="5" t="s">
        <v>81</v>
      </c>
      <c r="L74" s="5">
        <v>1</v>
      </c>
      <c r="M74" s="5">
        <v>67605</v>
      </c>
      <c r="N74" s="5">
        <v>10</v>
      </c>
      <c r="O74" s="5">
        <v>60844.5</v>
      </c>
      <c r="P74" s="5">
        <v>40377.800000000003</v>
      </c>
      <c r="Q74" s="5">
        <v>20466.7</v>
      </c>
      <c r="R74" s="5" t="s">
        <v>32</v>
      </c>
      <c r="S74" s="5" t="s">
        <v>33</v>
      </c>
      <c r="T74" s="5" t="s">
        <v>73</v>
      </c>
      <c r="U74" s="5">
        <v>1</v>
      </c>
      <c r="V74" s="5" t="s">
        <v>45</v>
      </c>
    </row>
    <row r="75" spans="1:22" x14ac:dyDescent="0.3">
      <c r="A75" s="5" t="s">
        <v>308</v>
      </c>
      <c r="B75" s="6">
        <v>46118</v>
      </c>
      <c r="C75" s="5" t="s">
        <v>309</v>
      </c>
      <c r="D75" s="5" t="s">
        <v>58</v>
      </c>
      <c r="E75" s="5" t="s">
        <v>25</v>
      </c>
      <c r="F75" s="5" t="s">
        <v>26</v>
      </c>
      <c r="G75" s="5" t="s">
        <v>27</v>
      </c>
      <c r="H75" s="5" t="s">
        <v>295</v>
      </c>
      <c r="I75" s="5" t="s">
        <v>296</v>
      </c>
      <c r="J75" s="5" t="s">
        <v>30</v>
      </c>
      <c r="K75" s="5" t="s">
        <v>31</v>
      </c>
      <c r="L75" s="5">
        <v>1</v>
      </c>
      <c r="M75" s="5">
        <v>23232</v>
      </c>
      <c r="N75" s="5">
        <v>20</v>
      </c>
      <c r="O75" s="5">
        <v>18585.599999999999</v>
      </c>
      <c r="P75" s="5">
        <v>16817</v>
      </c>
      <c r="Q75" s="5">
        <v>1768.6</v>
      </c>
      <c r="R75" s="5" t="s">
        <v>32</v>
      </c>
      <c r="S75" s="5" t="s">
        <v>82</v>
      </c>
      <c r="T75" s="5" t="s">
        <v>34</v>
      </c>
      <c r="U75" s="5">
        <v>4</v>
      </c>
      <c r="V75" s="5" t="s">
        <v>35</v>
      </c>
    </row>
    <row r="76" spans="1:22" x14ac:dyDescent="0.3">
      <c r="A76" s="5" t="s">
        <v>310</v>
      </c>
      <c r="B76" s="6">
        <v>46179</v>
      </c>
      <c r="C76" s="5" t="s">
        <v>311</v>
      </c>
      <c r="D76" s="5" t="s">
        <v>38</v>
      </c>
      <c r="E76" s="5" t="s">
        <v>77</v>
      </c>
      <c r="F76" s="5" t="s">
        <v>78</v>
      </c>
      <c r="G76" s="5" t="s">
        <v>41</v>
      </c>
      <c r="H76" s="5" t="s">
        <v>312</v>
      </c>
      <c r="I76" s="5" t="s">
        <v>313</v>
      </c>
      <c r="J76" s="5" t="s">
        <v>54</v>
      </c>
      <c r="K76" s="5" t="s">
        <v>97</v>
      </c>
      <c r="L76" s="5">
        <v>5</v>
      </c>
      <c r="M76" s="5">
        <v>47032</v>
      </c>
      <c r="N76" s="5">
        <v>0</v>
      </c>
      <c r="O76" s="5">
        <v>235160</v>
      </c>
      <c r="P76" s="5">
        <v>174768.02</v>
      </c>
      <c r="Q76" s="5">
        <v>60391.98</v>
      </c>
      <c r="R76" s="5" t="s">
        <v>64</v>
      </c>
      <c r="S76" s="5" t="s">
        <v>82</v>
      </c>
      <c r="T76" s="5" t="s">
        <v>34</v>
      </c>
      <c r="U76" s="5">
        <v>1</v>
      </c>
      <c r="V76" s="5" t="s">
        <v>45</v>
      </c>
    </row>
    <row r="77" spans="1:22" x14ac:dyDescent="0.3">
      <c r="A77" s="5" t="s">
        <v>314</v>
      </c>
      <c r="B77" s="6">
        <v>46135</v>
      </c>
      <c r="C77" s="5" t="s">
        <v>315</v>
      </c>
      <c r="D77" s="5" t="s">
        <v>24</v>
      </c>
      <c r="E77" s="5" t="s">
        <v>49</v>
      </c>
      <c r="F77" s="5" t="s">
        <v>50</v>
      </c>
      <c r="G77" s="5" t="s">
        <v>51</v>
      </c>
      <c r="H77" s="5" t="s">
        <v>316</v>
      </c>
      <c r="I77" s="5" t="s">
        <v>317</v>
      </c>
      <c r="J77" s="5" t="s">
        <v>54</v>
      </c>
      <c r="K77" s="5" t="s">
        <v>55</v>
      </c>
      <c r="L77" s="5">
        <v>4</v>
      </c>
      <c r="M77" s="5">
        <v>79569</v>
      </c>
      <c r="N77" s="5">
        <v>15</v>
      </c>
      <c r="O77" s="5">
        <v>270534.59999999998</v>
      </c>
      <c r="P77" s="5">
        <v>225142.29</v>
      </c>
      <c r="Q77" s="5">
        <v>45392.31</v>
      </c>
      <c r="R77" s="5" t="s">
        <v>64</v>
      </c>
      <c r="S77" s="5" t="s">
        <v>82</v>
      </c>
      <c r="T77" s="5" t="s">
        <v>73</v>
      </c>
      <c r="U77" s="5">
        <v>1</v>
      </c>
      <c r="V77" s="5" t="s">
        <v>35</v>
      </c>
    </row>
    <row r="78" spans="1:22" x14ac:dyDescent="0.3">
      <c r="A78" s="5" t="s">
        <v>318</v>
      </c>
      <c r="B78" s="6">
        <v>46078</v>
      </c>
      <c r="C78" s="5" t="s">
        <v>319</v>
      </c>
      <c r="D78" s="5" t="s">
        <v>68</v>
      </c>
      <c r="E78" s="5" t="s">
        <v>126</v>
      </c>
      <c r="F78" s="5" t="s">
        <v>126</v>
      </c>
      <c r="G78" s="5" t="s">
        <v>51</v>
      </c>
      <c r="H78" s="5" t="s">
        <v>213</v>
      </c>
      <c r="I78" s="5" t="s">
        <v>214</v>
      </c>
      <c r="J78" s="5" t="s">
        <v>54</v>
      </c>
      <c r="K78" s="5" t="s">
        <v>97</v>
      </c>
      <c r="L78" s="5">
        <v>4</v>
      </c>
      <c r="M78" s="5">
        <v>71901</v>
      </c>
      <c r="N78" s="5">
        <v>20</v>
      </c>
      <c r="O78" s="5">
        <v>230083.20000000001</v>
      </c>
      <c r="P78" s="5">
        <v>222430.99</v>
      </c>
      <c r="Q78" s="5">
        <v>7652.21</v>
      </c>
      <c r="R78" s="5" t="s">
        <v>32</v>
      </c>
      <c r="S78" s="5" t="s">
        <v>82</v>
      </c>
      <c r="T78" s="5" t="s">
        <v>73</v>
      </c>
      <c r="U78" s="5">
        <v>4</v>
      </c>
      <c r="V78" s="5" t="s">
        <v>45</v>
      </c>
    </row>
    <row r="79" spans="1:22" x14ac:dyDescent="0.3">
      <c r="A79" s="5" t="s">
        <v>320</v>
      </c>
      <c r="B79" s="6">
        <v>46034</v>
      </c>
      <c r="C79" s="5" t="s">
        <v>321</v>
      </c>
      <c r="D79" s="5" t="s">
        <v>58</v>
      </c>
      <c r="E79" s="5" t="s">
        <v>126</v>
      </c>
      <c r="F79" s="5" t="s">
        <v>126</v>
      </c>
      <c r="G79" s="5" t="s">
        <v>51</v>
      </c>
      <c r="H79" s="5" t="s">
        <v>189</v>
      </c>
      <c r="I79" s="5" t="s">
        <v>190</v>
      </c>
      <c r="J79" s="5" t="s">
        <v>102</v>
      </c>
      <c r="K79" s="5" t="s">
        <v>103</v>
      </c>
      <c r="L79" s="5">
        <v>3</v>
      </c>
      <c r="M79" s="5">
        <v>2587</v>
      </c>
      <c r="N79" s="5">
        <v>0</v>
      </c>
      <c r="O79" s="5">
        <v>7761</v>
      </c>
      <c r="P79" s="5">
        <v>4429.88</v>
      </c>
      <c r="Q79" s="5">
        <v>3331.12</v>
      </c>
      <c r="R79" s="5" t="s">
        <v>64</v>
      </c>
      <c r="S79" s="5" t="s">
        <v>33</v>
      </c>
      <c r="T79" s="5" t="s">
        <v>34</v>
      </c>
      <c r="U79" s="5">
        <v>2</v>
      </c>
      <c r="V79" s="5" t="s">
        <v>45</v>
      </c>
    </row>
    <row r="80" spans="1:22" x14ac:dyDescent="0.3">
      <c r="A80" s="5" t="s">
        <v>322</v>
      </c>
      <c r="B80" s="6">
        <v>46098</v>
      </c>
      <c r="C80" s="5" t="s">
        <v>323</v>
      </c>
      <c r="D80" s="5" t="s">
        <v>68</v>
      </c>
      <c r="E80" s="5" t="s">
        <v>49</v>
      </c>
      <c r="F80" s="5" t="s">
        <v>50</v>
      </c>
      <c r="G80" s="5" t="s">
        <v>51</v>
      </c>
      <c r="H80" s="5" t="s">
        <v>324</v>
      </c>
      <c r="I80" s="5" t="s">
        <v>325</v>
      </c>
      <c r="J80" s="5" t="s">
        <v>54</v>
      </c>
      <c r="K80" s="5" t="s">
        <v>55</v>
      </c>
      <c r="L80" s="5">
        <v>2</v>
      </c>
      <c r="M80" s="5">
        <v>6459</v>
      </c>
      <c r="N80" s="5">
        <v>15</v>
      </c>
      <c r="O80" s="5">
        <v>10980.3</v>
      </c>
      <c r="P80" s="5">
        <v>8153.93</v>
      </c>
      <c r="Q80" s="5">
        <v>2826.37</v>
      </c>
      <c r="R80" s="5" t="s">
        <v>64</v>
      </c>
      <c r="S80" s="5" t="s">
        <v>33</v>
      </c>
      <c r="T80" s="5" t="s">
        <v>34</v>
      </c>
      <c r="U80" s="5">
        <v>4</v>
      </c>
      <c r="V80" s="5" t="s">
        <v>45</v>
      </c>
    </row>
    <row r="81" spans="1:22" x14ac:dyDescent="0.3">
      <c r="A81" s="5" t="s">
        <v>326</v>
      </c>
      <c r="B81" s="6">
        <v>46077</v>
      </c>
      <c r="C81" s="5" t="s">
        <v>327</v>
      </c>
      <c r="D81" s="5" t="s">
        <v>151</v>
      </c>
      <c r="E81" s="5" t="s">
        <v>126</v>
      </c>
      <c r="F81" s="5" t="s">
        <v>126</v>
      </c>
      <c r="G81" s="5" t="s">
        <v>51</v>
      </c>
      <c r="H81" s="5" t="s">
        <v>90</v>
      </c>
      <c r="I81" s="5" t="s">
        <v>91</v>
      </c>
      <c r="J81" s="5" t="s">
        <v>71</v>
      </c>
      <c r="K81" s="5" t="s">
        <v>81</v>
      </c>
      <c r="L81" s="5">
        <v>2</v>
      </c>
      <c r="M81" s="5">
        <v>44702</v>
      </c>
      <c r="N81" s="5">
        <v>5</v>
      </c>
      <c r="O81" s="5">
        <v>84933.8</v>
      </c>
      <c r="P81" s="5">
        <v>62623.68</v>
      </c>
      <c r="Q81" s="5">
        <v>22310.12</v>
      </c>
      <c r="R81" s="5" t="s">
        <v>64</v>
      </c>
      <c r="S81" s="5" t="s">
        <v>33</v>
      </c>
      <c r="T81" s="5" t="s">
        <v>73</v>
      </c>
      <c r="U81" s="5">
        <v>5</v>
      </c>
      <c r="V81" s="5" t="s">
        <v>45</v>
      </c>
    </row>
    <row r="82" spans="1:22" x14ac:dyDescent="0.3">
      <c r="A82" s="5" t="s">
        <v>328</v>
      </c>
      <c r="B82" s="6">
        <v>46122</v>
      </c>
      <c r="C82" s="5" t="s">
        <v>109</v>
      </c>
      <c r="D82" s="5" t="s">
        <v>48</v>
      </c>
      <c r="E82" s="5" t="s">
        <v>25</v>
      </c>
      <c r="F82" s="5" t="s">
        <v>26</v>
      </c>
      <c r="G82" s="5" t="s">
        <v>27</v>
      </c>
      <c r="H82" s="5" t="s">
        <v>160</v>
      </c>
      <c r="I82" s="5" t="s">
        <v>161</v>
      </c>
      <c r="J82" s="5" t="s">
        <v>102</v>
      </c>
      <c r="K82" s="5" t="s">
        <v>103</v>
      </c>
      <c r="L82" s="5">
        <v>1</v>
      </c>
      <c r="M82" s="5">
        <v>59177</v>
      </c>
      <c r="N82" s="5">
        <v>20</v>
      </c>
      <c r="O82" s="5">
        <v>47341.599999999999</v>
      </c>
      <c r="P82" s="5">
        <v>44202.879999999997</v>
      </c>
      <c r="Q82" s="5">
        <v>3138.72</v>
      </c>
      <c r="R82" s="5" t="s">
        <v>32</v>
      </c>
      <c r="S82" s="5" t="s">
        <v>82</v>
      </c>
      <c r="T82" s="5" t="s">
        <v>73</v>
      </c>
      <c r="U82" s="5">
        <v>4</v>
      </c>
      <c r="V82" s="5" t="s">
        <v>45</v>
      </c>
    </row>
    <row r="83" spans="1:22" x14ac:dyDescent="0.3">
      <c r="A83" s="5" t="s">
        <v>329</v>
      </c>
      <c r="B83" s="6">
        <v>46108</v>
      </c>
      <c r="C83" s="5" t="s">
        <v>330</v>
      </c>
      <c r="D83" s="5" t="s">
        <v>24</v>
      </c>
      <c r="E83" s="5" t="s">
        <v>77</v>
      </c>
      <c r="F83" s="5" t="s">
        <v>78</v>
      </c>
      <c r="G83" s="5" t="s">
        <v>41</v>
      </c>
      <c r="H83" s="5" t="s">
        <v>180</v>
      </c>
      <c r="I83" s="5" t="s">
        <v>181</v>
      </c>
      <c r="J83" s="5" t="s">
        <v>54</v>
      </c>
      <c r="K83" s="5" t="s">
        <v>55</v>
      </c>
      <c r="L83" s="5">
        <v>5</v>
      </c>
      <c r="M83" s="5">
        <v>56699</v>
      </c>
      <c r="N83" s="5">
        <v>20</v>
      </c>
      <c r="O83" s="5">
        <v>226796</v>
      </c>
      <c r="P83" s="5">
        <v>233587.74</v>
      </c>
      <c r="Q83" s="5">
        <v>-6791.74</v>
      </c>
      <c r="R83" s="5" t="s">
        <v>44</v>
      </c>
      <c r="S83" s="5" t="s">
        <v>82</v>
      </c>
      <c r="T83" s="5" t="s">
        <v>73</v>
      </c>
      <c r="U83" s="5">
        <v>3</v>
      </c>
      <c r="V83" s="5" t="s">
        <v>35</v>
      </c>
    </row>
    <row r="84" spans="1:22" x14ac:dyDescent="0.3">
      <c r="A84" s="5" t="s">
        <v>331</v>
      </c>
      <c r="B84" s="6">
        <v>46169</v>
      </c>
      <c r="C84" s="5" t="s">
        <v>332</v>
      </c>
      <c r="D84" s="5" t="s">
        <v>117</v>
      </c>
      <c r="E84" s="5" t="s">
        <v>49</v>
      </c>
      <c r="F84" s="5" t="s">
        <v>50</v>
      </c>
      <c r="G84" s="5" t="s">
        <v>51</v>
      </c>
      <c r="H84" s="5" t="s">
        <v>52</v>
      </c>
      <c r="I84" s="5" t="s">
        <v>53</v>
      </c>
      <c r="J84" s="5" t="s">
        <v>54</v>
      </c>
      <c r="K84" s="5" t="s">
        <v>55</v>
      </c>
      <c r="L84" s="5">
        <v>2</v>
      </c>
      <c r="M84" s="5">
        <v>23187</v>
      </c>
      <c r="N84" s="5">
        <v>0</v>
      </c>
      <c r="O84" s="5">
        <v>46374</v>
      </c>
      <c r="P84" s="5">
        <v>36062.39</v>
      </c>
      <c r="Q84" s="5">
        <v>10311.61</v>
      </c>
      <c r="R84" s="5" t="s">
        <v>32</v>
      </c>
      <c r="S84" s="5" t="s">
        <v>33</v>
      </c>
      <c r="T84" s="5" t="s">
        <v>65</v>
      </c>
      <c r="U84" s="5">
        <v>5</v>
      </c>
      <c r="V84" s="5" t="s">
        <v>45</v>
      </c>
    </row>
    <row r="85" spans="1:22" x14ac:dyDescent="0.3">
      <c r="A85" s="5" t="s">
        <v>333</v>
      </c>
      <c r="B85" s="6">
        <v>46055</v>
      </c>
      <c r="C85" s="5" t="s">
        <v>183</v>
      </c>
      <c r="D85" s="5" t="s">
        <v>58</v>
      </c>
      <c r="E85" s="5" t="s">
        <v>59</v>
      </c>
      <c r="F85" s="5" t="s">
        <v>60</v>
      </c>
      <c r="G85" s="5" t="s">
        <v>61</v>
      </c>
      <c r="H85" s="5" t="s">
        <v>334</v>
      </c>
      <c r="I85" s="5" t="s">
        <v>335</v>
      </c>
      <c r="J85" s="5" t="s">
        <v>71</v>
      </c>
      <c r="K85" s="5" t="s">
        <v>72</v>
      </c>
      <c r="L85" s="5">
        <v>3</v>
      </c>
      <c r="M85" s="5">
        <v>3316</v>
      </c>
      <c r="N85" s="5">
        <v>10</v>
      </c>
      <c r="O85" s="5">
        <v>8953.2000000000007</v>
      </c>
      <c r="P85" s="5">
        <v>6026.26</v>
      </c>
      <c r="Q85" s="5">
        <v>2926.94</v>
      </c>
      <c r="R85" s="5" t="s">
        <v>64</v>
      </c>
      <c r="S85" s="5" t="s">
        <v>82</v>
      </c>
      <c r="T85" s="5" t="s">
        <v>65</v>
      </c>
      <c r="U85" s="5">
        <v>2</v>
      </c>
      <c r="V85" s="5" t="s">
        <v>45</v>
      </c>
    </row>
    <row r="86" spans="1:22" x14ac:dyDescent="0.3">
      <c r="A86" s="5" t="s">
        <v>336</v>
      </c>
      <c r="B86" s="6">
        <v>46197</v>
      </c>
      <c r="C86" s="5" t="s">
        <v>337</v>
      </c>
      <c r="D86" s="5" t="s">
        <v>76</v>
      </c>
      <c r="E86" s="5" t="s">
        <v>59</v>
      </c>
      <c r="F86" s="5" t="s">
        <v>60</v>
      </c>
      <c r="G86" s="5" t="s">
        <v>61</v>
      </c>
      <c r="H86" s="5" t="s">
        <v>338</v>
      </c>
      <c r="I86" s="5" t="s">
        <v>339</v>
      </c>
      <c r="J86" s="5" t="s">
        <v>54</v>
      </c>
      <c r="K86" s="5" t="s">
        <v>97</v>
      </c>
      <c r="L86" s="5">
        <v>1</v>
      </c>
      <c r="M86" s="5">
        <v>21193</v>
      </c>
      <c r="N86" s="5">
        <v>15</v>
      </c>
      <c r="O86" s="5">
        <v>18014.05</v>
      </c>
      <c r="P86" s="5">
        <v>12452.79</v>
      </c>
      <c r="Q86" s="5">
        <v>5561.26</v>
      </c>
      <c r="R86" s="5" t="s">
        <v>64</v>
      </c>
      <c r="S86" s="5" t="s">
        <v>82</v>
      </c>
      <c r="T86" s="5" t="s">
        <v>73</v>
      </c>
      <c r="U86" s="5">
        <v>5</v>
      </c>
      <c r="V86" s="5" t="s">
        <v>35</v>
      </c>
    </row>
    <row r="87" spans="1:22" x14ac:dyDescent="0.3">
      <c r="A87" s="5" t="s">
        <v>340</v>
      </c>
      <c r="B87" s="6">
        <v>46068</v>
      </c>
      <c r="C87" s="5" t="s">
        <v>341</v>
      </c>
      <c r="D87" s="5" t="s">
        <v>38</v>
      </c>
      <c r="E87" s="5" t="s">
        <v>49</v>
      </c>
      <c r="F87" s="5" t="s">
        <v>50</v>
      </c>
      <c r="G87" s="5" t="s">
        <v>51</v>
      </c>
      <c r="H87" s="5" t="s">
        <v>342</v>
      </c>
      <c r="I87" s="5" t="s">
        <v>343</v>
      </c>
      <c r="J87" s="5" t="s">
        <v>54</v>
      </c>
      <c r="K87" s="5" t="s">
        <v>97</v>
      </c>
      <c r="L87" s="5">
        <v>2</v>
      </c>
      <c r="M87" s="5">
        <v>46574</v>
      </c>
      <c r="N87" s="5">
        <v>15</v>
      </c>
      <c r="O87" s="5">
        <v>79175.8</v>
      </c>
      <c r="P87" s="5">
        <v>68586.44</v>
      </c>
      <c r="Q87" s="5">
        <v>10589.36</v>
      </c>
      <c r="R87" s="5" t="s">
        <v>32</v>
      </c>
      <c r="S87" s="5" t="s">
        <v>33</v>
      </c>
      <c r="T87" s="5" t="s">
        <v>65</v>
      </c>
      <c r="U87" s="5">
        <v>1</v>
      </c>
      <c r="V87" s="5" t="s">
        <v>45</v>
      </c>
    </row>
    <row r="88" spans="1:22" x14ac:dyDescent="0.3">
      <c r="A88" s="5" t="s">
        <v>344</v>
      </c>
      <c r="B88" s="6">
        <v>46108</v>
      </c>
      <c r="C88" s="5" t="s">
        <v>345</v>
      </c>
      <c r="D88" s="5" t="s">
        <v>48</v>
      </c>
      <c r="E88" s="5" t="s">
        <v>39</v>
      </c>
      <c r="F88" s="5" t="s">
        <v>40</v>
      </c>
      <c r="G88" s="5" t="s">
        <v>41</v>
      </c>
      <c r="H88" s="5" t="s">
        <v>113</v>
      </c>
      <c r="I88" s="5" t="s">
        <v>114</v>
      </c>
      <c r="J88" s="5" t="s">
        <v>102</v>
      </c>
      <c r="K88" s="5" t="s">
        <v>103</v>
      </c>
      <c r="L88" s="5">
        <v>2</v>
      </c>
      <c r="M88" s="5">
        <v>28489</v>
      </c>
      <c r="N88" s="5">
        <v>20</v>
      </c>
      <c r="O88" s="5">
        <v>45582.400000000001</v>
      </c>
      <c r="P88" s="5">
        <v>43164.51</v>
      </c>
      <c r="Q88" s="5">
        <v>2417.89</v>
      </c>
      <c r="R88" s="5" t="s">
        <v>64</v>
      </c>
      <c r="S88" s="5" t="s">
        <v>82</v>
      </c>
      <c r="T88" s="5" t="s">
        <v>34</v>
      </c>
      <c r="U88" s="5">
        <v>5</v>
      </c>
      <c r="V88" s="5" t="s">
        <v>45</v>
      </c>
    </row>
    <row r="89" spans="1:22" x14ac:dyDescent="0.3">
      <c r="A89" s="5" t="s">
        <v>346</v>
      </c>
      <c r="B89" s="6">
        <v>46115</v>
      </c>
      <c r="C89" s="5" t="s">
        <v>347</v>
      </c>
      <c r="D89" s="5" t="s">
        <v>48</v>
      </c>
      <c r="E89" s="5" t="s">
        <v>25</v>
      </c>
      <c r="F89" s="5" t="s">
        <v>26</v>
      </c>
      <c r="G89" s="5" t="s">
        <v>27</v>
      </c>
      <c r="H89" s="5" t="s">
        <v>62</v>
      </c>
      <c r="I89" s="5" t="s">
        <v>63</v>
      </c>
      <c r="J89" s="5" t="s">
        <v>54</v>
      </c>
      <c r="K89" s="5" t="s">
        <v>55</v>
      </c>
      <c r="L89" s="5">
        <v>5</v>
      </c>
      <c r="M89" s="5">
        <v>39294</v>
      </c>
      <c r="N89" s="5">
        <v>10</v>
      </c>
      <c r="O89" s="5">
        <v>176823</v>
      </c>
      <c r="P89" s="5">
        <v>131500.38</v>
      </c>
      <c r="Q89" s="5">
        <v>45322.62</v>
      </c>
      <c r="R89" s="5" t="s">
        <v>64</v>
      </c>
      <c r="S89" s="5" t="s">
        <v>82</v>
      </c>
      <c r="T89" s="5" t="s">
        <v>73</v>
      </c>
      <c r="U89" s="5">
        <v>3</v>
      </c>
      <c r="V89" s="5" t="s">
        <v>35</v>
      </c>
    </row>
    <row r="90" spans="1:22" x14ac:dyDescent="0.3">
      <c r="A90" s="5" t="s">
        <v>348</v>
      </c>
      <c r="B90" s="6">
        <v>46193</v>
      </c>
      <c r="C90" s="5" t="s">
        <v>349</v>
      </c>
      <c r="D90" s="5" t="s">
        <v>151</v>
      </c>
      <c r="E90" s="5" t="s">
        <v>49</v>
      </c>
      <c r="F90" s="5" t="s">
        <v>50</v>
      </c>
      <c r="G90" s="5" t="s">
        <v>51</v>
      </c>
      <c r="H90" s="5" t="s">
        <v>168</v>
      </c>
      <c r="I90" s="5" t="s">
        <v>169</v>
      </c>
      <c r="J90" s="5" t="s">
        <v>102</v>
      </c>
      <c r="K90" s="5" t="s">
        <v>103</v>
      </c>
      <c r="L90" s="5">
        <v>4</v>
      </c>
      <c r="M90" s="5">
        <v>10036</v>
      </c>
      <c r="N90" s="5">
        <v>20</v>
      </c>
      <c r="O90" s="5">
        <v>32115.200000000001</v>
      </c>
      <c r="P90" s="5">
        <v>31474.2</v>
      </c>
      <c r="Q90" s="5">
        <v>641</v>
      </c>
      <c r="R90" s="5" t="s">
        <v>44</v>
      </c>
      <c r="S90" s="5" t="s">
        <v>33</v>
      </c>
      <c r="T90" s="5" t="s">
        <v>73</v>
      </c>
      <c r="U90" s="5">
        <v>3</v>
      </c>
      <c r="V90" s="5" t="s">
        <v>45</v>
      </c>
    </row>
    <row r="91" spans="1:22" x14ac:dyDescent="0.3">
      <c r="A91" s="5" t="s">
        <v>350</v>
      </c>
      <c r="B91" s="6">
        <v>46105</v>
      </c>
      <c r="C91" s="5" t="s">
        <v>351</v>
      </c>
      <c r="D91" s="5" t="s">
        <v>76</v>
      </c>
      <c r="E91" s="5" t="s">
        <v>49</v>
      </c>
      <c r="F91" s="5" t="s">
        <v>50</v>
      </c>
      <c r="G91" s="5" t="s">
        <v>51</v>
      </c>
      <c r="H91" s="5" t="s">
        <v>28</v>
      </c>
      <c r="I91" s="5" t="s">
        <v>29</v>
      </c>
      <c r="J91" s="5" t="s">
        <v>30</v>
      </c>
      <c r="K91" s="5" t="s">
        <v>31</v>
      </c>
      <c r="L91" s="5">
        <v>5</v>
      </c>
      <c r="M91" s="5">
        <v>41909</v>
      </c>
      <c r="N91" s="5">
        <v>15</v>
      </c>
      <c r="O91" s="5">
        <v>178113.25</v>
      </c>
      <c r="P91" s="5">
        <v>177126.88</v>
      </c>
      <c r="Q91" s="5">
        <v>986.37</v>
      </c>
      <c r="R91" s="5" t="s">
        <v>64</v>
      </c>
      <c r="S91" s="5" t="s">
        <v>82</v>
      </c>
      <c r="T91" s="5" t="s">
        <v>65</v>
      </c>
      <c r="U91" s="5">
        <v>3</v>
      </c>
      <c r="V91" s="5" t="s">
        <v>45</v>
      </c>
    </row>
    <row r="92" spans="1:22" x14ac:dyDescent="0.3">
      <c r="A92" s="5" t="s">
        <v>352</v>
      </c>
      <c r="B92" s="6">
        <v>46045</v>
      </c>
      <c r="C92" s="5" t="s">
        <v>353</v>
      </c>
      <c r="D92" s="5" t="s">
        <v>58</v>
      </c>
      <c r="E92" s="5" t="s">
        <v>39</v>
      </c>
      <c r="F92" s="5" t="s">
        <v>40</v>
      </c>
      <c r="G92" s="5" t="s">
        <v>41</v>
      </c>
      <c r="H92" s="5" t="s">
        <v>316</v>
      </c>
      <c r="I92" s="5" t="s">
        <v>317</v>
      </c>
      <c r="J92" s="5" t="s">
        <v>54</v>
      </c>
      <c r="K92" s="5" t="s">
        <v>55</v>
      </c>
      <c r="L92" s="5">
        <v>2</v>
      </c>
      <c r="M92" s="5">
        <v>3936</v>
      </c>
      <c r="N92" s="5">
        <v>0</v>
      </c>
      <c r="O92" s="5">
        <v>7872</v>
      </c>
      <c r="P92" s="5">
        <v>5143.75</v>
      </c>
      <c r="Q92" s="5">
        <v>2728.25</v>
      </c>
      <c r="R92" s="5" t="s">
        <v>32</v>
      </c>
      <c r="S92" s="5" t="s">
        <v>82</v>
      </c>
      <c r="T92" s="5" t="s">
        <v>34</v>
      </c>
      <c r="U92" s="5">
        <v>2</v>
      </c>
      <c r="V92" s="5" t="s">
        <v>35</v>
      </c>
    </row>
    <row r="93" spans="1:22" x14ac:dyDescent="0.3">
      <c r="A93" s="5" t="s">
        <v>354</v>
      </c>
      <c r="B93" s="6">
        <v>46081</v>
      </c>
      <c r="C93" s="5" t="s">
        <v>355</v>
      </c>
      <c r="D93" s="5" t="s">
        <v>76</v>
      </c>
      <c r="E93" s="5" t="s">
        <v>25</v>
      </c>
      <c r="F93" s="5" t="s">
        <v>26</v>
      </c>
      <c r="G93" s="5" t="s">
        <v>27</v>
      </c>
      <c r="H93" s="5" t="s">
        <v>135</v>
      </c>
      <c r="I93" s="5" t="s">
        <v>136</v>
      </c>
      <c r="J93" s="5" t="s">
        <v>30</v>
      </c>
      <c r="K93" s="5" t="s">
        <v>31</v>
      </c>
      <c r="L93" s="5">
        <v>5</v>
      </c>
      <c r="M93" s="5">
        <v>36575</v>
      </c>
      <c r="N93" s="5">
        <v>15</v>
      </c>
      <c r="O93" s="5">
        <v>155443.75</v>
      </c>
      <c r="P93" s="5">
        <v>113629.72</v>
      </c>
      <c r="Q93" s="5">
        <v>41814.03</v>
      </c>
      <c r="R93" s="5" t="s">
        <v>32</v>
      </c>
      <c r="S93" s="5" t="s">
        <v>82</v>
      </c>
      <c r="T93" s="5" t="s">
        <v>73</v>
      </c>
      <c r="U93" s="5">
        <v>3</v>
      </c>
      <c r="V93" s="5" t="s">
        <v>35</v>
      </c>
    </row>
    <row r="94" spans="1:22" x14ac:dyDescent="0.3">
      <c r="A94" s="5" t="s">
        <v>356</v>
      </c>
      <c r="B94" s="6">
        <v>46161</v>
      </c>
      <c r="C94" s="5" t="s">
        <v>357</v>
      </c>
      <c r="D94" s="5" t="s">
        <v>89</v>
      </c>
      <c r="E94" s="5" t="s">
        <v>94</v>
      </c>
      <c r="F94" s="5" t="s">
        <v>26</v>
      </c>
      <c r="G94" s="5" t="s">
        <v>27</v>
      </c>
      <c r="H94" s="5" t="s">
        <v>358</v>
      </c>
      <c r="I94" s="5" t="s">
        <v>359</v>
      </c>
      <c r="J94" s="5" t="s">
        <v>102</v>
      </c>
      <c r="K94" s="5" t="s">
        <v>103</v>
      </c>
      <c r="L94" s="5">
        <v>5</v>
      </c>
      <c r="M94" s="5">
        <v>77860</v>
      </c>
      <c r="N94" s="5">
        <v>10</v>
      </c>
      <c r="O94" s="5">
        <v>350370</v>
      </c>
      <c r="P94" s="5">
        <v>276617</v>
      </c>
      <c r="Q94" s="5">
        <v>73753</v>
      </c>
      <c r="R94" s="5" t="s">
        <v>64</v>
      </c>
      <c r="S94" s="5" t="s">
        <v>33</v>
      </c>
      <c r="T94" s="5" t="s">
        <v>73</v>
      </c>
      <c r="U94" s="5">
        <v>4</v>
      </c>
      <c r="V94" s="5" t="s">
        <v>45</v>
      </c>
    </row>
    <row r="95" spans="1:22" x14ac:dyDescent="0.3">
      <c r="A95" s="5" t="s">
        <v>360</v>
      </c>
      <c r="B95" s="6">
        <v>46131</v>
      </c>
      <c r="C95" s="5" t="s">
        <v>112</v>
      </c>
      <c r="D95" s="5" t="s">
        <v>110</v>
      </c>
      <c r="E95" s="5" t="s">
        <v>59</v>
      </c>
      <c r="F95" s="5" t="s">
        <v>60</v>
      </c>
      <c r="G95" s="5" t="s">
        <v>61</v>
      </c>
      <c r="H95" s="5" t="s">
        <v>241</v>
      </c>
      <c r="I95" s="5" t="s">
        <v>242</v>
      </c>
      <c r="J95" s="5" t="s">
        <v>54</v>
      </c>
      <c r="K95" s="5" t="s">
        <v>55</v>
      </c>
      <c r="L95" s="5">
        <v>2</v>
      </c>
      <c r="M95" s="5">
        <v>70190</v>
      </c>
      <c r="N95" s="5">
        <v>10</v>
      </c>
      <c r="O95" s="5">
        <v>126342</v>
      </c>
      <c r="P95" s="5">
        <v>81889.72</v>
      </c>
      <c r="Q95" s="5">
        <v>44452.28</v>
      </c>
      <c r="R95" s="5" t="s">
        <v>44</v>
      </c>
      <c r="S95" s="5" t="s">
        <v>82</v>
      </c>
      <c r="T95" s="5" t="s">
        <v>73</v>
      </c>
      <c r="U95" s="5">
        <v>3</v>
      </c>
      <c r="V95" s="5" t="s">
        <v>45</v>
      </c>
    </row>
    <row r="96" spans="1:22" x14ac:dyDescent="0.3">
      <c r="A96" s="5" t="s">
        <v>361</v>
      </c>
      <c r="B96" s="6">
        <v>46194</v>
      </c>
      <c r="C96" s="5" t="s">
        <v>362</v>
      </c>
      <c r="D96" s="5" t="s">
        <v>151</v>
      </c>
      <c r="E96" s="5" t="s">
        <v>49</v>
      </c>
      <c r="F96" s="5" t="s">
        <v>50</v>
      </c>
      <c r="G96" s="5" t="s">
        <v>51</v>
      </c>
      <c r="H96" s="5" t="s">
        <v>363</v>
      </c>
      <c r="I96" s="5" t="s">
        <v>364</v>
      </c>
      <c r="J96" s="5" t="s">
        <v>54</v>
      </c>
      <c r="K96" s="5" t="s">
        <v>55</v>
      </c>
      <c r="L96" s="5">
        <v>1</v>
      </c>
      <c r="M96" s="5">
        <v>27209</v>
      </c>
      <c r="N96" s="5">
        <v>5</v>
      </c>
      <c r="O96" s="5">
        <v>25848.55</v>
      </c>
      <c r="P96" s="5">
        <v>20481.990000000002</v>
      </c>
      <c r="Q96" s="5">
        <v>5366.56</v>
      </c>
      <c r="R96" s="5" t="s">
        <v>32</v>
      </c>
      <c r="S96" s="5" t="s">
        <v>33</v>
      </c>
      <c r="T96" s="5" t="s">
        <v>65</v>
      </c>
      <c r="U96" s="5">
        <v>4</v>
      </c>
      <c r="V96" s="5" t="s">
        <v>35</v>
      </c>
    </row>
    <row r="97" spans="1:22" x14ac:dyDescent="0.3">
      <c r="A97" s="5" t="s">
        <v>365</v>
      </c>
      <c r="B97" s="6">
        <v>46130</v>
      </c>
      <c r="C97" s="5" t="s">
        <v>366</v>
      </c>
      <c r="D97" s="5" t="s">
        <v>38</v>
      </c>
      <c r="E97" s="5" t="s">
        <v>126</v>
      </c>
      <c r="F97" s="5" t="s">
        <v>126</v>
      </c>
      <c r="G97" s="5" t="s">
        <v>51</v>
      </c>
      <c r="H97" s="5" t="s">
        <v>367</v>
      </c>
      <c r="I97" s="5" t="s">
        <v>368</v>
      </c>
      <c r="J97" s="5" t="s">
        <v>71</v>
      </c>
      <c r="K97" s="5" t="s">
        <v>72</v>
      </c>
      <c r="L97" s="5">
        <v>2</v>
      </c>
      <c r="M97" s="5">
        <v>48516</v>
      </c>
      <c r="N97" s="5">
        <v>15</v>
      </c>
      <c r="O97" s="5">
        <v>82477.2</v>
      </c>
      <c r="P97" s="5">
        <v>64953.61</v>
      </c>
      <c r="Q97" s="5">
        <v>17523.59</v>
      </c>
      <c r="R97" s="5" t="s">
        <v>64</v>
      </c>
      <c r="S97" s="5" t="s">
        <v>82</v>
      </c>
      <c r="T97" s="5" t="s">
        <v>73</v>
      </c>
      <c r="U97" s="5">
        <v>3</v>
      </c>
      <c r="V97" s="5" t="s">
        <v>45</v>
      </c>
    </row>
    <row r="98" spans="1:22" x14ac:dyDescent="0.3">
      <c r="A98" s="5" t="s">
        <v>369</v>
      </c>
      <c r="B98" s="6">
        <v>46034</v>
      </c>
      <c r="C98" s="5" t="s">
        <v>370</v>
      </c>
      <c r="D98" s="5" t="s">
        <v>110</v>
      </c>
      <c r="E98" s="5" t="s">
        <v>39</v>
      </c>
      <c r="F98" s="5" t="s">
        <v>40</v>
      </c>
      <c r="G98" s="5" t="s">
        <v>41</v>
      </c>
      <c r="H98" s="5" t="s">
        <v>371</v>
      </c>
      <c r="I98" s="5" t="s">
        <v>372</v>
      </c>
      <c r="J98" s="5" t="s">
        <v>71</v>
      </c>
      <c r="K98" s="5" t="s">
        <v>72</v>
      </c>
      <c r="L98" s="5">
        <v>2</v>
      </c>
      <c r="M98" s="5">
        <v>13948</v>
      </c>
      <c r="N98" s="5">
        <v>10</v>
      </c>
      <c r="O98" s="5">
        <v>25106.400000000001</v>
      </c>
      <c r="P98" s="5">
        <v>18207.38</v>
      </c>
      <c r="Q98" s="5">
        <v>6899.02</v>
      </c>
      <c r="R98" s="5" t="s">
        <v>32</v>
      </c>
      <c r="S98" s="5" t="s">
        <v>82</v>
      </c>
      <c r="T98" s="5" t="s">
        <v>73</v>
      </c>
      <c r="U98" s="5">
        <v>3</v>
      </c>
      <c r="V98" s="5" t="s">
        <v>45</v>
      </c>
    </row>
    <row r="99" spans="1:22" x14ac:dyDescent="0.3">
      <c r="A99" s="5" t="s">
        <v>373</v>
      </c>
      <c r="B99" s="6">
        <v>46117</v>
      </c>
      <c r="C99" s="5" t="s">
        <v>311</v>
      </c>
      <c r="D99" s="5" t="s">
        <v>117</v>
      </c>
      <c r="E99" s="5" t="s">
        <v>25</v>
      </c>
      <c r="F99" s="5" t="s">
        <v>26</v>
      </c>
      <c r="G99" s="5" t="s">
        <v>27</v>
      </c>
      <c r="H99" s="5" t="s">
        <v>374</v>
      </c>
      <c r="I99" s="5" t="s">
        <v>375</v>
      </c>
      <c r="J99" s="5" t="s">
        <v>54</v>
      </c>
      <c r="K99" s="5" t="s">
        <v>55</v>
      </c>
      <c r="L99" s="5">
        <v>2</v>
      </c>
      <c r="M99" s="5">
        <v>78962</v>
      </c>
      <c r="N99" s="5">
        <v>20</v>
      </c>
      <c r="O99" s="5">
        <v>126339.2</v>
      </c>
      <c r="P99" s="5">
        <v>128027.35</v>
      </c>
      <c r="Q99" s="5">
        <v>-1688.15</v>
      </c>
      <c r="R99" s="5" t="s">
        <v>32</v>
      </c>
      <c r="S99" s="5" t="s">
        <v>82</v>
      </c>
      <c r="T99" s="5" t="s">
        <v>65</v>
      </c>
      <c r="U99" s="5">
        <v>1</v>
      </c>
      <c r="V99" s="5" t="s">
        <v>45</v>
      </c>
    </row>
    <row r="100" spans="1:22" x14ac:dyDescent="0.3">
      <c r="A100" s="5" t="s">
        <v>376</v>
      </c>
      <c r="B100" s="6">
        <v>46155</v>
      </c>
      <c r="C100" s="5" t="s">
        <v>377</v>
      </c>
      <c r="D100" s="5" t="s">
        <v>151</v>
      </c>
      <c r="E100" s="5" t="s">
        <v>49</v>
      </c>
      <c r="F100" s="5" t="s">
        <v>50</v>
      </c>
      <c r="G100" s="5" t="s">
        <v>51</v>
      </c>
      <c r="H100" s="5" t="s">
        <v>127</v>
      </c>
      <c r="I100" s="5" t="s">
        <v>128</v>
      </c>
      <c r="J100" s="5" t="s">
        <v>102</v>
      </c>
      <c r="K100" s="5" t="s">
        <v>103</v>
      </c>
      <c r="L100" s="5">
        <v>4</v>
      </c>
      <c r="M100" s="5">
        <v>56438</v>
      </c>
      <c r="N100" s="5">
        <v>5</v>
      </c>
      <c r="O100" s="5">
        <v>214464.4</v>
      </c>
      <c r="P100" s="5">
        <v>132665.49</v>
      </c>
      <c r="Q100" s="5">
        <v>81798.91</v>
      </c>
      <c r="R100" s="5" t="s">
        <v>44</v>
      </c>
      <c r="S100" s="5" t="s">
        <v>33</v>
      </c>
      <c r="T100" s="5" t="s">
        <v>34</v>
      </c>
      <c r="U100" s="5">
        <v>3</v>
      </c>
      <c r="V100" s="5" t="s">
        <v>45</v>
      </c>
    </row>
    <row r="101" spans="1:22" x14ac:dyDescent="0.3">
      <c r="A101" s="5" t="s">
        <v>378</v>
      </c>
      <c r="B101" s="6">
        <v>46189</v>
      </c>
      <c r="C101" s="5" t="s">
        <v>379</v>
      </c>
      <c r="D101" s="5" t="s">
        <v>151</v>
      </c>
      <c r="E101" s="5" t="s">
        <v>39</v>
      </c>
      <c r="F101" s="5" t="s">
        <v>40</v>
      </c>
      <c r="G101" s="5" t="s">
        <v>41</v>
      </c>
      <c r="H101" s="5" t="s">
        <v>160</v>
      </c>
      <c r="I101" s="5" t="s">
        <v>161</v>
      </c>
      <c r="J101" s="5" t="s">
        <v>102</v>
      </c>
      <c r="K101" s="5" t="s">
        <v>103</v>
      </c>
      <c r="L101" s="5">
        <v>1</v>
      </c>
      <c r="M101" s="5">
        <v>23210</v>
      </c>
      <c r="N101" s="5">
        <v>5</v>
      </c>
      <c r="O101" s="5">
        <v>22049.5</v>
      </c>
      <c r="P101" s="5">
        <v>19083.759999999998</v>
      </c>
      <c r="Q101" s="5">
        <v>2965.74</v>
      </c>
      <c r="R101" s="5" t="s">
        <v>44</v>
      </c>
      <c r="S101" s="5" t="s">
        <v>33</v>
      </c>
      <c r="T101" s="5" t="s">
        <v>65</v>
      </c>
      <c r="U101" s="5">
        <v>3</v>
      </c>
      <c r="V101" s="5" t="s">
        <v>35</v>
      </c>
    </row>
    <row r="102" spans="1:22" x14ac:dyDescent="0.3">
      <c r="A102" s="5" t="s">
        <v>380</v>
      </c>
      <c r="B102" s="6">
        <v>46140</v>
      </c>
      <c r="C102" s="5" t="s">
        <v>381</v>
      </c>
      <c r="D102" s="5" t="s">
        <v>38</v>
      </c>
      <c r="E102" s="5" t="s">
        <v>25</v>
      </c>
      <c r="F102" s="5" t="s">
        <v>26</v>
      </c>
      <c r="G102" s="5" t="s">
        <v>27</v>
      </c>
      <c r="H102" s="5" t="s">
        <v>324</v>
      </c>
      <c r="I102" s="5" t="s">
        <v>325</v>
      </c>
      <c r="J102" s="5" t="s">
        <v>54</v>
      </c>
      <c r="K102" s="5" t="s">
        <v>55</v>
      </c>
      <c r="L102" s="5">
        <v>3</v>
      </c>
      <c r="M102" s="5">
        <v>68270</v>
      </c>
      <c r="N102" s="5">
        <v>20</v>
      </c>
      <c r="O102" s="5">
        <v>163848</v>
      </c>
      <c r="P102" s="5">
        <v>121791.6</v>
      </c>
      <c r="Q102" s="5">
        <v>42056.4</v>
      </c>
      <c r="R102" s="5" t="s">
        <v>44</v>
      </c>
      <c r="S102" s="5" t="s">
        <v>33</v>
      </c>
      <c r="T102" s="5" t="s">
        <v>73</v>
      </c>
      <c r="U102" s="5">
        <v>5</v>
      </c>
      <c r="V102" s="5" t="s">
        <v>35</v>
      </c>
    </row>
    <row r="103" spans="1:22" x14ac:dyDescent="0.3">
      <c r="A103" s="5" t="s">
        <v>382</v>
      </c>
      <c r="B103" s="6">
        <v>46082</v>
      </c>
      <c r="C103" s="5" t="s">
        <v>383</v>
      </c>
      <c r="D103" s="5" t="s">
        <v>58</v>
      </c>
      <c r="E103" s="5" t="s">
        <v>94</v>
      </c>
      <c r="F103" s="5" t="s">
        <v>26</v>
      </c>
      <c r="G103" s="5" t="s">
        <v>27</v>
      </c>
      <c r="H103" s="5" t="s">
        <v>384</v>
      </c>
      <c r="I103" s="5" t="s">
        <v>385</v>
      </c>
      <c r="J103" s="5" t="s">
        <v>102</v>
      </c>
      <c r="K103" s="5" t="s">
        <v>103</v>
      </c>
      <c r="L103" s="5">
        <v>5</v>
      </c>
      <c r="M103" s="5">
        <v>76507</v>
      </c>
      <c r="N103" s="5">
        <v>10</v>
      </c>
      <c r="O103" s="5">
        <v>344281.5</v>
      </c>
      <c r="P103" s="5">
        <v>314247.31</v>
      </c>
      <c r="Q103" s="5">
        <v>30034.19</v>
      </c>
      <c r="R103" s="5" t="s">
        <v>64</v>
      </c>
      <c r="S103" s="5" t="s">
        <v>82</v>
      </c>
      <c r="T103" s="5" t="s">
        <v>65</v>
      </c>
      <c r="U103" s="5">
        <v>4</v>
      </c>
      <c r="V103" s="5" t="s">
        <v>35</v>
      </c>
    </row>
    <row r="104" spans="1:22" x14ac:dyDescent="0.3">
      <c r="A104" s="5" t="s">
        <v>386</v>
      </c>
      <c r="B104" s="6">
        <v>46169</v>
      </c>
      <c r="C104" s="5" t="s">
        <v>341</v>
      </c>
      <c r="D104" s="5" t="s">
        <v>89</v>
      </c>
      <c r="E104" s="5" t="s">
        <v>59</v>
      </c>
      <c r="F104" s="5" t="s">
        <v>60</v>
      </c>
      <c r="G104" s="5" t="s">
        <v>61</v>
      </c>
      <c r="H104" s="5" t="s">
        <v>387</v>
      </c>
      <c r="I104" s="5" t="s">
        <v>388</v>
      </c>
      <c r="J104" s="5" t="s">
        <v>54</v>
      </c>
      <c r="K104" s="5" t="s">
        <v>97</v>
      </c>
      <c r="L104" s="5">
        <v>5</v>
      </c>
      <c r="M104" s="5">
        <v>38126</v>
      </c>
      <c r="N104" s="5">
        <v>5</v>
      </c>
      <c r="O104" s="5">
        <v>181098.5</v>
      </c>
      <c r="P104" s="5">
        <v>126811.03</v>
      </c>
      <c r="Q104" s="5">
        <v>54287.47</v>
      </c>
      <c r="R104" s="5" t="s">
        <v>44</v>
      </c>
      <c r="S104" s="5" t="s">
        <v>33</v>
      </c>
      <c r="T104" s="5" t="s">
        <v>65</v>
      </c>
      <c r="U104" s="5">
        <v>5</v>
      </c>
      <c r="V104" s="5" t="s">
        <v>35</v>
      </c>
    </row>
    <row r="105" spans="1:22" x14ac:dyDescent="0.3">
      <c r="A105" s="5" t="s">
        <v>389</v>
      </c>
      <c r="B105" s="6">
        <v>46179</v>
      </c>
      <c r="C105" s="5" t="s">
        <v>390</v>
      </c>
      <c r="D105" s="5" t="s">
        <v>89</v>
      </c>
      <c r="E105" s="5" t="s">
        <v>25</v>
      </c>
      <c r="F105" s="5" t="s">
        <v>26</v>
      </c>
      <c r="G105" s="5" t="s">
        <v>27</v>
      </c>
      <c r="H105" s="5" t="s">
        <v>391</v>
      </c>
      <c r="I105" s="5" t="s">
        <v>392</v>
      </c>
      <c r="J105" s="5" t="s">
        <v>54</v>
      </c>
      <c r="K105" s="5" t="s">
        <v>55</v>
      </c>
      <c r="L105" s="5">
        <v>3</v>
      </c>
      <c r="M105" s="5">
        <v>11376</v>
      </c>
      <c r="N105" s="5">
        <v>0</v>
      </c>
      <c r="O105" s="5">
        <v>34128</v>
      </c>
      <c r="P105" s="5">
        <v>21865.63</v>
      </c>
      <c r="Q105" s="5">
        <v>12262.37</v>
      </c>
      <c r="R105" s="5" t="s">
        <v>44</v>
      </c>
      <c r="S105" s="5" t="s">
        <v>33</v>
      </c>
      <c r="T105" s="5" t="s">
        <v>34</v>
      </c>
      <c r="U105" s="5">
        <v>2</v>
      </c>
      <c r="V105" s="5" t="s">
        <v>35</v>
      </c>
    </row>
    <row r="106" spans="1:22" x14ac:dyDescent="0.3">
      <c r="A106" s="5" t="s">
        <v>393</v>
      </c>
      <c r="B106" s="6">
        <v>46113</v>
      </c>
      <c r="C106" s="5" t="s">
        <v>84</v>
      </c>
      <c r="D106" s="5" t="s">
        <v>48</v>
      </c>
      <c r="E106" s="5" t="s">
        <v>49</v>
      </c>
      <c r="F106" s="5" t="s">
        <v>50</v>
      </c>
      <c r="G106" s="5" t="s">
        <v>51</v>
      </c>
      <c r="H106" s="5" t="s">
        <v>213</v>
      </c>
      <c r="I106" s="5" t="s">
        <v>214</v>
      </c>
      <c r="J106" s="5" t="s">
        <v>54</v>
      </c>
      <c r="K106" s="5" t="s">
        <v>97</v>
      </c>
      <c r="L106" s="5">
        <v>5</v>
      </c>
      <c r="M106" s="5">
        <v>50149</v>
      </c>
      <c r="N106" s="5">
        <v>20</v>
      </c>
      <c r="O106" s="5">
        <v>200596</v>
      </c>
      <c r="P106" s="5">
        <v>202375.97</v>
      </c>
      <c r="Q106" s="5">
        <v>-1779.97</v>
      </c>
      <c r="R106" s="5" t="s">
        <v>44</v>
      </c>
      <c r="S106" s="5" t="s">
        <v>82</v>
      </c>
      <c r="T106" s="5" t="s">
        <v>73</v>
      </c>
      <c r="U106" s="5">
        <v>4</v>
      </c>
      <c r="V106" s="5" t="s">
        <v>35</v>
      </c>
    </row>
    <row r="107" spans="1:22" x14ac:dyDescent="0.3">
      <c r="A107" s="5" t="s">
        <v>394</v>
      </c>
      <c r="B107" s="6">
        <v>46043</v>
      </c>
      <c r="C107" s="5" t="s">
        <v>395</v>
      </c>
      <c r="D107" s="5" t="s">
        <v>58</v>
      </c>
      <c r="E107" s="5" t="s">
        <v>25</v>
      </c>
      <c r="F107" s="5" t="s">
        <v>26</v>
      </c>
      <c r="G107" s="5" t="s">
        <v>27</v>
      </c>
      <c r="H107" s="5" t="s">
        <v>396</v>
      </c>
      <c r="I107" s="5" t="s">
        <v>397</v>
      </c>
      <c r="J107" s="5" t="s">
        <v>54</v>
      </c>
      <c r="K107" s="5" t="s">
        <v>55</v>
      </c>
      <c r="L107" s="5">
        <v>3</v>
      </c>
      <c r="M107" s="5">
        <v>3511</v>
      </c>
      <c r="N107" s="5">
        <v>10</v>
      </c>
      <c r="O107" s="5">
        <v>9479.7000000000007</v>
      </c>
      <c r="P107" s="5">
        <v>8695.8700000000008</v>
      </c>
      <c r="Q107" s="5">
        <v>783.83</v>
      </c>
      <c r="R107" s="5" t="s">
        <v>64</v>
      </c>
      <c r="S107" s="5" t="s">
        <v>82</v>
      </c>
      <c r="T107" s="5" t="s">
        <v>73</v>
      </c>
      <c r="U107" s="5">
        <v>3</v>
      </c>
      <c r="V107" s="5" t="s">
        <v>45</v>
      </c>
    </row>
    <row r="108" spans="1:22" x14ac:dyDescent="0.3">
      <c r="A108" s="5" t="s">
        <v>398</v>
      </c>
      <c r="B108" s="6">
        <v>46131</v>
      </c>
      <c r="C108" s="5" t="s">
        <v>399</v>
      </c>
      <c r="D108" s="5" t="s">
        <v>110</v>
      </c>
      <c r="E108" s="5" t="s">
        <v>59</v>
      </c>
      <c r="F108" s="5" t="s">
        <v>60</v>
      </c>
      <c r="G108" s="5" t="s">
        <v>61</v>
      </c>
      <c r="H108" s="5" t="s">
        <v>269</v>
      </c>
      <c r="I108" s="5" t="s">
        <v>270</v>
      </c>
      <c r="J108" s="5" t="s">
        <v>71</v>
      </c>
      <c r="K108" s="5" t="s">
        <v>72</v>
      </c>
      <c r="L108" s="5">
        <v>3</v>
      </c>
      <c r="M108" s="5">
        <v>56628</v>
      </c>
      <c r="N108" s="5">
        <v>20</v>
      </c>
      <c r="O108" s="5">
        <v>135907.20000000001</v>
      </c>
      <c r="P108" s="5">
        <v>101513.1</v>
      </c>
      <c r="Q108" s="5">
        <v>34394.1</v>
      </c>
      <c r="R108" s="5" t="s">
        <v>64</v>
      </c>
      <c r="S108" s="5" t="s">
        <v>82</v>
      </c>
      <c r="T108" s="5" t="s">
        <v>34</v>
      </c>
      <c r="U108" s="5">
        <v>1</v>
      </c>
      <c r="V108" s="5" t="s">
        <v>35</v>
      </c>
    </row>
    <row r="109" spans="1:22" x14ac:dyDescent="0.3">
      <c r="A109" s="5" t="s">
        <v>400</v>
      </c>
      <c r="B109" s="6">
        <v>46130</v>
      </c>
      <c r="C109" s="5" t="s">
        <v>390</v>
      </c>
      <c r="D109" s="5" t="s">
        <v>110</v>
      </c>
      <c r="E109" s="5" t="s">
        <v>94</v>
      </c>
      <c r="F109" s="5" t="s">
        <v>26</v>
      </c>
      <c r="G109" s="5" t="s">
        <v>27</v>
      </c>
      <c r="H109" s="5" t="s">
        <v>401</v>
      </c>
      <c r="I109" s="5" t="s">
        <v>402</v>
      </c>
      <c r="J109" s="5" t="s">
        <v>102</v>
      </c>
      <c r="K109" s="5" t="s">
        <v>103</v>
      </c>
      <c r="L109" s="5">
        <v>3</v>
      </c>
      <c r="M109" s="5">
        <v>34357</v>
      </c>
      <c r="N109" s="5">
        <v>5</v>
      </c>
      <c r="O109" s="5">
        <v>97917.45</v>
      </c>
      <c r="P109" s="5">
        <v>87401.2</v>
      </c>
      <c r="Q109" s="5">
        <v>10516.25</v>
      </c>
      <c r="R109" s="5" t="s">
        <v>44</v>
      </c>
      <c r="S109" s="5" t="s">
        <v>33</v>
      </c>
      <c r="T109" s="5" t="s">
        <v>65</v>
      </c>
      <c r="U109" s="5">
        <v>1</v>
      </c>
      <c r="V109" s="5" t="s">
        <v>45</v>
      </c>
    </row>
    <row r="110" spans="1:22" x14ac:dyDescent="0.3">
      <c r="A110" s="5" t="s">
        <v>403</v>
      </c>
      <c r="B110" s="6">
        <v>46095</v>
      </c>
      <c r="C110" s="5" t="s">
        <v>216</v>
      </c>
      <c r="D110" s="5" t="s">
        <v>89</v>
      </c>
      <c r="E110" s="5" t="s">
        <v>25</v>
      </c>
      <c r="F110" s="5" t="s">
        <v>26</v>
      </c>
      <c r="G110" s="5" t="s">
        <v>27</v>
      </c>
      <c r="H110" s="5" t="s">
        <v>295</v>
      </c>
      <c r="I110" s="5" t="s">
        <v>296</v>
      </c>
      <c r="J110" s="5" t="s">
        <v>30</v>
      </c>
      <c r="K110" s="5" t="s">
        <v>31</v>
      </c>
      <c r="L110" s="5">
        <v>5</v>
      </c>
      <c r="M110" s="5">
        <v>32331</v>
      </c>
      <c r="N110" s="5">
        <v>20</v>
      </c>
      <c r="O110" s="5">
        <v>129324</v>
      </c>
      <c r="P110" s="5">
        <v>91343.01</v>
      </c>
      <c r="Q110" s="5">
        <v>37980.99</v>
      </c>
      <c r="R110" s="5" t="s">
        <v>44</v>
      </c>
      <c r="S110" s="5" t="s">
        <v>33</v>
      </c>
      <c r="T110" s="5" t="s">
        <v>65</v>
      </c>
      <c r="U110" s="5">
        <v>3</v>
      </c>
      <c r="V110" s="5" t="s">
        <v>35</v>
      </c>
    </row>
    <row r="111" spans="1:22" x14ac:dyDescent="0.3">
      <c r="A111" s="5" t="s">
        <v>404</v>
      </c>
      <c r="B111" s="6">
        <v>46133</v>
      </c>
      <c r="C111" s="5" t="s">
        <v>405</v>
      </c>
      <c r="D111" s="5" t="s">
        <v>110</v>
      </c>
      <c r="E111" s="5" t="s">
        <v>126</v>
      </c>
      <c r="F111" s="5" t="s">
        <v>126</v>
      </c>
      <c r="G111" s="5" t="s">
        <v>51</v>
      </c>
      <c r="H111" s="5" t="s">
        <v>406</v>
      </c>
      <c r="I111" s="5" t="s">
        <v>407</v>
      </c>
      <c r="J111" s="5" t="s">
        <v>30</v>
      </c>
      <c r="K111" s="5" t="s">
        <v>31</v>
      </c>
      <c r="L111" s="5">
        <v>2</v>
      </c>
      <c r="M111" s="5">
        <v>50290</v>
      </c>
      <c r="N111" s="5">
        <v>5</v>
      </c>
      <c r="O111" s="5">
        <v>95551</v>
      </c>
      <c r="P111" s="5">
        <v>73705.97</v>
      </c>
      <c r="Q111" s="5">
        <v>21845.03</v>
      </c>
      <c r="R111" s="5" t="s">
        <v>64</v>
      </c>
      <c r="S111" s="5" t="s">
        <v>33</v>
      </c>
      <c r="T111" s="5" t="s">
        <v>73</v>
      </c>
      <c r="U111" s="5">
        <v>3</v>
      </c>
      <c r="V111" s="5" t="s">
        <v>45</v>
      </c>
    </row>
    <row r="112" spans="1:22" x14ac:dyDescent="0.3">
      <c r="A112" s="5" t="s">
        <v>408</v>
      </c>
      <c r="B112" s="6">
        <v>46077</v>
      </c>
      <c r="C112" s="5" t="s">
        <v>274</v>
      </c>
      <c r="D112" s="5" t="s">
        <v>38</v>
      </c>
      <c r="E112" s="5" t="s">
        <v>25</v>
      </c>
      <c r="F112" s="5" t="s">
        <v>26</v>
      </c>
      <c r="G112" s="5" t="s">
        <v>27</v>
      </c>
      <c r="H112" s="5" t="s">
        <v>281</v>
      </c>
      <c r="I112" s="5" t="s">
        <v>282</v>
      </c>
      <c r="J112" s="5" t="s">
        <v>30</v>
      </c>
      <c r="K112" s="5" t="s">
        <v>31</v>
      </c>
      <c r="L112" s="5">
        <v>5</v>
      </c>
      <c r="M112" s="5">
        <v>8378</v>
      </c>
      <c r="N112" s="5">
        <v>15</v>
      </c>
      <c r="O112" s="5">
        <v>35606.5</v>
      </c>
      <c r="P112" s="5">
        <v>29364.240000000002</v>
      </c>
      <c r="Q112" s="5">
        <v>6242.26</v>
      </c>
      <c r="R112" s="5" t="s">
        <v>64</v>
      </c>
      <c r="S112" s="5" t="s">
        <v>82</v>
      </c>
      <c r="T112" s="5" t="s">
        <v>34</v>
      </c>
      <c r="U112" s="5">
        <v>4</v>
      </c>
      <c r="V112" s="5" t="s">
        <v>35</v>
      </c>
    </row>
    <row r="113" spans="1:22" x14ac:dyDescent="0.3">
      <c r="A113" s="5" t="s">
        <v>409</v>
      </c>
      <c r="B113" s="6">
        <v>46188</v>
      </c>
      <c r="C113" s="5" t="s">
        <v>410</v>
      </c>
      <c r="D113" s="5" t="s">
        <v>24</v>
      </c>
      <c r="E113" s="5" t="s">
        <v>77</v>
      </c>
      <c r="F113" s="5" t="s">
        <v>78</v>
      </c>
      <c r="G113" s="5" t="s">
        <v>41</v>
      </c>
      <c r="H113" s="5" t="s">
        <v>411</v>
      </c>
      <c r="I113" s="5" t="s">
        <v>412</v>
      </c>
      <c r="J113" s="5" t="s">
        <v>54</v>
      </c>
      <c r="K113" s="5" t="s">
        <v>97</v>
      </c>
      <c r="L113" s="5">
        <v>5</v>
      </c>
      <c r="M113" s="5">
        <v>53406</v>
      </c>
      <c r="N113" s="5">
        <v>20</v>
      </c>
      <c r="O113" s="5">
        <v>213624</v>
      </c>
      <c r="P113" s="5">
        <v>219884.41</v>
      </c>
      <c r="Q113" s="5">
        <v>-6260.41</v>
      </c>
      <c r="R113" s="5" t="s">
        <v>64</v>
      </c>
      <c r="S113" s="5" t="s">
        <v>33</v>
      </c>
      <c r="T113" s="5" t="s">
        <v>34</v>
      </c>
      <c r="U113" s="5">
        <v>4</v>
      </c>
      <c r="V113" s="5" t="s">
        <v>35</v>
      </c>
    </row>
    <row r="114" spans="1:22" x14ac:dyDescent="0.3">
      <c r="A114" s="5" t="s">
        <v>413</v>
      </c>
      <c r="B114" s="6">
        <v>46179</v>
      </c>
      <c r="C114" s="5" t="s">
        <v>414</v>
      </c>
      <c r="D114" s="5" t="s">
        <v>89</v>
      </c>
      <c r="E114" s="5" t="s">
        <v>126</v>
      </c>
      <c r="F114" s="5" t="s">
        <v>126</v>
      </c>
      <c r="G114" s="5" t="s">
        <v>51</v>
      </c>
      <c r="H114" s="5" t="s">
        <v>415</v>
      </c>
      <c r="I114" s="5" t="s">
        <v>416</v>
      </c>
      <c r="J114" s="5" t="s">
        <v>30</v>
      </c>
      <c r="K114" s="5" t="s">
        <v>31</v>
      </c>
      <c r="L114" s="5">
        <v>2</v>
      </c>
      <c r="M114" s="5">
        <v>66045</v>
      </c>
      <c r="N114" s="5">
        <v>20</v>
      </c>
      <c r="O114" s="5">
        <v>105672</v>
      </c>
      <c r="P114" s="5">
        <v>106601.73</v>
      </c>
      <c r="Q114" s="5">
        <v>-929.73</v>
      </c>
      <c r="R114" s="5" t="s">
        <v>64</v>
      </c>
      <c r="S114" s="5" t="s">
        <v>33</v>
      </c>
      <c r="T114" s="5" t="s">
        <v>73</v>
      </c>
      <c r="U114" s="5">
        <v>4</v>
      </c>
      <c r="V114" s="5" t="s">
        <v>35</v>
      </c>
    </row>
    <row r="115" spans="1:22" x14ac:dyDescent="0.3">
      <c r="A115" s="5" t="s">
        <v>417</v>
      </c>
      <c r="B115" s="6">
        <v>46099</v>
      </c>
      <c r="C115" s="5" t="s">
        <v>418</v>
      </c>
      <c r="D115" s="5" t="s">
        <v>68</v>
      </c>
      <c r="E115" s="5" t="s">
        <v>25</v>
      </c>
      <c r="F115" s="5" t="s">
        <v>26</v>
      </c>
      <c r="G115" s="5" t="s">
        <v>27</v>
      </c>
      <c r="H115" s="5" t="s">
        <v>253</v>
      </c>
      <c r="I115" s="5" t="s">
        <v>254</v>
      </c>
      <c r="J115" s="5" t="s">
        <v>54</v>
      </c>
      <c r="K115" s="5" t="s">
        <v>55</v>
      </c>
      <c r="L115" s="5">
        <v>3</v>
      </c>
      <c r="M115" s="5">
        <v>29735</v>
      </c>
      <c r="N115" s="5">
        <v>20</v>
      </c>
      <c r="O115" s="5">
        <v>71364</v>
      </c>
      <c r="P115" s="5">
        <v>53075.39</v>
      </c>
      <c r="Q115" s="5">
        <v>18288.61</v>
      </c>
      <c r="R115" s="5" t="s">
        <v>44</v>
      </c>
      <c r="S115" s="5" t="s">
        <v>33</v>
      </c>
      <c r="T115" s="5" t="s">
        <v>65</v>
      </c>
      <c r="U115" s="5">
        <v>4</v>
      </c>
      <c r="V115" s="5" t="s">
        <v>35</v>
      </c>
    </row>
    <row r="116" spans="1:22" x14ac:dyDescent="0.3">
      <c r="A116" s="5" t="s">
        <v>419</v>
      </c>
      <c r="B116" s="6">
        <v>46137</v>
      </c>
      <c r="C116" s="5" t="s">
        <v>420</v>
      </c>
      <c r="D116" s="5" t="s">
        <v>76</v>
      </c>
      <c r="E116" s="5" t="s">
        <v>25</v>
      </c>
      <c r="F116" s="5" t="s">
        <v>26</v>
      </c>
      <c r="G116" s="5" t="s">
        <v>27</v>
      </c>
      <c r="H116" s="5" t="s">
        <v>122</v>
      </c>
      <c r="I116" s="5" t="s">
        <v>123</v>
      </c>
      <c r="J116" s="5" t="s">
        <v>30</v>
      </c>
      <c r="K116" s="5" t="s">
        <v>31</v>
      </c>
      <c r="L116" s="5">
        <v>2</v>
      </c>
      <c r="M116" s="5">
        <v>5045</v>
      </c>
      <c r="N116" s="5">
        <v>20</v>
      </c>
      <c r="O116" s="5">
        <v>8072</v>
      </c>
      <c r="P116" s="5">
        <v>7035.79</v>
      </c>
      <c r="Q116" s="5">
        <v>1036.21</v>
      </c>
      <c r="R116" s="5" t="s">
        <v>44</v>
      </c>
      <c r="S116" s="5" t="s">
        <v>82</v>
      </c>
      <c r="T116" s="5" t="s">
        <v>65</v>
      </c>
      <c r="U116" s="5">
        <v>3</v>
      </c>
      <c r="V116" s="5" t="s">
        <v>45</v>
      </c>
    </row>
    <row r="117" spans="1:22" x14ac:dyDescent="0.3">
      <c r="A117" s="5" t="s">
        <v>421</v>
      </c>
      <c r="B117" s="6">
        <v>46148</v>
      </c>
      <c r="C117" s="5" t="s">
        <v>410</v>
      </c>
      <c r="D117" s="5" t="s">
        <v>110</v>
      </c>
      <c r="E117" s="5" t="s">
        <v>94</v>
      </c>
      <c r="F117" s="5" t="s">
        <v>26</v>
      </c>
      <c r="G117" s="5" t="s">
        <v>27</v>
      </c>
      <c r="H117" s="5" t="s">
        <v>411</v>
      </c>
      <c r="I117" s="5" t="s">
        <v>412</v>
      </c>
      <c r="J117" s="5" t="s">
        <v>54</v>
      </c>
      <c r="K117" s="5" t="s">
        <v>97</v>
      </c>
      <c r="L117" s="5">
        <v>2</v>
      </c>
      <c r="M117" s="5">
        <v>66278</v>
      </c>
      <c r="N117" s="5">
        <v>15</v>
      </c>
      <c r="O117" s="5">
        <v>112672.6</v>
      </c>
      <c r="P117" s="5">
        <v>76891.78</v>
      </c>
      <c r="Q117" s="5">
        <v>35780.82</v>
      </c>
      <c r="R117" s="5" t="s">
        <v>32</v>
      </c>
      <c r="S117" s="5" t="s">
        <v>82</v>
      </c>
      <c r="T117" s="5" t="s">
        <v>73</v>
      </c>
      <c r="U117" s="5">
        <v>1</v>
      </c>
      <c r="V117" s="5" t="s">
        <v>45</v>
      </c>
    </row>
    <row r="118" spans="1:22" x14ac:dyDescent="0.3">
      <c r="A118" s="5" t="s">
        <v>422</v>
      </c>
      <c r="B118" s="6">
        <v>46143</v>
      </c>
      <c r="C118" s="5" t="s">
        <v>423</v>
      </c>
      <c r="D118" s="5" t="s">
        <v>151</v>
      </c>
      <c r="E118" s="5" t="s">
        <v>49</v>
      </c>
      <c r="F118" s="5" t="s">
        <v>50</v>
      </c>
      <c r="G118" s="5" t="s">
        <v>51</v>
      </c>
      <c r="H118" s="5" t="s">
        <v>342</v>
      </c>
      <c r="I118" s="5" t="s">
        <v>343</v>
      </c>
      <c r="J118" s="5" t="s">
        <v>54</v>
      </c>
      <c r="K118" s="5" t="s">
        <v>97</v>
      </c>
      <c r="L118" s="5">
        <v>3</v>
      </c>
      <c r="M118" s="5">
        <v>64292</v>
      </c>
      <c r="N118" s="5">
        <v>20</v>
      </c>
      <c r="O118" s="5">
        <v>154300.79999999999</v>
      </c>
      <c r="P118" s="5">
        <v>124948.48</v>
      </c>
      <c r="Q118" s="5">
        <v>29352.32</v>
      </c>
      <c r="R118" s="5" t="s">
        <v>64</v>
      </c>
      <c r="S118" s="5" t="s">
        <v>82</v>
      </c>
      <c r="T118" s="5" t="s">
        <v>73</v>
      </c>
      <c r="U118" s="5">
        <v>5</v>
      </c>
      <c r="V118" s="5" t="s">
        <v>45</v>
      </c>
    </row>
    <row r="119" spans="1:22" x14ac:dyDescent="0.3">
      <c r="A119" s="5" t="s">
        <v>424</v>
      </c>
      <c r="B119" s="6">
        <v>46042</v>
      </c>
      <c r="C119" s="5" t="s">
        <v>425</v>
      </c>
      <c r="D119" s="5" t="s">
        <v>151</v>
      </c>
      <c r="E119" s="5" t="s">
        <v>39</v>
      </c>
      <c r="F119" s="5" t="s">
        <v>40</v>
      </c>
      <c r="G119" s="5" t="s">
        <v>41</v>
      </c>
      <c r="H119" s="5" t="s">
        <v>406</v>
      </c>
      <c r="I119" s="5" t="s">
        <v>407</v>
      </c>
      <c r="J119" s="5" t="s">
        <v>30</v>
      </c>
      <c r="K119" s="5" t="s">
        <v>31</v>
      </c>
      <c r="L119" s="5">
        <v>3</v>
      </c>
      <c r="M119" s="5">
        <v>41297</v>
      </c>
      <c r="N119" s="5">
        <v>20</v>
      </c>
      <c r="O119" s="5">
        <v>99112.8</v>
      </c>
      <c r="P119" s="5">
        <v>94844.07</v>
      </c>
      <c r="Q119" s="5">
        <v>4268.7299999999996</v>
      </c>
      <c r="R119" s="5" t="s">
        <v>64</v>
      </c>
      <c r="S119" s="5" t="s">
        <v>82</v>
      </c>
      <c r="T119" s="5" t="s">
        <v>73</v>
      </c>
      <c r="U119" s="5">
        <v>4</v>
      </c>
      <c r="V119" s="5" t="s">
        <v>35</v>
      </c>
    </row>
    <row r="120" spans="1:22" x14ac:dyDescent="0.3">
      <c r="A120" s="5" t="s">
        <v>426</v>
      </c>
      <c r="B120" s="6">
        <v>46048</v>
      </c>
      <c r="C120" s="5" t="s">
        <v>427</v>
      </c>
      <c r="D120" s="5" t="s">
        <v>68</v>
      </c>
      <c r="E120" s="5" t="s">
        <v>49</v>
      </c>
      <c r="F120" s="5" t="s">
        <v>50</v>
      </c>
      <c r="G120" s="5" t="s">
        <v>51</v>
      </c>
      <c r="H120" s="5" t="s">
        <v>265</v>
      </c>
      <c r="I120" s="5" t="s">
        <v>266</v>
      </c>
      <c r="J120" s="5" t="s">
        <v>71</v>
      </c>
      <c r="K120" s="5" t="s">
        <v>81</v>
      </c>
      <c r="L120" s="5">
        <v>4</v>
      </c>
      <c r="M120" s="5">
        <v>61574</v>
      </c>
      <c r="N120" s="5">
        <v>10</v>
      </c>
      <c r="O120" s="5">
        <v>221666.4</v>
      </c>
      <c r="P120" s="5">
        <v>204390.09</v>
      </c>
      <c r="Q120" s="5">
        <v>17276.310000000001</v>
      </c>
      <c r="R120" s="5" t="s">
        <v>32</v>
      </c>
      <c r="S120" s="5" t="s">
        <v>33</v>
      </c>
      <c r="T120" s="5" t="s">
        <v>73</v>
      </c>
      <c r="U120" s="5">
        <v>1</v>
      </c>
      <c r="V120" s="5" t="s">
        <v>35</v>
      </c>
    </row>
    <row r="121" spans="1:22" x14ac:dyDescent="0.3">
      <c r="A121" s="5" t="s">
        <v>428</v>
      </c>
      <c r="B121" s="6">
        <v>46067</v>
      </c>
      <c r="C121" s="5" t="s">
        <v>429</v>
      </c>
      <c r="D121" s="5" t="s">
        <v>24</v>
      </c>
      <c r="E121" s="5" t="s">
        <v>126</v>
      </c>
      <c r="F121" s="5" t="s">
        <v>126</v>
      </c>
      <c r="G121" s="5" t="s">
        <v>51</v>
      </c>
      <c r="H121" s="5" t="s">
        <v>180</v>
      </c>
      <c r="I121" s="5" t="s">
        <v>181</v>
      </c>
      <c r="J121" s="5" t="s">
        <v>54</v>
      </c>
      <c r="K121" s="5" t="s">
        <v>55</v>
      </c>
      <c r="L121" s="5">
        <v>1</v>
      </c>
      <c r="M121" s="5">
        <v>28928</v>
      </c>
      <c r="N121" s="5">
        <v>20</v>
      </c>
      <c r="O121" s="5">
        <v>23142.400000000001</v>
      </c>
      <c r="P121" s="5">
        <v>23616.19</v>
      </c>
      <c r="Q121" s="5">
        <v>-473.79</v>
      </c>
      <c r="R121" s="5" t="s">
        <v>64</v>
      </c>
      <c r="S121" s="5" t="s">
        <v>33</v>
      </c>
      <c r="T121" s="5" t="s">
        <v>65</v>
      </c>
      <c r="U121" s="5">
        <v>1</v>
      </c>
      <c r="V121" s="5" t="s">
        <v>45</v>
      </c>
    </row>
    <row r="122" spans="1:22" x14ac:dyDescent="0.3">
      <c r="A122" s="5" t="s">
        <v>430</v>
      </c>
      <c r="B122" s="6">
        <v>46038</v>
      </c>
      <c r="C122" s="5" t="s">
        <v>144</v>
      </c>
      <c r="D122" s="5" t="s">
        <v>117</v>
      </c>
      <c r="E122" s="5" t="s">
        <v>49</v>
      </c>
      <c r="F122" s="5" t="s">
        <v>50</v>
      </c>
      <c r="G122" s="5" t="s">
        <v>51</v>
      </c>
      <c r="H122" s="5" t="s">
        <v>431</v>
      </c>
      <c r="I122" s="5" t="s">
        <v>432</v>
      </c>
      <c r="J122" s="5" t="s">
        <v>30</v>
      </c>
      <c r="K122" s="5" t="s">
        <v>31</v>
      </c>
      <c r="L122" s="5">
        <v>2</v>
      </c>
      <c r="M122" s="5">
        <v>68501</v>
      </c>
      <c r="N122" s="5">
        <v>15</v>
      </c>
      <c r="O122" s="5">
        <v>116451.7</v>
      </c>
      <c r="P122" s="5">
        <v>79429.72</v>
      </c>
      <c r="Q122" s="5">
        <v>37021.980000000003</v>
      </c>
      <c r="R122" s="5" t="s">
        <v>44</v>
      </c>
      <c r="S122" s="5" t="s">
        <v>33</v>
      </c>
      <c r="T122" s="5" t="s">
        <v>73</v>
      </c>
      <c r="U122" s="5">
        <v>4</v>
      </c>
      <c r="V122" s="5" t="s">
        <v>35</v>
      </c>
    </row>
    <row r="123" spans="1:22" x14ac:dyDescent="0.3">
      <c r="A123" s="5" t="s">
        <v>433</v>
      </c>
      <c r="B123" s="6">
        <v>46181</v>
      </c>
      <c r="C123" s="5" t="s">
        <v>434</v>
      </c>
      <c r="D123" s="5" t="s">
        <v>76</v>
      </c>
      <c r="E123" s="5" t="s">
        <v>77</v>
      </c>
      <c r="F123" s="5" t="s">
        <v>78</v>
      </c>
      <c r="G123" s="5" t="s">
        <v>41</v>
      </c>
      <c r="H123" s="5" t="s">
        <v>180</v>
      </c>
      <c r="I123" s="5" t="s">
        <v>181</v>
      </c>
      <c r="J123" s="5" t="s">
        <v>54</v>
      </c>
      <c r="K123" s="5" t="s">
        <v>55</v>
      </c>
      <c r="L123" s="5">
        <v>4</v>
      </c>
      <c r="M123" s="5">
        <v>38002</v>
      </c>
      <c r="N123" s="5">
        <v>5</v>
      </c>
      <c r="O123" s="5">
        <v>144407.6</v>
      </c>
      <c r="P123" s="5">
        <v>110698.97</v>
      </c>
      <c r="Q123" s="5">
        <v>33708.629999999997</v>
      </c>
      <c r="R123" s="5" t="s">
        <v>32</v>
      </c>
      <c r="S123" s="5" t="s">
        <v>33</v>
      </c>
      <c r="T123" s="5" t="s">
        <v>34</v>
      </c>
      <c r="U123" s="5">
        <v>3</v>
      </c>
      <c r="V123" s="5" t="s">
        <v>35</v>
      </c>
    </row>
    <row r="124" spans="1:22" x14ac:dyDescent="0.3">
      <c r="A124" s="5" t="s">
        <v>435</v>
      </c>
      <c r="B124" s="6">
        <v>46071</v>
      </c>
      <c r="C124" s="5" t="s">
        <v>436</v>
      </c>
      <c r="D124" s="5" t="s">
        <v>151</v>
      </c>
      <c r="E124" s="5" t="s">
        <v>39</v>
      </c>
      <c r="F124" s="5" t="s">
        <v>40</v>
      </c>
      <c r="G124" s="5" t="s">
        <v>41</v>
      </c>
      <c r="H124" s="5" t="s">
        <v>79</v>
      </c>
      <c r="I124" s="5" t="s">
        <v>80</v>
      </c>
      <c r="J124" s="5" t="s">
        <v>71</v>
      </c>
      <c r="K124" s="5" t="s">
        <v>81</v>
      </c>
      <c r="L124" s="5">
        <v>5</v>
      </c>
      <c r="M124" s="5">
        <v>77966</v>
      </c>
      <c r="N124" s="5">
        <v>20</v>
      </c>
      <c r="O124" s="5">
        <v>311864</v>
      </c>
      <c r="P124" s="5">
        <v>284743</v>
      </c>
      <c r="Q124" s="5">
        <v>27121</v>
      </c>
      <c r="R124" s="5" t="s">
        <v>64</v>
      </c>
      <c r="S124" s="5" t="s">
        <v>82</v>
      </c>
      <c r="T124" s="5" t="s">
        <v>73</v>
      </c>
      <c r="U124" s="5">
        <v>1</v>
      </c>
      <c r="V124" s="5" t="s">
        <v>35</v>
      </c>
    </row>
    <row r="125" spans="1:22" x14ac:dyDescent="0.3">
      <c r="A125" s="5" t="s">
        <v>437</v>
      </c>
      <c r="B125" s="6">
        <v>46061</v>
      </c>
      <c r="C125" s="5" t="s">
        <v>438</v>
      </c>
      <c r="D125" s="5" t="s">
        <v>48</v>
      </c>
      <c r="E125" s="5" t="s">
        <v>94</v>
      </c>
      <c r="F125" s="5" t="s">
        <v>26</v>
      </c>
      <c r="G125" s="5" t="s">
        <v>27</v>
      </c>
      <c r="H125" s="5" t="s">
        <v>295</v>
      </c>
      <c r="I125" s="5" t="s">
        <v>296</v>
      </c>
      <c r="J125" s="5" t="s">
        <v>30</v>
      </c>
      <c r="K125" s="5" t="s">
        <v>31</v>
      </c>
      <c r="L125" s="5">
        <v>1</v>
      </c>
      <c r="M125" s="5">
        <v>61561</v>
      </c>
      <c r="N125" s="5">
        <v>0</v>
      </c>
      <c r="O125" s="5">
        <v>61561</v>
      </c>
      <c r="P125" s="5">
        <v>44997.75</v>
      </c>
      <c r="Q125" s="5">
        <v>16563.25</v>
      </c>
      <c r="R125" s="5" t="s">
        <v>44</v>
      </c>
      <c r="S125" s="5" t="s">
        <v>82</v>
      </c>
      <c r="T125" s="5" t="s">
        <v>65</v>
      </c>
      <c r="U125" s="5">
        <v>5</v>
      </c>
      <c r="V125" s="5" t="s">
        <v>45</v>
      </c>
    </row>
    <row r="126" spans="1:22" x14ac:dyDescent="0.3">
      <c r="A126" s="5" t="s">
        <v>439</v>
      </c>
      <c r="B126" s="6">
        <v>46062</v>
      </c>
      <c r="C126" s="5" t="s">
        <v>420</v>
      </c>
      <c r="D126" s="5" t="s">
        <v>110</v>
      </c>
      <c r="E126" s="5" t="s">
        <v>59</v>
      </c>
      <c r="F126" s="5" t="s">
        <v>60</v>
      </c>
      <c r="G126" s="5" t="s">
        <v>61</v>
      </c>
      <c r="H126" s="5" t="s">
        <v>440</v>
      </c>
      <c r="I126" s="5" t="s">
        <v>441</v>
      </c>
      <c r="J126" s="5" t="s">
        <v>30</v>
      </c>
      <c r="K126" s="5" t="s">
        <v>31</v>
      </c>
      <c r="L126" s="5">
        <v>5</v>
      </c>
      <c r="M126" s="5">
        <v>64711</v>
      </c>
      <c r="N126" s="5">
        <v>0</v>
      </c>
      <c r="O126" s="5">
        <v>323555</v>
      </c>
      <c r="P126" s="5">
        <v>264478.38</v>
      </c>
      <c r="Q126" s="5">
        <v>59076.62</v>
      </c>
      <c r="R126" s="5" t="s">
        <v>64</v>
      </c>
      <c r="S126" s="5" t="s">
        <v>33</v>
      </c>
      <c r="T126" s="5" t="s">
        <v>73</v>
      </c>
      <c r="U126" s="5">
        <v>2</v>
      </c>
      <c r="V126" s="5" t="s">
        <v>45</v>
      </c>
    </row>
    <row r="127" spans="1:22" x14ac:dyDescent="0.3">
      <c r="A127" s="5" t="s">
        <v>442</v>
      </c>
      <c r="B127" s="6">
        <v>46203</v>
      </c>
      <c r="C127" s="5" t="s">
        <v>425</v>
      </c>
      <c r="D127" s="5" t="s">
        <v>89</v>
      </c>
      <c r="E127" s="5" t="s">
        <v>49</v>
      </c>
      <c r="F127" s="5" t="s">
        <v>50</v>
      </c>
      <c r="G127" s="5" t="s">
        <v>51</v>
      </c>
      <c r="H127" s="5" t="s">
        <v>391</v>
      </c>
      <c r="I127" s="5" t="s">
        <v>392</v>
      </c>
      <c r="J127" s="5" t="s">
        <v>54</v>
      </c>
      <c r="K127" s="5" t="s">
        <v>55</v>
      </c>
      <c r="L127" s="5">
        <v>4</v>
      </c>
      <c r="M127" s="5">
        <v>69210</v>
      </c>
      <c r="N127" s="5">
        <v>20</v>
      </c>
      <c r="O127" s="5">
        <v>221472</v>
      </c>
      <c r="P127" s="5">
        <v>165472.89000000001</v>
      </c>
      <c r="Q127" s="5">
        <v>55999.11</v>
      </c>
      <c r="R127" s="5" t="s">
        <v>32</v>
      </c>
      <c r="S127" s="5" t="s">
        <v>82</v>
      </c>
      <c r="T127" s="5" t="s">
        <v>34</v>
      </c>
      <c r="U127" s="5">
        <v>3</v>
      </c>
      <c r="V127" s="5" t="s">
        <v>45</v>
      </c>
    </row>
    <row r="128" spans="1:22" x14ac:dyDescent="0.3">
      <c r="A128" s="5" t="s">
        <v>443</v>
      </c>
      <c r="B128" s="6">
        <v>46167</v>
      </c>
      <c r="C128" s="5" t="s">
        <v>444</v>
      </c>
      <c r="D128" s="5" t="s">
        <v>89</v>
      </c>
      <c r="E128" s="5" t="s">
        <v>126</v>
      </c>
      <c r="F128" s="5" t="s">
        <v>126</v>
      </c>
      <c r="G128" s="5" t="s">
        <v>51</v>
      </c>
      <c r="H128" s="5" t="s">
        <v>122</v>
      </c>
      <c r="I128" s="5" t="s">
        <v>123</v>
      </c>
      <c r="J128" s="5" t="s">
        <v>30</v>
      </c>
      <c r="K128" s="5" t="s">
        <v>31</v>
      </c>
      <c r="L128" s="5">
        <v>5</v>
      </c>
      <c r="M128" s="5">
        <v>29473</v>
      </c>
      <c r="N128" s="5">
        <v>15</v>
      </c>
      <c r="O128" s="5">
        <v>125260.25</v>
      </c>
      <c r="P128" s="5">
        <v>83095.509999999995</v>
      </c>
      <c r="Q128" s="5">
        <v>42164.74</v>
      </c>
      <c r="R128" s="5" t="s">
        <v>32</v>
      </c>
      <c r="S128" s="5" t="s">
        <v>33</v>
      </c>
      <c r="T128" s="5" t="s">
        <v>73</v>
      </c>
      <c r="U128" s="5">
        <v>4</v>
      </c>
      <c r="V128" s="5" t="s">
        <v>35</v>
      </c>
    </row>
    <row r="129" spans="1:22" x14ac:dyDescent="0.3">
      <c r="A129" s="5" t="s">
        <v>445</v>
      </c>
      <c r="B129" s="6">
        <v>46198</v>
      </c>
      <c r="C129" s="5" t="s">
        <v>446</v>
      </c>
      <c r="D129" s="5" t="s">
        <v>151</v>
      </c>
      <c r="E129" s="5" t="s">
        <v>39</v>
      </c>
      <c r="F129" s="5" t="s">
        <v>40</v>
      </c>
      <c r="G129" s="5" t="s">
        <v>41</v>
      </c>
      <c r="H129" s="5" t="s">
        <v>447</v>
      </c>
      <c r="I129" s="5" t="s">
        <v>448</v>
      </c>
      <c r="J129" s="5" t="s">
        <v>71</v>
      </c>
      <c r="K129" s="5" t="s">
        <v>72</v>
      </c>
      <c r="L129" s="5">
        <v>2</v>
      </c>
      <c r="M129" s="5">
        <v>6530</v>
      </c>
      <c r="N129" s="5">
        <v>15</v>
      </c>
      <c r="O129" s="5">
        <v>11101</v>
      </c>
      <c r="P129" s="5">
        <v>10780.72</v>
      </c>
      <c r="Q129" s="5">
        <v>320.27999999999997</v>
      </c>
      <c r="R129" s="5" t="s">
        <v>64</v>
      </c>
      <c r="S129" s="5" t="s">
        <v>82</v>
      </c>
      <c r="T129" s="5" t="s">
        <v>73</v>
      </c>
      <c r="U129" s="5">
        <v>4</v>
      </c>
      <c r="V129" s="5" t="s">
        <v>35</v>
      </c>
    </row>
    <row r="130" spans="1:22" x14ac:dyDescent="0.3">
      <c r="A130" s="5" t="s">
        <v>449</v>
      </c>
      <c r="B130" s="6">
        <v>46043</v>
      </c>
      <c r="C130" s="5" t="s">
        <v>450</v>
      </c>
      <c r="D130" s="5" t="s">
        <v>24</v>
      </c>
      <c r="E130" s="5" t="s">
        <v>94</v>
      </c>
      <c r="F130" s="5" t="s">
        <v>26</v>
      </c>
      <c r="G130" s="5" t="s">
        <v>27</v>
      </c>
      <c r="H130" s="5" t="s">
        <v>451</v>
      </c>
      <c r="I130" s="5" t="s">
        <v>452</v>
      </c>
      <c r="J130" s="5" t="s">
        <v>30</v>
      </c>
      <c r="K130" s="5" t="s">
        <v>31</v>
      </c>
      <c r="L130" s="5">
        <v>2</v>
      </c>
      <c r="M130" s="5">
        <v>75417</v>
      </c>
      <c r="N130" s="5">
        <v>5</v>
      </c>
      <c r="O130" s="5">
        <v>143292.29999999999</v>
      </c>
      <c r="P130" s="5">
        <v>89610.64</v>
      </c>
      <c r="Q130" s="5">
        <v>53681.66</v>
      </c>
      <c r="R130" s="5" t="s">
        <v>32</v>
      </c>
      <c r="S130" s="5" t="s">
        <v>82</v>
      </c>
      <c r="T130" s="5" t="s">
        <v>73</v>
      </c>
      <c r="U130" s="5">
        <v>4</v>
      </c>
      <c r="V130" s="5" t="s">
        <v>45</v>
      </c>
    </row>
    <row r="131" spans="1:22" x14ac:dyDescent="0.3">
      <c r="A131" s="5" t="s">
        <v>453</v>
      </c>
      <c r="B131" s="6">
        <v>46123</v>
      </c>
      <c r="C131" s="5" t="s">
        <v>454</v>
      </c>
      <c r="D131" s="5" t="s">
        <v>89</v>
      </c>
      <c r="E131" s="5" t="s">
        <v>25</v>
      </c>
      <c r="F131" s="5" t="s">
        <v>26</v>
      </c>
      <c r="G131" s="5" t="s">
        <v>27</v>
      </c>
      <c r="H131" s="5" t="s">
        <v>306</v>
      </c>
      <c r="I131" s="5" t="s">
        <v>307</v>
      </c>
      <c r="J131" s="5" t="s">
        <v>71</v>
      </c>
      <c r="K131" s="5" t="s">
        <v>81</v>
      </c>
      <c r="L131" s="5">
        <v>3</v>
      </c>
      <c r="M131" s="5">
        <v>16817</v>
      </c>
      <c r="N131" s="5">
        <v>0</v>
      </c>
      <c r="O131" s="5">
        <v>50451</v>
      </c>
      <c r="P131" s="5">
        <v>39986.46</v>
      </c>
      <c r="Q131" s="5">
        <v>10464.540000000001</v>
      </c>
      <c r="R131" s="5" t="s">
        <v>44</v>
      </c>
      <c r="S131" s="5" t="s">
        <v>82</v>
      </c>
      <c r="T131" s="5" t="s">
        <v>65</v>
      </c>
      <c r="U131" s="5">
        <v>1</v>
      </c>
      <c r="V131" s="5" t="s">
        <v>35</v>
      </c>
    </row>
    <row r="132" spans="1:22" x14ac:dyDescent="0.3">
      <c r="A132" s="5" t="s">
        <v>455</v>
      </c>
      <c r="B132" s="6">
        <v>46178</v>
      </c>
      <c r="C132" s="5" t="s">
        <v>456</v>
      </c>
      <c r="D132" s="5" t="s">
        <v>68</v>
      </c>
      <c r="E132" s="5" t="s">
        <v>25</v>
      </c>
      <c r="F132" s="5" t="s">
        <v>26</v>
      </c>
      <c r="G132" s="5" t="s">
        <v>27</v>
      </c>
      <c r="H132" s="5" t="s">
        <v>457</v>
      </c>
      <c r="I132" s="5" t="s">
        <v>458</v>
      </c>
      <c r="J132" s="5" t="s">
        <v>71</v>
      </c>
      <c r="K132" s="5" t="s">
        <v>81</v>
      </c>
      <c r="L132" s="5">
        <v>3</v>
      </c>
      <c r="M132" s="5">
        <v>71133</v>
      </c>
      <c r="N132" s="5">
        <v>20</v>
      </c>
      <c r="O132" s="5">
        <v>170719.2</v>
      </c>
      <c r="P132" s="5">
        <v>140794.82999999999</v>
      </c>
      <c r="Q132" s="5">
        <v>29924.37</v>
      </c>
      <c r="R132" s="5" t="s">
        <v>32</v>
      </c>
      <c r="S132" s="5" t="s">
        <v>33</v>
      </c>
      <c r="T132" s="5" t="s">
        <v>34</v>
      </c>
      <c r="U132" s="5">
        <v>4</v>
      </c>
      <c r="V132" s="5" t="s">
        <v>45</v>
      </c>
    </row>
    <row r="133" spans="1:22" x14ac:dyDescent="0.3">
      <c r="A133" s="5" t="s">
        <v>459</v>
      </c>
      <c r="B133" s="6">
        <v>46158</v>
      </c>
      <c r="C133" s="5" t="s">
        <v>171</v>
      </c>
      <c r="D133" s="5" t="s">
        <v>110</v>
      </c>
      <c r="E133" s="5" t="s">
        <v>39</v>
      </c>
      <c r="F133" s="5" t="s">
        <v>40</v>
      </c>
      <c r="G133" s="5" t="s">
        <v>41</v>
      </c>
      <c r="H133" s="5" t="s">
        <v>406</v>
      </c>
      <c r="I133" s="5" t="s">
        <v>407</v>
      </c>
      <c r="J133" s="5" t="s">
        <v>30</v>
      </c>
      <c r="K133" s="5" t="s">
        <v>31</v>
      </c>
      <c r="L133" s="5">
        <v>5</v>
      </c>
      <c r="M133" s="5">
        <v>33232</v>
      </c>
      <c r="N133" s="5">
        <v>0</v>
      </c>
      <c r="O133" s="5">
        <v>166160</v>
      </c>
      <c r="P133" s="5">
        <v>113549.18</v>
      </c>
      <c r="Q133" s="5">
        <v>52610.82</v>
      </c>
      <c r="R133" s="5" t="s">
        <v>32</v>
      </c>
      <c r="S133" s="5" t="s">
        <v>82</v>
      </c>
      <c r="T133" s="5" t="s">
        <v>34</v>
      </c>
      <c r="U133" s="5">
        <v>1</v>
      </c>
      <c r="V133" s="5" t="s">
        <v>45</v>
      </c>
    </row>
    <row r="134" spans="1:22" x14ac:dyDescent="0.3">
      <c r="A134" s="5" t="s">
        <v>460</v>
      </c>
      <c r="B134" s="6">
        <v>46203</v>
      </c>
      <c r="C134" s="5" t="s">
        <v>315</v>
      </c>
      <c r="D134" s="5" t="s">
        <v>151</v>
      </c>
      <c r="E134" s="5" t="s">
        <v>77</v>
      </c>
      <c r="F134" s="5" t="s">
        <v>78</v>
      </c>
      <c r="G134" s="5" t="s">
        <v>41</v>
      </c>
      <c r="H134" s="5" t="s">
        <v>461</v>
      </c>
      <c r="I134" s="5" t="s">
        <v>462</v>
      </c>
      <c r="J134" s="5" t="s">
        <v>71</v>
      </c>
      <c r="K134" s="5" t="s">
        <v>72</v>
      </c>
      <c r="L134" s="5">
        <v>2</v>
      </c>
      <c r="M134" s="5">
        <v>61380</v>
      </c>
      <c r="N134" s="5">
        <v>10</v>
      </c>
      <c r="O134" s="5">
        <v>110484</v>
      </c>
      <c r="P134" s="5">
        <v>69892.179999999993</v>
      </c>
      <c r="Q134" s="5">
        <v>40591.82</v>
      </c>
      <c r="R134" s="5" t="s">
        <v>44</v>
      </c>
      <c r="S134" s="5" t="s">
        <v>33</v>
      </c>
      <c r="T134" s="5" t="s">
        <v>73</v>
      </c>
      <c r="U134" s="5">
        <v>4</v>
      </c>
      <c r="V134" s="5" t="s">
        <v>35</v>
      </c>
    </row>
    <row r="135" spans="1:22" x14ac:dyDescent="0.3">
      <c r="A135" s="5" t="s">
        <v>463</v>
      </c>
      <c r="B135" s="6">
        <v>46042</v>
      </c>
      <c r="C135" s="5" t="s">
        <v>464</v>
      </c>
      <c r="D135" s="5" t="s">
        <v>48</v>
      </c>
      <c r="E135" s="5" t="s">
        <v>94</v>
      </c>
      <c r="F135" s="5" t="s">
        <v>26</v>
      </c>
      <c r="G135" s="5" t="s">
        <v>27</v>
      </c>
      <c r="H135" s="5" t="s">
        <v>281</v>
      </c>
      <c r="I135" s="5" t="s">
        <v>282</v>
      </c>
      <c r="J135" s="5" t="s">
        <v>30</v>
      </c>
      <c r="K135" s="5" t="s">
        <v>31</v>
      </c>
      <c r="L135" s="5">
        <v>2</v>
      </c>
      <c r="M135" s="5">
        <v>868</v>
      </c>
      <c r="N135" s="5">
        <v>0</v>
      </c>
      <c r="O135" s="5">
        <v>1736</v>
      </c>
      <c r="P135" s="5">
        <v>1040.06</v>
      </c>
      <c r="Q135" s="5">
        <v>695.94</v>
      </c>
      <c r="R135" s="5" t="s">
        <v>44</v>
      </c>
      <c r="S135" s="5" t="s">
        <v>33</v>
      </c>
      <c r="T135" s="5" t="s">
        <v>34</v>
      </c>
      <c r="U135" s="5">
        <v>2</v>
      </c>
      <c r="V135" s="5" t="s">
        <v>45</v>
      </c>
    </row>
    <row r="136" spans="1:22" x14ac:dyDescent="0.3">
      <c r="A136" s="5" t="s">
        <v>465</v>
      </c>
      <c r="B136" s="6">
        <v>46051</v>
      </c>
      <c r="C136" s="5" t="s">
        <v>454</v>
      </c>
      <c r="D136" s="5" t="s">
        <v>38</v>
      </c>
      <c r="E136" s="5" t="s">
        <v>126</v>
      </c>
      <c r="F136" s="5" t="s">
        <v>126</v>
      </c>
      <c r="G136" s="5" t="s">
        <v>51</v>
      </c>
      <c r="H136" s="5" t="s">
        <v>180</v>
      </c>
      <c r="I136" s="5" t="s">
        <v>181</v>
      </c>
      <c r="J136" s="5" t="s">
        <v>54</v>
      </c>
      <c r="K136" s="5" t="s">
        <v>55</v>
      </c>
      <c r="L136" s="5">
        <v>2</v>
      </c>
      <c r="M136" s="5">
        <v>72837</v>
      </c>
      <c r="N136" s="5">
        <v>10</v>
      </c>
      <c r="O136" s="5">
        <v>131106.6</v>
      </c>
      <c r="P136" s="5">
        <v>94609.12</v>
      </c>
      <c r="Q136" s="5">
        <v>36497.480000000003</v>
      </c>
      <c r="R136" s="5" t="s">
        <v>64</v>
      </c>
      <c r="S136" s="5" t="s">
        <v>82</v>
      </c>
      <c r="T136" s="5" t="s">
        <v>34</v>
      </c>
      <c r="U136" s="5">
        <v>5</v>
      </c>
      <c r="V136" s="5" t="s">
        <v>35</v>
      </c>
    </row>
    <row r="137" spans="1:22" x14ac:dyDescent="0.3">
      <c r="A137" s="5" t="s">
        <v>466</v>
      </c>
      <c r="B137" s="6">
        <v>46049</v>
      </c>
      <c r="C137" s="5" t="s">
        <v>287</v>
      </c>
      <c r="D137" s="5" t="s">
        <v>110</v>
      </c>
      <c r="E137" s="5" t="s">
        <v>49</v>
      </c>
      <c r="F137" s="5" t="s">
        <v>50</v>
      </c>
      <c r="G137" s="5" t="s">
        <v>51</v>
      </c>
      <c r="H137" s="5" t="s">
        <v>152</v>
      </c>
      <c r="I137" s="5" t="s">
        <v>153</v>
      </c>
      <c r="J137" s="5" t="s">
        <v>54</v>
      </c>
      <c r="K137" s="5" t="s">
        <v>97</v>
      </c>
      <c r="L137" s="5">
        <v>3</v>
      </c>
      <c r="M137" s="5">
        <v>28245</v>
      </c>
      <c r="N137" s="5">
        <v>0</v>
      </c>
      <c r="O137" s="5">
        <v>84735</v>
      </c>
      <c r="P137" s="5">
        <v>52702.28</v>
      </c>
      <c r="Q137" s="5">
        <v>32032.720000000001</v>
      </c>
      <c r="R137" s="5" t="s">
        <v>64</v>
      </c>
      <c r="S137" s="5" t="s">
        <v>82</v>
      </c>
      <c r="T137" s="5" t="s">
        <v>73</v>
      </c>
      <c r="U137" s="5">
        <v>1</v>
      </c>
      <c r="V137" s="5" t="s">
        <v>35</v>
      </c>
    </row>
    <row r="138" spans="1:22" x14ac:dyDescent="0.3">
      <c r="A138" s="5" t="s">
        <v>467</v>
      </c>
      <c r="B138" s="6">
        <v>46045</v>
      </c>
      <c r="C138" s="5" t="s">
        <v>468</v>
      </c>
      <c r="D138" s="5" t="s">
        <v>151</v>
      </c>
      <c r="E138" s="5" t="s">
        <v>59</v>
      </c>
      <c r="F138" s="5" t="s">
        <v>60</v>
      </c>
      <c r="G138" s="5" t="s">
        <v>61</v>
      </c>
      <c r="H138" s="5" t="s">
        <v>440</v>
      </c>
      <c r="I138" s="5" t="s">
        <v>441</v>
      </c>
      <c r="J138" s="5" t="s">
        <v>30</v>
      </c>
      <c r="K138" s="5" t="s">
        <v>31</v>
      </c>
      <c r="L138" s="5">
        <v>1</v>
      </c>
      <c r="M138" s="5">
        <v>29714</v>
      </c>
      <c r="N138" s="5">
        <v>20</v>
      </c>
      <c r="O138" s="5">
        <v>23771.200000000001</v>
      </c>
      <c r="P138" s="5">
        <v>21532.400000000001</v>
      </c>
      <c r="Q138" s="5">
        <v>2238.8000000000002</v>
      </c>
      <c r="R138" s="5" t="s">
        <v>64</v>
      </c>
      <c r="S138" s="5" t="s">
        <v>33</v>
      </c>
      <c r="T138" s="5" t="s">
        <v>34</v>
      </c>
      <c r="U138" s="5">
        <v>4</v>
      </c>
      <c r="V138" s="5" t="s">
        <v>35</v>
      </c>
    </row>
    <row r="139" spans="1:22" x14ac:dyDescent="0.3">
      <c r="A139" s="5" t="s">
        <v>469</v>
      </c>
      <c r="B139" s="6">
        <v>46155</v>
      </c>
      <c r="C139" s="5" t="s">
        <v>377</v>
      </c>
      <c r="D139" s="5" t="s">
        <v>24</v>
      </c>
      <c r="E139" s="5" t="s">
        <v>59</v>
      </c>
      <c r="F139" s="5" t="s">
        <v>60</v>
      </c>
      <c r="G139" s="5" t="s">
        <v>61</v>
      </c>
      <c r="H139" s="5" t="s">
        <v>224</v>
      </c>
      <c r="I139" s="5" t="s">
        <v>225</v>
      </c>
      <c r="J139" s="5" t="s">
        <v>102</v>
      </c>
      <c r="K139" s="5" t="s">
        <v>103</v>
      </c>
      <c r="L139" s="5">
        <v>2</v>
      </c>
      <c r="M139" s="5">
        <v>60882</v>
      </c>
      <c r="N139" s="5">
        <v>10</v>
      </c>
      <c r="O139" s="5">
        <v>109587.6</v>
      </c>
      <c r="P139" s="5">
        <v>92519.18</v>
      </c>
      <c r="Q139" s="5">
        <v>17068.419999999998</v>
      </c>
      <c r="R139" s="5" t="s">
        <v>32</v>
      </c>
      <c r="S139" s="5" t="s">
        <v>33</v>
      </c>
      <c r="T139" s="5" t="s">
        <v>34</v>
      </c>
      <c r="U139" s="5">
        <v>1</v>
      </c>
      <c r="V139" s="5" t="s">
        <v>45</v>
      </c>
    </row>
    <row r="140" spans="1:22" x14ac:dyDescent="0.3">
      <c r="A140" s="5" t="s">
        <v>470</v>
      </c>
      <c r="B140" s="6">
        <v>46062</v>
      </c>
      <c r="C140" s="5" t="s">
        <v>471</v>
      </c>
      <c r="D140" s="5" t="s">
        <v>89</v>
      </c>
      <c r="E140" s="5" t="s">
        <v>94</v>
      </c>
      <c r="F140" s="5" t="s">
        <v>26</v>
      </c>
      <c r="G140" s="5" t="s">
        <v>27</v>
      </c>
      <c r="H140" s="5" t="s">
        <v>334</v>
      </c>
      <c r="I140" s="5" t="s">
        <v>335</v>
      </c>
      <c r="J140" s="5" t="s">
        <v>71</v>
      </c>
      <c r="K140" s="5" t="s">
        <v>72</v>
      </c>
      <c r="L140" s="5">
        <v>5</v>
      </c>
      <c r="M140" s="5">
        <v>2455</v>
      </c>
      <c r="N140" s="5">
        <v>20</v>
      </c>
      <c r="O140" s="5">
        <v>9820</v>
      </c>
      <c r="P140" s="5">
        <v>7963.55</v>
      </c>
      <c r="Q140" s="5">
        <v>1856.45</v>
      </c>
      <c r="R140" s="5" t="s">
        <v>64</v>
      </c>
      <c r="S140" s="5" t="s">
        <v>33</v>
      </c>
      <c r="T140" s="5" t="s">
        <v>34</v>
      </c>
      <c r="U140" s="5">
        <v>4</v>
      </c>
      <c r="V140" s="5" t="s">
        <v>35</v>
      </c>
    </row>
    <row r="141" spans="1:22" x14ac:dyDescent="0.3">
      <c r="A141" s="5" t="s">
        <v>472</v>
      </c>
      <c r="B141" s="6">
        <v>46168</v>
      </c>
      <c r="C141" s="5" t="s">
        <v>473</v>
      </c>
      <c r="D141" s="5" t="s">
        <v>117</v>
      </c>
      <c r="E141" s="5" t="s">
        <v>39</v>
      </c>
      <c r="F141" s="5" t="s">
        <v>40</v>
      </c>
      <c r="G141" s="5" t="s">
        <v>41</v>
      </c>
      <c r="H141" s="5" t="s">
        <v>253</v>
      </c>
      <c r="I141" s="5" t="s">
        <v>254</v>
      </c>
      <c r="J141" s="5" t="s">
        <v>54</v>
      </c>
      <c r="K141" s="5" t="s">
        <v>55</v>
      </c>
      <c r="L141" s="5">
        <v>1</v>
      </c>
      <c r="M141" s="5">
        <v>44587</v>
      </c>
      <c r="N141" s="5">
        <v>15</v>
      </c>
      <c r="O141" s="5">
        <v>37898.949999999997</v>
      </c>
      <c r="P141" s="5">
        <v>33992.32</v>
      </c>
      <c r="Q141" s="5">
        <v>3906.63</v>
      </c>
      <c r="R141" s="5" t="s">
        <v>44</v>
      </c>
      <c r="S141" s="5" t="s">
        <v>82</v>
      </c>
      <c r="T141" s="5" t="s">
        <v>65</v>
      </c>
      <c r="U141" s="5">
        <v>3</v>
      </c>
      <c r="V141" s="5" t="s">
        <v>45</v>
      </c>
    </row>
    <row r="142" spans="1:22" x14ac:dyDescent="0.3">
      <c r="A142" s="5" t="s">
        <v>474</v>
      </c>
      <c r="B142" s="6">
        <v>46103</v>
      </c>
      <c r="C142" s="5" t="s">
        <v>475</v>
      </c>
      <c r="D142" s="5" t="s">
        <v>117</v>
      </c>
      <c r="E142" s="5" t="s">
        <v>94</v>
      </c>
      <c r="F142" s="5" t="s">
        <v>26</v>
      </c>
      <c r="G142" s="5" t="s">
        <v>27</v>
      </c>
      <c r="H142" s="5" t="s">
        <v>257</v>
      </c>
      <c r="I142" s="5" t="s">
        <v>258</v>
      </c>
      <c r="J142" s="5" t="s">
        <v>71</v>
      </c>
      <c r="K142" s="5" t="s">
        <v>81</v>
      </c>
      <c r="L142" s="5">
        <v>5</v>
      </c>
      <c r="M142" s="5">
        <v>21799</v>
      </c>
      <c r="N142" s="5">
        <v>10</v>
      </c>
      <c r="O142" s="5">
        <v>98095.5</v>
      </c>
      <c r="P142" s="5">
        <v>66330.429999999993</v>
      </c>
      <c r="Q142" s="5">
        <v>31765.07</v>
      </c>
      <c r="R142" s="5" t="s">
        <v>64</v>
      </c>
      <c r="S142" s="5" t="s">
        <v>82</v>
      </c>
      <c r="T142" s="5" t="s">
        <v>73</v>
      </c>
      <c r="U142" s="5">
        <v>5</v>
      </c>
      <c r="V142" s="5" t="s">
        <v>45</v>
      </c>
    </row>
    <row r="143" spans="1:22" x14ac:dyDescent="0.3">
      <c r="A143" s="5" t="s">
        <v>476</v>
      </c>
      <c r="B143" s="6">
        <v>46173</v>
      </c>
      <c r="C143" s="5" t="s">
        <v>477</v>
      </c>
      <c r="D143" s="5" t="s">
        <v>24</v>
      </c>
      <c r="E143" s="5" t="s">
        <v>77</v>
      </c>
      <c r="F143" s="5" t="s">
        <v>78</v>
      </c>
      <c r="G143" s="5" t="s">
        <v>41</v>
      </c>
      <c r="H143" s="5" t="s">
        <v>411</v>
      </c>
      <c r="I143" s="5" t="s">
        <v>412</v>
      </c>
      <c r="J143" s="5" t="s">
        <v>54</v>
      </c>
      <c r="K143" s="5" t="s">
        <v>97</v>
      </c>
      <c r="L143" s="5">
        <v>5</v>
      </c>
      <c r="M143" s="5">
        <v>42096</v>
      </c>
      <c r="N143" s="5">
        <v>0</v>
      </c>
      <c r="O143" s="5">
        <v>210480</v>
      </c>
      <c r="P143" s="5">
        <v>170450.98</v>
      </c>
      <c r="Q143" s="5">
        <v>40029.019999999997</v>
      </c>
      <c r="R143" s="5" t="s">
        <v>44</v>
      </c>
      <c r="S143" s="5" t="s">
        <v>33</v>
      </c>
      <c r="T143" s="5" t="s">
        <v>73</v>
      </c>
      <c r="U143" s="5">
        <v>2</v>
      </c>
      <c r="V143" s="5" t="s">
        <v>45</v>
      </c>
    </row>
    <row r="144" spans="1:22" x14ac:dyDescent="0.3">
      <c r="A144" s="5" t="s">
        <v>478</v>
      </c>
      <c r="B144" s="6">
        <v>46096</v>
      </c>
      <c r="C144" s="5" t="s">
        <v>423</v>
      </c>
      <c r="D144" s="5" t="s">
        <v>68</v>
      </c>
      <c r="E144" s="5" t="s">
        <v>39</v>
      </c>
      <c r="F144" s="5" t="s">
        <v>40</v>
      </c>
      <c r="G144" s="5" t="s">
        <v>41</v>
      </c>
      <c r="H144" s="5" t="s">
        <v>479</v>
      </c>
      <c r="I144" s="5" t="s">
        <v>480</v>
      </c>
      <c r="J144" s="5" t="s">
        <v>71</v>
      </c>
      <c r="K144" s="5" t="s">
        <v>72</v>
      </c>
      <c r="L144" s="5">
        <v>3</v>
      </c>
      <c r="M144" s="5">
        <v>28295</v>
      </c>
      <c r="N144" s="5">
        <v>0</v>
      </c>
      <c r="O144" s="5">
        <v>84885</v>
      </c>
      <c r="P144" s="5">
        <v>70301.97</v>
      </c>
      <c r="Q144" s="5">
        <v>14583.03</v>
      </c>
      <c r="R144" s="5" t="s">
        <v>32</v>
      </c>
      <c r="S144" s="5" t="s">
        <v>82</v>
      </c>
      <c r="T144" s="5" t="s">
        <v>34</v>
      </c>
      <c r="U144" s="5">
        <v>4</v>
      </c>
      <c r="V144" s="5" t="s">
        <v>35</v>
      </c>
    </row>
    <row r="145" spans="1:22" x14ac:dyDescent="0.3">
      <c r="A145" s="5" t="s">
        <v>481</v>
      </c>
      <c r="B145" s="6">
        <v>46139</v>
      </c>
      <c r="C145" s="5" t="s">
        <v>138</v>
      </c>
      <c r="D145" s="5" t="s">
        <v>89</v>
      </c>
      <c r="E145" s="5" t="s">
        <v>49</v>
      </c>
      <c r="F145" s="5" t="s">
        <v>50</v>
      </c>
      <c r="G145" s="5" t="s">
        <v>51</v>
      </c>
      <c r="H145" s="5" t="s">
        <v>284</v>
      </c>
      <c r="I145" s="5" t="s">
        <v>285</v>
      </c>
      <c r="J145" s="5" t="s">
        <v>54</v>
      </c>
      <c r="K145" s="5" t="s">
        <v>55</v>
      </c>
      <c r="L145" s="5">
        <v>4</v>
      </c>
      <c r="M145" s="5">
        <v>28029</v>
      </c>
      <c r="N145" s="5">
        <v>5</v>
      </c>
      <c r="O145" s="5">
        <v>106510.2</v>
      </c>
      <c r="P145" s="5">
        <v>76487.009999999995</v>
      </c>
      <c r="Q145" s="5">
        <v>30023.19</v>
      </c>
      <c r="R145" s="5" t="s">
        <v>64</v>
      </c>
      <c r="S145" s="5" t="s">
        <v>33</v>
      </c>
      <c r="T145" s="5" t="s">
        <v>34</v>
      </c>
      <c r="U145" s="5">
        <v>1</v>
      </c>
      <c r="V145" s="5" t="s">
        <v>35</v>
      </c>
    </row>
    <row r="146" spans="1:22" x14ac:dyDescent="0.3">
      <c r="A146" s="5" t="s">
        <v>482</v>
      </c>
      <c r="B146" s="6">
        <v>46023</v>
      </c>
      <c r="C146" s="5" t="s">
        <v>483</v>
      </c>
      <c r="D146" s="5" t="s">
        <v>117</v>
      </c>
      <c r="E146" s="5" t="s">
        <v>49</v>
      </c>
      <c r="F146" s="5" t="s">
        <v>50</v>
      </c>
      <c r="G146" s="5" t="s">
        <v>51</v>
      </c>
      <c r="H146" s="5" t="s">
        <v>415</v>
      </c>
      <c r="I146" s="5" t="s">
        <v>416</v>
      </c>
      <c r="J146" s="5" t="s">
        <v>30</v>
      </c>
      <c r="K146" s="5" t="s">
        <v>31</v>
      </c>
      <c r="L146" s="5">
        <v>5</v>
      </c>
      <c r="M146" s="5">
        <v>17716</v>
      </c>
      <c r="N146" s="5">
        <v>0</v>
      </c>
      <c r="O146" s="5">
        <v>88580</v>
      </c>
      <c r="P146" s="5">
        <v>56068.31</v>
      </c>
      <c r="Q146" s="5">
        <v>32511.69</v>
      </c>
      <c r="R146" s="5" t="s">
        <v>64</v>
      </c>
      <c r="S146" s="5" t="s">
        <v>82</v>
      </c>
      <c r="T146" s="5" t="s">
        <v>65</v>
      </c>
      <c r="U146" s="5">
        <v>2</v>
      </c>
      <c r="V146" s="5" t="s">
        <v>45</v>
      </c>
    </row>
    <row r="147" spans="1:22" x14ac:dyDescent="0.3">
      <c r="A147" s="5" t="s">
        <v>484</v>
      </c>
      <c r="B147" s="6">
        <v>46113</v>
      </c>
      <c r="C147" s="5" t="s">
        <v>485</v>
      </c>
      <c r="D147" s="5" t="s">
        <v>38</v>
      </c>
      <c r="E147" s="5" t="s">
        <v>59</v>
      </c>
      <c r="F147" s="5" t="s">
        <v>60</v>
      </c>
      <c r="G147" s="5" t="s">
        <v>61</v>
      </c>
      <c r="H147" s="5" t="s">
        <v>486</v>
      </c>
      <c r="I147" s="5" t="s">
        <v>487</v>
      </c>
      <c r="J147" s="5" t="s">
        <v>71</v>
      </c>
      <c r="K147" s="5" t="s">
        <v>81</v>
      </c>
      <c r="L147" s="5">
        <v>5</v>
      </c>
      <c r="M147" s="5">
        <v>74155</v>
      </c>
      <c r="N147" s="5">
        <v>10</v>
      </c>
      <c r="O147" s="5">
        <v>333697.5</v>
      </c>
      <c r="P147" s="5">
        <v>271457.84999999998</v>
      </c>
      <c r="Q147" s="5">
        <v>62239.65</v>
      </c>
      <c r="R147" s="5" t="s">
        <v>44</v>
      </c>
      <c r="S147" s="5" t="s">
        <v>33</v>
      </c>
      <c r="T147" s="5" t="s">
        <v>65</v>
      </c>
      <c r="U147" s="5">
        <v>2</v>
      </c>
      <c r="V147" s="5" t="s">
        <v>45</v>
      </c>
    </row>
    <row r="148" spans="1:22" x14ac:dyDescent="0.3">
      <c r="A148" s="5" t="s">
        <v>488</v>
      </c>
      <c r="B148" s="6">
        <v>46073</v>
      </c>
      <c r="C148" s="5" t="s">
        <v>418</v>
      </c>
      <c r="D148" s="5" t="s">
        <v>24</v>
      </c>
      <c r="E148" s="5" t="s">
        <v>77</v>
      </c>
      <c r="F148" s="5" t="s">
        <v>78</v>
      </c>
      <c r="G148" s="5" t="s">
        <v>41</v>
      </c>
      <c r="H148" s="5" t="s">
        <v>160</v>
      </c>
      <c r="I148" s="5" t="s">
        <v>161</v>
      </c>
      <c r="J148" s="5" t="s">
        <v>102</v>
      </c>
      <c r="K148" s="5" t="s">
        <v>103</v>
      </c>
      <c r="L148" s="5">
        <v>1</v>
      </c>
      <c r="M148" s="5">
        <v>57437</v>
      </c>
      <c r="N148" s="5">
        <v>20</v>
      </c>
      <c r="O148" s="5">
        <v>45949.599999999999</v>
      </c>
      <c r="P148" s="5">
        <v>39438.400000000001</v>
      </c>
      <c r="Q148" s="5">
        <v>6511.2</v>
      </c>
      <c r="R148" s="5" t="s">
        <v>64</v>
      </c>
      <c r="S148" s="5" t="s">
        <v>33</v>
      </c>
      <c r="T148" s="5" t="s">
        <v>73</v>
      </c>
      <c r="U148" s="5">
        <v>5</v>
      </c>
      <c r="V148" s="5" t="s">
        <v>35</v>
      </c>
    </row>
    <row r="149" spans="1:22" x14ac:dyDescent="0.3">
      <c r="A149" s="5" t="s">
        <v>489</v>
      </c>
      <c r="B149" s="6">
        <v>46088</v>
      </c>
      <c r="C149" s="5" t="s">
        <v>490</v>
      </c>
      <c r="D149" s="5" t="s">
        <v>110</v>
      </c>
      <c r="E149" s="5" t="s">
        <v>94</v>
      </c>
      <c r="F149" s="5" t="s">
        <v>26</v>
      </c>
      <c r="G149" s="5" t="s">
        <v>27</v>
      </c>
      <c r="H149" s="5" t="s">
        <v>358</v>
      </c>
      <c r="I149" s="5" t="s">
        <v>359</v>
      </c>
      <c r="J149" s="5" t="s">
        <v>102</v>
      </c>
      <c r="K149" s="5" t="s">
        <v>103</v>
      </c>
      <c r="L149" s="5">
        <v>3</v>
      </c>
      <c r="M149" s="5">
        <v>19797</v>
      </c>
      <c r="N149" s="5">
        <v>10</v>
      </c>
      <c r="O149" s="5">
        <v>53451.9</v>
      </c>
      <c r="P149" s="5">
        <v>44233.98</v>
      </c>
      <c r="Q149" s="5">
        <v>9217.92</v>
      </c>
      <c r="R149" s="5" t="s">
        <v>44</v>
      </c>
      <c r="S149" s="5" t="s">
        <v>82</v>
      </c>
      <c r="T149" s="5" t="s">
        <v>65</v>
      </c>
      <c r="U149" s="5">
        <v>3</v>
      </c>
      <c r="V149" s="5" t="s">
        <v>45</v>
      </c>
    </row>
    <row r="150" spans="1:22" x14ac:dyDescent="0.3">
      <c r="A150" s="5" t="s">
        <v>491</v>
      </c>
      <c r="B150" s="6">
        <v>46143</v>
      </c>
      <c r="C150" s="5" t="s">
        <v>492</v>
      </c>
      <c r="D150" s="5" t="s">
        <v>48</v>
      </c>
      <c r="E150" s="5" t="s">
        <v>94</v>
      </c>
      <c r="F150" s="5" t="s">
        <v>26</v>
      </c>
      <c r="G150" s="5" t="s">
        <v>27</v>
      </c>
      <c r="H150" s="5" t="s">
        <v>69</v>
      </c>
      <c r="I150" s="5" t="s">
        <v>70</v>
      </c>
      <c r="J150" s="5" t="s">
        <v>71</v>
      </c>
      <c r="K150" s="5" t="s">
        <v>72</v>
      </c>
      <c r="L150" s="5">
        <v>4</v>
      </c>
      <c r="M150" s="5">
        <v>15532</v>
      </c>
      <c r="N150" s="5">
        <v>0</v>
      </c>
      <c r="O150" s="5">
        <v>62128</v>
      </c>
      <c r="P150" s="5">
        <v>52649.43</v>
      </c>
      <c r="Q150" s="5">
        <v>9478.57</v>
      </c>
      <c r="R150" s="5" t="s">
        <v>32</v>
      </c>
      <c r="S150" s="5" t="s">
        <v>82</v>
      </c>
      <c r="T150" s="5" t="s">
        <v>65</v>
      </c>
      <c r="U150" s="5">
        <v>2</v>
      </c>
      <c r="V150" s="5" t="s">
        <v>35</v>
      </c>
    </row>
    <row r="151" spans="1:22" x14ac:dyDescent="0.3">
      <c r="A151" s="5" t="s">
        <v>493</v>
      </c>
      <c r="B151" s="6">
        <v>46088</v>
      </c>
      <c r="C151" s="5" t="s">
        <v>494</v>
      </c>
      <c r="D151" s="5" t="s">
        <v>58</v>
      </c>
      <c r="E151" s="5" t="s">
        <v>25</v>
      </c>
      <c r="F151" s="5" t="s">
        <v>26</v>
      </c>
      <c r="G151" s="5" t="s">
        <v>27</v>
      </c>
      <c r="H151" s="5" t="s">
        <v>415</v>
      </c>
      <c r="I151" s="5" t="s">
        <v>416</v>
      </c>
      <c r="J151" s="5" t="s">
        <v>30</v>
      </c>
      <c r="K151" s="5" t="s">
        <v>31</v>
      </c>
      <c r="L151" s="5">
        <v>5</v>
      </c>
      <c r="M151" s="5">
        <v>34366</v>
      </c>
      <c r="N151" s="5">
        <v>0</v>
      </c>
      <c r="O151" s="5">
        <v>171830</v>
      </c>
      <c r="P151" s="5">
        <v>127347.82</v>
      </c>
      <c r="Q151" s="5">
        <v>44482.18</v>
      </c>
      <c r="R151" s="5" t="s">
        <v>64</v>
      </c>
      <c r="S151" s="5" t="s">
        <v>33</v>
      </c>
      <c r="T151" s="5" t="s">
        <v>73</v>
      </c>
      <c r="U151" s="5">
        <v>1</v>
      </c>
      <c r="V151" s="5" t="s">
        <v>35</v>
      </c>
    </row>
    <row r="152" spans="1:22" x14ac:dyDescent="0.3">
      <c r="A152" s="5" t="s">
        <v>495</v>
      </c>
      <c r="B152" s="6">
        <v>46085</v>
      </c>
      <c r="C152" s="5" t="s">
        <v>436</v>
      </c>
      <c r="D152" s="5" t="s">
        <v>89</v>
      </c>
      <c r="E152" s="5" t="s">
        <v>59</v>
      </c>
      <c r="F152" s="5" t="s">
        <v>60</v>
      </c>
      <c r="G152" s="5" t="s">
        <v>61</v>
      </c>
      <c r="H152" s="5" t="s">
        <v>496</v>
      </c>
      <c r="I152" s="5" t="s">
        <v>497</v>
      </c>
      <c r="J152" s="5" t="s">
        <v>30</v>
      </c>
      <c r="K152" s="5" t="s">
        <v>31</v>
      </c>
      <c r="L152" s="5">
        <v>5</v>
      </c>
      <c r="M152" s="5">
        <v>21946</v>
      </c>
      <c r="N152" s="5">
        <v>10</v>
      </c>
      <c r="O152" s="5">
        <v>98757</v>
      </c>
      <c r="P152" s="5">
        <v>78879.14</v>
      </c>
      <c r="Q152" s="5">
        <v>19877.86</v>
      </c>
      <c r="R152" s="5" t="s">
        <v>44</v>
      </c>
      <c r="S152" s="5" t="s">
        <v>33</v>
      </c>
      <c r="T152" s="5" t="s">
        <v>73</v>
      </c>
      <c r="U152" s="5">
        <v>3</v>
      </c>
      <c r="V152" s="5" t="s">
        <v>45</v>
      </c>
    </row>
    <row r="153" spans="1:22" x14ac:dyDescent="0.3">
      <c r="A153" s="5" t="s">
        <v>498</v>
      </c>
      <c r="B153" s="6">
        <v>46141</v>
      </c>
      <c r="C153" s="5" t="s">
        <v>499</v>
      </c>
      <c r="D153" s="5" t="s">
        <v>76</v>
      </c>
      <c r="E153" s="5" t="s">
        <v>25</v>
      </c>
      <c r="F153" s="5" t="s">
        <v>26</v>
      </c>
      <c r="G153" s="5" t="s">
        <v>27</v>
      </c>
      <c r="H153" s="5" t="s">
        <v>269</v>
      </c>
      <c r="I153" s="5" t="s">
        <v>270</v>
      </c>
      <c r="J153" s="5" t="s">
        <v>71</v>
      </c>
      <c r="K153" s="5" t="s">
        <v>72</v>
      </c>
      <c r="L153" s="5">
        <v>3</v>
      </c>
      <c r="M153" s="5">
        <v>62014</v>
      </c>
      <c r="N153" s="5">
        <v>0</v>
      </c>
      <c r="O153" s="5">
        <v>186042</v>
      </c>
      <c r="P153" s="5">
        <v>148823.04000000001</v>
      </c>
      <c r="Q153" s="5">
        <v>37218.959999999999</v>
      </c>
      <c r="R153" s="5" t="s">
        <v>64</v>
      </c>
      <c r="S153" s="5" t="s">
        <v>82</v>
      </c>
      <c r="T153" s="5" t="s">
        <v>34</v>
      </c>
      <c r="U153" s="5">
        <v>1</v>
      </c>
      <c r="V153" s="5" t="s">
        <v>35</v>
      </c>
    </row>
    <row r="154" spans="1:22" x14ac:dyDescent="0.3">
      <c r="A154" s="5" t="s">
        <v>500</v>
      </c>
      <c r="B154" s="6">
        <v>46184</v>
      </c>
      <c r="C154" s="5" t="s">
        <v>501</v>
      </c>
      <c r="D154" s="5" t="s">
        <v>76</v>
      </c>
      <c r="E154" s="5" t="s">
        <v>25</v>
      </c>
      <c r="F154" s="5" t="s">
        <v>26</v>
      </c>
      <c r="G154" s="5" t="s">
        <v>27</v>
      </c>
      <c r="H154" s="5" t="s">
        <v>113</v>
      </c>
      <c r="I154" s="5" t="s">
        <v>114</v>
      </c>
      <c r="J154" s="5" t="s">
        <v>102</v>
      </c>
      <c r="K154" s="5" t="s">
        <v>103</v>
      </c>
      <c r="L154" s="5">
        <v>3</v>
      </c>
      <c r="M154" s="5">
        <v>22335</v>
      </c>
      <c r="N154" s="5">
        <v>0</v>
      </c>
      <c r="O154" s="5">
        <v>67005</v>
      </c>
      <c r="P154" s="5">
        <v>51079.92</v>
      </c>
      <c r="Q154" s="5">
        <v>15925.08</v>
      </c>
      <c r="R154" s="5" t="s">
        <v>64</v>
      </c>
      <c r="S154" s="5" t="s">
        <v>33</v>
      </c>
      <c r="T154" s="5" t="s">
        <v>65</v>
      </c>
      <c r="U154" s="5">
        <v>4</v>
      </c>
      <c r="V154" s="5" t="s">
        <v>45</v>
      </c>
    </row>
    <row r="155" spans="1:22" x14ac:dyDescent="0.3">
      <c r="A155" s="5" t="s">
        <v>502</v>
      </c>
      <c r="B155" s="6">
        <v>46183</v>
      </c>
      <c r="C155" s="5" t="s">
        <v>366</v>
      </c>
      <c r="D155" s="5" t="s">
        <v>110</v>
      </c>
      <c r="E155" s="5" t="s">
        <v>94</v>
      </c>
      <c r="F155" s="5" t="s">
        <v>26</v>
      </c>
      <c r="G155" s="5" t="s">
        <v>27</v>
      </c>
      <c r="H155" s="5" t="s">
        <v>42</v>
      </c>
      <c r="I155" s="5" t="s">
        <v>43</v>
      </c>
      <c r="J155" s="5" t="s">
        <v>30</v>
      </c>
      <c r="K155" s="5" t="s">
        <v>31</v>
      </c>
      <c r="L155" s="5">
        <v>4</v>
      </c>
      <c r="M155" s="5">
        <v>1334</v>
      </c>
      <c r="N155" s="5">
        <v>20</v>
      </c>
      <c r="O155" s="5">
        <v>4268.8</v>
      </c>
      <c r="P155" s="5">
        <v>3172.61</v>
      </c>
      <c r="Q155" s="5">
        <v>1096.19</v>
      </c>
      <c r="R155" s="5" t="s">
        <v>44</v>
      </c>
      <c r="S155" s="5" t="s">
        <v>82</v>
      </c>
      <c r="T155" s="5" t="s">
        <v>65</v>
      </c>
      <c r="U155" s="5">
        <v>3</v>
      </c>
      <c r="V155" s="5" t="s">
        <v>45</v>
      </c>
    </row>
    <row r="156" spans="1:22" x14ac:dyDescent="0.3">
      <c r="A156" s="5" t="s">
        <v>503</v>
      </c>
      <c r="B156" s="6">
        <v>46069</v>
      </c>
      <c r="C156" s="5" t="s">
        <v>280</v>
      </c>
      <c r="D156" s="5" t="s">
        <v>151</v>
      </c>
      <c r="E156" s="5" t="s">
        <v>126</v>
      </c>
      <c r="F156" s="5" t="s">
        <v>126</v>
      </c>
      <c r="G156" s="5" t="s">
        <v>51</v>
      </c>
      <c r="H156" s="5" t="s">
        <v>504</v>
      </c>
      <c r="I156" s="5" t="s">
        <v>505</v>
      </c>
      <c r="J156" s="5" t="s">
        <v>54</v>
      </c>
      <c r="K156" s="5" t="s">
        <v>55</v>
      </c>
      <c r="L156" s="5">
        <v>5</v>
      </c>
      <c r="M156" s="5">
        <v>48605</v>
      </c>
      <c r="N156" s="5">
        <v>15</v>
      </c>
      <c r="O156" s="5">
        <v>206571.25</v>
      </c>
      <c r="P156" s="5">
        <v>195188.02</v>
      </c>
      <c r="Q156" s="5">
        <v>11383.23</v>
      </c>
      <c r="R156" s="5" t="s">
        <v>44</v>
      </c>
      <c r="S156" s="5" t="s">
        <v>33</v>
      </c>
      <c r="T156" s="5" t="s">
        <v>34</v>
      </c>
      <c r="U156" s="5">
        <v>3</v>
      </c>
      <c r="V156" s="5" t="s">
        <v>45</v>
      </c>
    </row>
    <row r="157" spans="1:22" x14ac:dyDescent="0.3">
      <c r="A157" s="5" t="s">
        <v>506</v>
      </c>
      <c r="B157" s="6">
        <v>46110</v>
      </c>
      <c r="C157" s="5" t="s">
        <v>507</v>
      </c>
      <c r="D157" s="5" t="s">
        <v>76</v>
      </c>
      <c r="E157" s="5" t="s">
        <v>94</v>
      </c>
      <c r="F157" s="5" t="s">
        <v>26</v>
      </c>
      <c r="G157" s="5" t="s">
        <v>27</v>
      </c>
      <c r="H157" s="5" t="s">
        <v>206</v>
      </c>
      <c r="I157" s="5" t="s">
        <v>207</v>
      </c>
      <c r="J157" s="5" t="s">
        <v>30</v>
      </c>
      <c r="K157" s="5" t="s">
        <v>31</v>
      </c>
      <c r="L157" s="5">
        <v>3</v>
      </c>
      <c r="M157" s="5">
        <v>35820</v>
      </c>
      <c r="N157" s="5">
        <v>5</v>
      </c>
      <c r="O157" s="5">
        <v>102087</v>
      </c>
      <c r="P157" s="5">
        <v>74127.03</v>
      </c>
      <c r="Q157" s="5">
        <v>27959.97</v>
      </c>
      <c r="R157" s="5" t="s">
        <v>44</v>
      </c>
      <c r="S157" s="5" t="s">
        <v>33</v>
      </c>
      <c r="T157" s="5" t="s">
        <v>34</v>
      </c>
      <c r="U157" s="5">
        <v>1</v>
      </c>
      <c r="V157" s="5" t="s">
        <v>45</v>
      </c>
    </row>
    <row r="158" spans="1:22" x14ac:dyDescent="0.3">
      <c r="A158" s="5" t="s">
        <v>508</v>
      </c>
      <c r="B158" s="6">
        <v>46055</v>
      </c>
      <c r="C158" s="5" t="s">
        <v>230</v>
      </c>
      <c r="D158" s="5" t="s">
        <v>76</v>
      </c>
      <c r="E158" s="5" t="s">
        <v>59</v>
      </c>
      <c r="F158" s="5" t="s">
        <v>60</v>
      </c>
      <c r="G158" s="5" t="s">
        <v>61</v>
      </c>
      <c r="H158" s="5" t="s">
        <v>106</v>
      </c>
      <c r="I158" s="5" t="s">
        <v>107</v>
      </c>
      <c r="J158" s="5" t="s">
        <v>30</v>
      </c>
      <c r="K158" s="5" t="s">
        <v>31</v>
      </c>
      <c r="L158" s="5">
        <v>5</v>
      </c>
      <c r="M158" s="5">
        <v>53617</v>
      </c>
      <c r="N158" s="5">
        <v>0</v>
      </c>
      <c r="O158" s="5">
        <v>268085</v>
      </c>
      <c r="P158" s="5">
        <v>157447.13</v>
      </c>
      <c r="Q158" s="5">
        <v>110637.87</v>
      </c>
      <c r="R158" s="5" t="s">
        <v>64</v>
      </c>
      <c r="S158" s="5" t="s">
        <v>82</v>
      </c>
      <c r="T158" s="5" t="s">
        <v>34</v>
      </c>
      <c r="U158" s="5">
        <v>3</v>
      </c>
      <c r="V158" s="5" t="s">
        <v>35</v>
      </c>
    </row>
    <row r="159" spans="1:22" x14ac:dyDescent="0.3">
      <c r="A159" s="5" t="s">
        <v>509</v>
      </c>
      <c r="B159" s="6">
        <v>46027</v>
      </c>
      <c r="C159" s="5" t="s">
        <v>256</v>
      </c>
      <c r="D159" s="5" t="s">
        <v>110</v>
      </c>
      <c r="E159" s="5" t="s">
        <v>25</v>
      </c>
      <c r="F159" s="5" t="s">
        <v>26</v>
      </c>
      <c r="G159" s="5" t="s">
        <v>27</v>
      </c>
      <c r="H159" s="5" t="s">
        <v>156</v>
      </c>
      <c r="I159" s="5" t="s">
        <v>157</v>
      </c>
      <c r="J159" s="5" t="s">
        <v>30</v>
      </c>
      <c r="K159" s="5" t="s">
        <v>31</v>
      </c>
      <c r="L159" s="5">
        <v>1</v>
      </c>
      <c r="M159" s="5">
        <v>13459</v>
      </c>
      <c r="N159" s="5">
        <v>5</v>
      </c>
      <c r="O159" s="5">
        <v>12786.05</v>
      </c>
      <c r="P159" s="5">
        <v>7698.61</v>
      </c>
      <c r="Q159" s="5">
        <v>5087.4399999999996</v>
      </c>
      <c r="R159" s="5" t="s">
        <v>44</v>
      </c>
      <c r="S159" s="5" t="s">
        <v>33</v>
      </c>
      <c r="T159" s="5" t="s">
        <v>73</v>
      </c>
      <c r="U159" s="5">
        <v>1</v>
      </c>
      <c r="V159" s="5" t="s">
        <v>35</v>
      </c>
    </row>
    <row r="160" spans="1:22" x14ac:dyDescent="0.3">
      <c r="A160" s="5" t="s">
        <v>510</v>
      </c>
      <c r="B160" s="6">
        <v>46101</v>
      </c>
      <c r="C160" s="5" t="s">
        <v>471</v>
      </c>
      <c r="D160" s="5" t="s">
        <v>38</v>
      </c>
      <c r="E160" s="5" t="s">
        <v>39</v>
      </c>
      <c r="F160" s="5" t="s">
        <v>40</v>
      </c>
      <c r="G160" s="5" t="s">
        <v>41</v>
      </c>
      <c r="H160" s="5" t="s">
        <v>203</v>
      </c>
      <c r="I160" s="5" t="s">
        <v>204</v>
      </c>
      <c r="J160" s="5" t="s">
        <v>71</v>
      </c>
      <c r="K160" s="5" t="s">
        <v>81</v>
      </c>
      <c r="L160" s="5">
        <v>1</v>
      </c>
      <c r="M160" s="5">
        <v>53792</v>
      </c>
      <c r="N160" s="5">
        <v>0</v>
      </c>
      <c r="O160" s="5">
        <v>53792</v>
      </c>
      <c r="P160" s="5">
        <v>31421.62</v>
      </c>
      <c r="Q160" s="5">
        <v>22370.38</v>
      </c>
      <c r="R160" s="5" t="s">
        <v>32</v>
      </c>
      <c r="S160" s="5" t="s">
        <v>33</v>
      </c>
      <c r="T160" s="5" t="s">
        <v>65</v>
      </c>
      <c r="U160" s="5">
        <v>1</v>
      </c>
      <c r="V160" s="5" t="s">
        <v>45</v>
      </c>
    </row>
    <row r="161" spans="1:22" x14ac:dyDescent="0.3">
      <c r="A161" s="5" t="s">
        <v>511</v>
      </c>
      <c r="B161" s="6">
        <v>46061</v>
      </c>
      <c r="C161" s="5" t="s">
        <v>464</v>
      </c>
      <c r="D161" s="5" t="s">
        <v>151</v>
      </c>
      <c r="E161" s="5" t="s">
        <v>77</v>
      </c>
      <c r="F161" s="5" t="s">
        <v>78</v>
      </c>
      <c r="G161" s="5" t="s">
        <v>41</v>
      </c>
      <c r="H161" s="5" t="s">
        <v>253</v>
      </c>
      <c r="I161" s="5" t="s">
        <v>254</v>
      </c>
      <c r="J161" s="5" t="s">
        <v>54</v>
      </c>
      <c r="K161" s="5" t="s">
        <v>55</v>
      </c>
      <c r="L161" s="5">
        <v>1</v>
      </c>
      <c r="M161" s="5">
        <v>29518</v>
      </c>
      <c r="N161" s="5">
        <v>10</v>
      </c>
      <c r="O161" s="5">
        <v>26566.2</v>
      </c>
      <c r="P161" s="5">
        <v>23732.76</v>
      </c>
      <c r="Q161" s="5">
        <v>2833.44</v>
      </c>
      <c r="R161" s="5" t="s">
        <v>64</v>
      </c>
      <c r="S161" s="5" t="s">
        <v>33</v>
      </c>
      <c r="T161" s="5" t="s">
        <v>73</v>
      </c>
      <c r="U161" s="5">
        <v>3</v>
      </c>
      <c r="V161" s="5" t="s">
        <v>45</v>
      </c>
    </row>
    <row r="162" spans="1:22" x14ac:dyDescent="0.3">
      <c r="A162" s="5" t="s">
        <v>512</v>
      </c>
      <c r="B162" s="6">
        <v>46134</v>
      </c>
      <c r="C162" s="5" t="s">
        <v>370</v>
      </c>
      <c r="D162" s="5" t="s">
        <v>76</v>
      </c>
      <c r="E162" s="5" t="s">
        <v>49</v>
      </c>
      <c r="F162" s="5" t="s">
        <v>50</v>
      </c>
      <c r="G162" s="5" t="s">
        <v>51</v>
      </c>
      <c r="H162" s="5" t="s">
        <v>513</v>
      </c>
      <c r="I162" s="5" t="s">
        <v>514</v>
      </c>
      <c r="J162" s="5" t="s">
        <v>71</v>
      </c>
      <c r="K162" s="5" t="s">
        <v>72</v>
      </c>
      <c r="L162" s="5">
        <v>5</v>
      </c>
      <c r="M162" s="5">
        <v>61453</v>
      </c>
      <c r="N162" s="5">
        <v>5</v>
      </c>
      <c r="O162" s="5">
        <v>291901.75</v>
      </c>
      <c r="P162" s="5">
        <v>241062.44</v>
      </c>
      <c r="Q162" s="5">
        <v>50839.31</v>
      </c>
      <c r="R162" s="5" t="s">
        <v>44</v>
      </c>
      <c r="S162" s="5" t="s">
        <v>33</v>
      </c>
      <c r="T162" s="5" t="s">
        <v>65</v>
      </c>
      <c r="U162" s="5">
        <v>1</v>
      </c>
      <c r="V162" s="5" t="s">
        <v>35</v>
      </c>
    </row>
    <row r="163" spans="1:22" x14ac:dyDescent="0.3">
      <c r="A163" s="5" t="s">
        <v>515</v>
      </c>
      <c r="B163" s="6">
        <v>46148</v>
      </c>
      <c r="C163" s="5" t="s">
        <v>516</v>
      </c>
      <c r="D163" s="5" t="s">
        <v>110</v>
      </c>
      <c r="E163" s="5" t="s">
        <v>126</v>
      </c>
      <c r="F163" s="5" t="s">
        <v>126</v>
      </c>
      <c r="G163" s="5" t="s">
        <v>51</v>
      </c>
      <c r="H163" s="5" t="s">
        <v>217</v>
      </c>
      <c r="I163" s="5" t="s">
        <v>218</v>
      </c>
      <c r="J163" s="5" t="s">
        <v>54</v>
      </c>
      <c r="K163" s="5" t="s">
        <v>97</v>
      </c>
      <c r="L163" s="5">
        <v>5</v>
      </c>
      <c r="M163" s="5">
        <v>16193</v>
      </c>
      <c r="N163" s="5">
        <v>15</v>
      </c>
      <c r="O163" s="5">
        <v>68820.25</v>
      </c>
      <c r="P163" s="5">
        <v>56276.86</v>
      </c>
      <c r="Q163" s="5">
        <v>12543.39</v>
      </c>
      <c r="R163" s="5" t="s">
        <v>44</v>
      </c>
      <c r="S163" s="5" t="s">
        <v>33</v>
      </c>
      <c r="T163" s="5" t="s">
        <v>65</v>
      </c>
      <c r="U163" s="5">
        <v>4</v>
      </c>
      <c r="V163" s="5" t="s">
        <v>35</v>
      </c>
    </row>
    <row r="164" spans="1:22" x14ac:dyDescent="0.3">
      <c r="A164" s="5" t="s">
        <v>517</v>
      </c>
      <c r="B164" s="6">
        <v>46165</v>
      </c>
      <c r="C164" s="5" t="s">
        <v>75</v>
      </c>
      <c r="D164" s="5" t="s">
        <v>48</v>
      </c>
      <c r="E164" s="5" t="s">
        <v>39</v>
      </c>
      <c r="F164" s="5" t="s">
        <v>40</v>
      </c>
      <c r="G164" s="5" t="s">
        <v>41</v>
      </c>
      <c r="H164" s="5" t="s">
        <v>457</v>
      </c>
      <c r="I164" s="5" t="s">
        <v>458</v>
      </c>
      <c r="J164" s="5" t="s">
        <v>71</v>
      </c>
      <c r="K164" s="5" t="s">
        <v>81</v>
      </c>
      <c r="L164" s="5">
        <v>5</v>
      </c>
      <c r="M164" s="5">
        <v>22058</v>
      </c>
      <c r="N164" s="5">
        <v>5</v>
      </c>
      <c r="O164" s="5">
        <v>104775.5</v>
      </c>
      <c r="P164" s="5">
        <v>80873.990000000005</v>
      </c>
      <c r="Q164" s="5">
        <v>23901.51</v>
      </c>
      <c r="R164" s="5" t="s">
        <v>32</v>
      </c>
      <c r="S164" s="5" t="s">
        <v>33</v>
      </c>
      <c r="T164" s="5" t="s">
        <v>65</v>
      </c>
      <c r="U164" s="5">
        <v>1</v>
      </c>
      <c r="V164" s="5" t="s">
        <v>35</v>
      </c>
    </row>
    <row r="165" spans="1:22" x14ac:dyDescent="0.3">
      <c r="A165" s="5" t="s">
        <v>518</v>
      </c>
      <c r="B165" s="6">
        <v>46123</v>
      </c>
      <c r="C165" s="5" t="s">
        <v>519</v>
      </c>
      <c r="D165" s="5" t="s">
        <v>58</v>
      </c>
      <c r="E165" s="5" t="s">
        <v>126</v>
      </c>
      <c r="F165" s="5" t="s">
        <v>126</v>
      </c>
      <c r="G165" s="5" t="s">
        <v>51</v>
      </c>
      <c r="H165" s="5" t="s">
        <v>106</v>
      </c>
      <c r="I165" s="5" t="s">
        <v>107</v>
      </c>
      <c r="J165" s="5" t="s">
        <v>30</v>
      </c>
      <c r="K165" s="5" t="s">
        <v>31</v>
      </c>
      <c r="L165" s="5">
        <v>5</v>
      </c>
      <c r="M165" s="5">
        <v>21812</v>
      </c>
      <c r="N165" s="5">
        <v>10</v>
      </c>
      <c r="O165" s="5">
        <v>98154</v>
      </c>
      <c r="P165" s="5">
        <v>91871.039999999994</v>
      </c>
      <c r="Q165" s="5">
        <v>6282.96</v>
      </c>
      <c r="R165" s="5" t="s">
        <v>64</v>
      </c>
      <c r="S165" s="5" t="s">
        <v>33</v>
      </c>
      <c r="T165" s="5" t="s">
        <v>34</v>
      </c>
      <c r="U165" s="5">
        <v>3</v>
      </c>
      <c r="V165" s="5" t="s">
        <v>45</v>
      </c>
    </row>
    <row r="166" spans="1:22" x14ac:dyDescent="0.3">
      <c r="A166" s="5" t="s">
        <v>520</v>
      </c>
      <c r="B166" s="6">
        <v>46105</v>
      </c>
      <c r="C166" s="5" t="s">
        <v>410</v>
      </c>
      <c r="D166" s="5" t="s">
        <v>76</v>
      </c>
      <c r="E166" s="5" t="s">
        <v>49</v>
      </c>
      <c r="F166" s="5" t="s">
        <v>50</v>
      </c>
      <c r="G166" s="5" t="s">
        <v>51</v>
      </c>
      <c r="H166" s="5" t="s">
        <v>281</v>
      </c>
      <c r="I166" s="5" t="s">
        <v>282</v>
      </c>
      <c r="J166" s="5" t="s">
        <v>30</v>
      </c>
      <c r="K166" s="5" t="s">
        <v>31</v>
      </c>
      <c r="L166" s="5">
        <v>2</v>
      </c>
      <c r="M166" s="5">
        <v>24166</v>
      </c>
      <c r="N166" s="5">
        <v>5</v>
      </c>
      <c r="O166" s="5">
        <v>45915.4</v>
      </c>
      <c r="P166" s="5">
        <v>32771.1</v>
      </c>
      <c r="Q166" s="5">
        <v>13144.3</v>
      </c>
      <c r="R166" s="5" t="s">
        <v>32</v>
      </c>
      <c r="S166" s="5" t="s">
        <v>33</v>
      </c>
      <c r="T166" s="5" t="s">
        <v>65</v>
      </c>
      <c r="U166" s="5">
        <v>4</v>
      </c>
      <c r="V166" s="5" t="s">
        <v>35</v>
      </c>
    </row>
    <row r="167" spans="1:22" x14ac:dyDescent="0.3">
      <c r="A167" s="5" t="s">
        <v>521</v>
      </c>
      <c r="B167" s="6">
        <v>46126</v>
      </c>
      <c r="C167" s="5" t="s">
        <v>522</v>
      </c>
      <c r="D167" s="5" t="s">
        <v>24</v>
      </c>
      <c r="E167" s="5" t="s">
        <v>49</v>
      </c>
      <c r="F167" s="5" t="s">
        <v>50</v>
      </c>
      <c r="G167" s="5" t="s">
        <v>51</v>
      </c>
      <c r="H167" s="5" t="s">
        <v>241</v>
      </c>
      <c r="I167" s="5" t="s">
        <v>242</v>
      </c>
      <c r="J167" s="5" t="s">
        <v>54</v>
      </c>
      <c r="K167" s="5" t="s">
        <v>55</v>
      </c>
      <c r="L167" s="5">
        <v>4</v>
      </c>
      <c r="M167" s="5">
        <v>58707</v>
      </c>
      <c r="N167" s="5">
        <v>5</v>
      </c>
      <c r="O167" s="5">
        <v>223086.6</v>
      </c>
      <c r="P167" s="5">
        <v>180527.35999999999</v>
      </c>
      <c r="Q167" s="5">
        <v>42559.24</v>
      </c>
      <c r="R167" s="5" t="s">
        <v>64</v>
      </c>
      <c r="S167" s="5" t="s">
        <v>82</v>
      </c>
      <c r="T167" s="5" t="s">
        <v>73</v>
      </c>
      <c r="U167" s="5">
        <v>4</v>
      </c>
      <c r="V167" s="5" t="s">
        <v>45</v>
      </c>
    </row>
    <row r="168" spans="1:22" x14ac:dyDescent="0.3">
      <c r="A168" s="5" t="s">
        <v>523</v>
      </c>
      <c r="B168" s="6">
        <v>46147</v>
      </c>
      <c r="C168" s="5" t="s">
        <v>524</v>
      </c>
      <c r="D168" s="5" t="s">
        <v>48</v>
      </c>
      <c r="E168" s="5" t="s">
        <v>59</v>
      </c>
      <c r="F168" s="5" t="s">
        <v>60</v>
      </c>
      <c r="G168" s="5" t="s">
        <v>61</v>
      </c>
      <c r="H168" s="5" t="s">
        <v>106</v>
      </c>
      <c r="I168" s="5" t="s">
        <v>107</v>
      </c>
      <c r="J168" s="5" t="s">
        <v>30</v>
      </c>
      <c r="K168" s="5" t="s">
        <v>31</v>
      </c>
      <c r="L168" s="5">
        <v>1</v>
      </c>
      <c r="M168" s="5">
        <v>30683</v>
      </c>
      <c r="N168" s="5">
        <v>20</v>
      </c>
      <c r="O168" s="5">
        <v>24546.400000000001</v>
      </c>
      <c r="P168" s="5">
        <v>24094.240000000002</v>
      </c>
      <c r="Q168" s="5">
        <v>452.16</v>
      </c>
      <c r="R168" s="5" t="s">
        <v>44</v>
      </c>
      <c r="S168" s="5" t="s">
        <v>33</v>
      </c>
      <c r="T168" s="5" t="s">
        <v>65</v>
      </c>
      <c r="U168" s="5">
        <v>2</v>
      </c>
      <c r="V168" s="5" t="s">
        <v>35</v>
      </c>
    </row>
    <row r="169" spans="1:22" x14ac:dyDescent="0.3">
      <c r="A169" s="5" t="s">
        <v>525</v>
      </c>
      <c r="B169" s="6">
        <v>46168</v>
      </c>
      <c r="C169" s="5" t="s">
        <v>351</v>
      </c>
      <c r="D169" s="5" t="s">
        <v>68</v>
      </c>
      <c r="E169" s="5" t="s">
        <v>94</v>
      </c>
      <c r="F169" s="5" t="s">
        <v>26</v>
      </c>
      <c r="G169" s="5" t="s">
        <v>27</v>
      </c>
      <c r="H169" s="5" t="s">
        <v>526</v>
      </c>
      <c r="I169" s="5" t="s">
        <v>527</v>
      </c>
      <c r="J169" s="5" t="s">
        <v>71</v>
      </c>
      <c r="K169" s="5" t="s">
        <v>81</v>
      </c>
      <c r="L169" s="5">
        <v>5</v>
      </c>
      <c r="M169" s="5">
        <v>67514</v>
      </c>
      <c r="N169" s="5">
        <v>5</v>
      </c>
      <c r="O169" s="5">
        <v>320691.5</v>
      </c>
      <c r="P169" s="5">
        <v>273111.76</v>
      </c>
      <c r="Q169" s="5">
        <v>47579.74</v>
      </c>
      <c r="R169" s="5" t="s">
        <v>32</v>
      </c>
      <c r="S169" s="5" t="s">
        <v>33</v>
      </c>
      <c r="T169" s="5" t="s">
        <v>73</v>
      </c>
      <c r="U169" s="5">
        <v>3</v>
      </c>
      <c r="V169" s="5" t="s">
        <v>35</v>
      </c>
    </row>
    <row r="170" spans="1:22" x14ac:dyDescent="0.3">
      <c r="A170" s="5" t="s">
        <v>528</v>
      </c>
      <c r="B170" s="6">
        <v>46161</v>
      </c>
      <c r="C170" s="5" t="s">
        <v>529</v>
      </c>
      <c r="D170" s="5" t="s">
        <v>48</v>
      </c>
      <c r="E170" s="5" t="s">
        <v>94</v>
      </c>
      <c r="F170" s="5" t="s">
        <v>26</v>
      </c>
      <c r="G170" s="5" t="s">
        <v>27</v>
      </c>
      <c r="H170" s="5" t="s">
        <v>367</v>
      </c>
      <c r="I170" s="5" t="s">
        <v>368</v>
      </c>
      <c r="J170" s="5" t="s">
        <v>71</v>
      </c>
      <c r="K170" s="5" t="s">
        <v>72</v>
      </c>
      <c r="L170" s="5">
        <v>3</v>
      </c>
      <c r="M170" s="5">
        <v>61552</v>
      </c>
      <c r="N170" s="5">
        <v>10</v>
      </c>
      <c r="O170" s="5">
        <v>166190.39999999999</v>
      </c>
      <c r="P170" s="5">
        <v>111753.76</v>
      </c>
      <c r="Q170" s="5">
        <v>54436.639999999999</v>
      </c>
      <c r="R170" s="5" t="s">
        <v>44</v>
      </c>
      <c r="S170" s="5" t="s">
        <v>33</v>
      </c>
      <c r="T170" s="5" t="s">
        <v>65</v>
      </c>
      <c r="U170" s="5">
        <v>5</v>
      </c>
      <c r="V170" s="5" t="s">
        <v>35</v>
      </c>
    </row>
    <row r="171" spans="1:22" x14ac:dyDescent="0.3">
      <c r="A171" s="5" t="s">
        <v>530</v>
      </c>
      <c r="B171" s="6">
        <v>46074</v>
      </c>
      <c r="C171" s="5" t="s">
        <v>531</v>
      </c>
      <c r="D171" s="5" t="s">
        <v>117</v>
      </c>
      <c r="E171" s="5" t="s">
        <v>49</v>
      </c>
      <c r="F171" s="5" t="s">
        <v>50</v>
      </c>
      <c r="G171" s="5" t="s">
        <v>51</v>
      </c>
      <c r="H171" s="5" t="s">
        <v>152</v>
      </c>
      <c r="I171" s="5" t="s">
        <v>153</v>
      </c>
      <c r="J171" s="5" t="s">
        <v>54</v>
      </c>
      <c r="K171" s="5" t="s">
        <v>97</v>
      </c>
      <c r="L171" s="5">
        <v>3</v>
      </c>
      <c r="M171" s="5">
        <v>33233</v>
      </c>
      <c r="N171" s="5">
        <v>10</v>
      </c>
      <c r="O171" s="5">
        <v>89729.1</v>
      </c>
      <c r="P171" s="5">
        <v>58964.82</v>
      </c>
      <c r="Q171" s="5">
        <v>30764.28</v>
      </c>
      <c r="R171" s="5" t="s">
        <v>44</v>
      </c>
      <c r="S171" s="5" t="s">
        <v>82</v>
      </c>
      <c r="T171" s="5" t="s">
        <v>73</v>
      </c>
      <c r="U171" s="5">
        <v>4</v>
      </c>
      <c r="V171" s="5" t="s">
        <v>35</v>
      </c>
    </row>
    <row r="172" spans="1:22" x14ac:dyDescent="0.3">
      <c r="A172" s="5" t="s">
        <v>532</v>
      </c>
      <c r="B172" s="6">
        <v>46165</v>
      </c>
      <c r="C172" s="5" t="s">
        <v>533</v>
      </c>
      <c r="D172" s="5" t="s">
        <v>89</v>
      </c>
      <c r="E172" s="5" t="s">
        <v>77</v>
      </c>
      <c r="F172" s="5" t="s">
        <v>78</v>
      </c>
      <c r="G172" s="5" t="s">
        <v>41</v>
      </c>
      <c r="H172" s="5" t="s">
        <v>277</v>
      </c>
      <c r="I172" s="5" t="s">
        <v>278</v>
      </c>
      <c r="J172" s="5" t="s">
        <v>71</v>
      </c>
      <c r="K172" s="5" t="s">
        <v>81</v>
      </c>
      <c r="L172" s="5">
        <v>2</v>
      </c>
      <c r="M172" s="5">
        <v>53897</v>
      </c>
      <c r="N172" s="5">
        <v>0</v>
      </c>
      <c r="O172" s="5">
        <v>107794</v>
      </c>
      <c r="P172" s="5">
        <v>75763.72</v>
      </c>
      <c r="Q172" s="5">
        <v>32030.28</v>
      </c>
      <c r="R172" s="5" t="s">
        <v>64</v>
      </c>
      <c r="S172" s="5" t="s">
        <v>33</v>
      </c>
      <c r="T172" s="5" t="s">
        <v>73</v>
      </c>
      <c r="U172" s="5">
        <v>3</v>
      </c>
      <c r="V172" s="5" t="s">
        <v>45</v>
      </c>
    </row>
    <row r="173" spans="1:22" x14ac:dyDescent="0.3">
      <c r="A173" s="5" t="s">
        <v>534</v>
      </c>
      <c r="B173" s="6">
        <v>46127</v>
      </c>
      <c r="C173" s="5" t="s">
        <v>522</v>
      </c>
      <c r="D173" s="5" t="s">
        <v>38</v>
      </c>
      <c r="E173" s="5" t="s">
        <v>25</v>
      </c>
      <c r="F173" s="5" t="s">
        <v>26</v>
      </c>
      <c r="G173" s="5" t="s">
        <v>27</v>
      </c>
      <c r="H173" s="5" t="s">
        <v>324</v>
      </c>
      <c r="I173" s="5" t="s">
        <v>325</v>
      </c>
      <c r="J173" s="5" t="s">
        <v>54</v>
      </c>
      <c r="K173" s="5" t="s">
        <v>55</v>
      </c>
      <c r="L173" s="5">
        <v>5</v>
      </c>
      <c r="M173" s="5">
        <v>32195</v>
      </c>
      <c r="N173" s="5">
        <v>10</v>
      </c>
      <c r="O173" s="5">
        <v>144877.5</v>
      </c>
      <c r="P173" s="5">
        <v>92667.76</v>
      </c>
      <c r="Q173" s="5">
        <v>52209.74</v>
      </c>
      <c r="R173" s="5" t="s">
        <v>44</v>
      </c>
      <c r="S173" s="5" t="s">
        <v>82</v>
      </c>
      <c r="T173" s="5" t="s">
        <v>73</v>
      </c>
      <c r="U173" s="5">
        <v>2</v>
      </c>
      <c r="V173" s="5" t="s">
        <v>45</v>
      </c>
    </row>
    <row r="174" spans="1:22" x14ac:dyDescent="0.3">
      <c r="A174" s="5" t="s">
        <v>535</v>
      </c>
      <c r="B174" s="6">
        <v>46064</v>
      </c>
      <c r="C174" s="5" t="s">
        <v>536</v>
      </c>
      <c r="D174" s="5" t="s">
        <v>151</v>
      </c>
      <c r="E174" s="5" t="s">
        <v>94</v>
      </c>
      <c r="F174" s="5" t="s">
        <v>26</v>
      </c>
      <c r="G174" s="5" t="s">
        <v>27</v>
      </c>
      <c r="H174" s="5" t="s">
        <v>224</v>
      </c>
      <c r="I174" s="5" t="s">
        <v>225</v>
      </c>
      <c r="J174" s="5" t="s">
        <v>102</v>
      </c>
      <c r="K174" s="5" t="s">
        <v>103</v>
      </c>
      <c r="L174" s="5">
        <v>3</v>
      </c>
      <c r="M174" s="5">
        <v>29928</v>
      </c>
      <c r="N174" s="5">
        <v>10</v>
      </c>
      <c r="O174" s="5">
        <v>80805.600000000006</v>
      </c>
      <c r="P174" s="5">
        <v>63030.95</v>
      </c>
      <c r="Q174" s="5">
        <v>17774.650000000001</v>
      </c>
      <c r="R174" s="5" t="s">
        <v>44</v>
      </c>
      <c r="S174" s="5" t="s">
        <v>82</v>
      </c>
      <c r="T174" s="5" t="s">
        <v>73</v>
      </c>
      <c r="U174" s="5">
        <v>3</v>
      </c>
      <c r="V174" s="5" t="s">
        <v>45</v>
      </c>
    </row>
    <row r="175" spans="1:22" x14ac:dyDescent="0.3">
      <c r="A175" s="5" t="s">
        <v>537</v>
      </c>
      <c r="B175" s="6">
        <v>46051</v>
      </c>
      <c r="C175" s="5" t="s">
        <v>538</v>
      </c>
      <c r="D175" s="5" t="s">
        <v>117</v>
      </c>
      <c r="E175" s="5" t="s">
        <v>59</v>
      </c>
      <c r="F175" s="5" t="s">
        <v>60</v>
      </c>
      <c r="G175" s="5" t="s">
        <v>61</v>
      </c>
      <c r="H175" s="5" t="s">
        <v>234</v>
      </c>
      <c r="I175" s="5" t="s">
        <v>235</v>
      </c>
      <c r="J175" s="5" t="s">
        <v>102</v>
      </c>
      <c r="K175" s="5" t="s">
        <v>103</v>
      </c>
      <c r="L175" s="5">
        <v>2</v>
      </c>
      <c r="M175" s="5">
        <v>1265</v>
      </c>
      <c r="N175" s="5">
        <v>15</v>
      </c>
      <c r="O175" s="5">
        <v>2150.5</v>
      </c>
      <c r="P175" s="5">
        <v>1950.38</v>
      </c>
      <c r="Q175" s="5">
        <v>200.12</v>
      </c>
      <c r="R175" s="5" t="s">
        <v>64</v>
      </c>
      <c r="S175" s="5" t="s">
        <v>82</v>
      </c>
      <c r="T175" s="5" t="s">
        <v>34</v>
      </c>
      <c r="U175" s="5">
        <v>1</v>
      </c>
      <c r="V175" s="5" t="s">
        <v>45</v>
      </c>
    </row>
    <row r="176" spans="1:22" x14ac:dyDescent="0.3">
      <c r="A176" s="5" t="s">
        <v>539</v>
      </c>
      <c r="B176" s="6">
        <v>46153</v>
      </c>
      <c r="C176" s="5" t="s">
        <v>540</v>
      </c>
      <c r="D176" s="5" t="s">
        <v>38</v>
      </c>
      <c r="E176" s="5" t="s">
        <v>77</v>
      </c>
      <c r="F176" s="5" t="s">
        <v>78</v>
      </c>
      <c r="G176" s="5" t="s">
        <v>41</v>
      </c>
      <c r="H176" s="5" t="s">
        <v>541</v>
      </c>
      <c r="I176" s="5" t="s">
        <v>542</v>
      </c>
      <c r="J176" s="5" t="s">
        <v>54</v>
      </c>
      <c r="K176" s="5" t="s">
        <v>55</v>
      </c>
      <c r="L176" s="5">
        <v>2</v>
      </c>
      <c r="M176" s="5">
        <v>79863</v>
      </c>
      <c r="N176" s="5">
        <v>15</v>
      </c>
      <c r="O176" s="5">
        <v>135767.1</v>
      </c>
      <c r="P176" s="5">
        <v>117407.69</v>
      </c>
      <c r="Q176" s="5">
        <v>18359.41</v>
      </c>
      <c r="R176" s="5" t="s">
        <v>64</v>
      </c>
      <c r="S176" s="5" t="s">
        <v>33</v>
      </c>
      <c r="T176" s="5" t="s">
        <v>73</v>
      </c>
      <c r="U176" s="5">
        <v>5</v>
      </c>
      <c r="V176" s="5" t="s">
        <v>45</v>
      </c>
    </row>
    <row r="177" spans="1:22" x14ac:dyDescent="0.3">
      <c r="A177" s="5" t="s">
        <v>543</v>
      </c>
      <c r="B177" s="6">
        <v>46175</v>
      </c>
      <c r="C177" s="5" t="s">
        <v>223</v>
      </c>
      <c r="D177" s="5" t="s">
        <v>48</v>
      </c>
      <c r="E177" s="5" t="s">
        <v>94</v>
      </c>
      <c r="F177" s="5" t="s">
        <v>26</v>
      </c>
      <c r="G177" s="5" t="s">
        <v>27</v>
      </c>
      <c r="H177" s="5" t="s">
        <v>371</v>
      </c>
      <c r="I177" s="5" t="s">
        <v>372</v>
      </c>
      <c r="J177" s="5" t="s">
        <v>71</v>
      </c>
      <c r="K177" s="5" t="s">
        <v>72</v>
      </c>
      <c r="L177" s="5">
        <v>3</v>
      </c>
      <c r="M177" s="5">
        <v>26038</v>
      </c>
      <c r="N177" s="5">
        <v>0</v>
      </c>
      <c r="O177" s="5">
        <v>78114</v>
      </c>
      <c r="P177" s="5">
        <v>48094.42</v>
      </c>
      <c r="Q177" s="5">
        <v>30019.58</v>
      </c>
      <c r="R177" s="5" t="s">
        <v>32</v>
      </c>
      <c r="S177" s="5" t="s">
        <v>82</v>
      </c>
      <c r="T177" s="5" t="s">
        <v>65</v>
      </c>
      <c r="U177" s="5">
        <v>2</v>
      </c>
      <c r="V177" s="5" t="s">
        <v>45</v>
      </c>
    </row>
    <row r="178" spans="1:22" x14ac:dyDescent="0.3">
      <c r="A178" s="5" t="s">
        <v>544</v>
      </c>
      <c r="B178" s="6">
        <v>46060</v>
      </c>
      <c r="C178" s="5" t="s">
        <v>545</v>
      </c>
      <c r="D178" s="5" t="s">
        <v>58</v>
      </c>
      <c r="E178" s="5" t="s">
        <v>39</v>
      </c>
      <c r="F178" s="5" t="s">
        <v>40</v>
      </c>
      <c r="G178" s="5" t="s">
        <v>41</v>
      </c>
      <c r="H178" s="5" t="s">
        <v>546</v>
      </c>
      <c r="I178" s="5" t="s">
        <v>547</v>
      </c>
      <c r="J178" s="5" t="s">
        <v>71</v>
      </c>
      <c r="K178" s="5" t="s">
        <v>81</v>
      </c>
      <c r="L178" s="5">
        <v>4</v>
      </c>
      <c r="M178" s="5">
        <v>63204</v>
      </c>
      <c r="N178" s="5">
        <v>15</v>
      </c>
      <c r="O178" s="5">
        <v>214893.6</v>
      </c>
      <c r="P178" s="5">
        <v>196959.04</v>
      </c>
      <c r="Q178" s="5">
        <v>17934.560000000001</v>
      </c>
      <c r="R178" s="5" t="s">
        <v>32</v>
      </c>
      <c r="S178" s="5" t="s">
        <v>82</v>
      </c>
      <c r="T178" s="5" t="s">
        <v>65</v>
      </c>
      <c r="U178" s="5">
        <v>4</v>
      </c>
      <c r="V178" s="5" t="s">
        <v>45</v>
      </c>
    </row>
    <row r="179" spans="1:22" x14ac:dyDescent="0.3">
      <c r="A179" s="5" t="s">
        <v>548</v>
      </c>
      <c r="B179" s="6">
        <v>46041</v>
      </c>
      <c r="C179" s="5" t="s">
        <v>549</v>
      </c>
      <c r="D179" s="5" t="s">
        <v>76</v>
      </c>
      <c r="E179" s="5" t="s">
        <v>25</v>
      </c>
      <c r="F179" s="5" t="s">
        <v>26</v>
      </c>
      <c r="G179" s="5" t="s">
        <v>27</v>
      </c>
      <c r="H179" s="5" t="s">
        <v>406</v>
      </c>
      <c r="I179" s="5" t="s">
        <v>407</v>
      </c>
      <c r="J179" s="5" t="s">
        <v>30</v>
      </c>
      <c r="K179" s="5" t="s">
        <v>31</v>
      </c>
      <c r="L179" s="5">
        <v>2</v>
      </c>
      <c r="M179" s="5">
        <v>1561</v>
      </c>
      <c r="N179" s="5">
        <v>15</v>
      </c>
      <c r="O179" s="5">
        <v>2653.7</v>
      </c>
      <c r="P179" s="5">
        <v>2381.96</v>
      </c>
      <c r="Q179" s="5">
        <v>271.74</v>
      </c>
      <c r="R179" s="5" t="s">
        <v>44</v>
      </c>
      <c r="S179" s="5" t="s">
        <v>82</v>
      </c>
      <c r="T179" s="5" t="s">
        <v>73</v>
      </c>
      <c r="U179" s="5">
        <v>2</v>
      </c>
      <c r="V179" s="5" t="s">
        <v>35</v>
      </c>
    </row>
    <row r="180" spans="1:22" x14ac:dyDescent="0.3">
      <c r="A180" s="5" t="s">
        <v>550</v>
      </c>
      <c r="B180" s="6">
        <v>46186</v>
      </c>
      <c r="C180" s="5" t="s">
        <v>524</v>
      </c>
      <c r="D180" s="5" t="s">
        <v>24</v>
      </c>
      <c r="E180" s="5" t="s">
        <v>94</v>
      </c>
      <c r="F180" s="5" t="s">
        <v>26</v>
      </c>
      <c r="G180" s="5" t="s">
        <v>27</v>
      </c>
      <c r="H180" s="5" t="s">
        <v>440</v>
      </c>
      <c r="I180" s="5" t="s">
        <v>441</v>
      </c>
      <c r="J180" s="5" t="s">
        <v>30</v>
      </c>
      <c r="K180" s="5" t="s">
        <v>31</v>
      </c>
      <c r="L180" s="5">
        <v>1</v>
      </c>
      <c r="M180" s="5">
        <v>44909</v>
      </c>
      <c r="N180" s="5">
        <v>0</v>
      </c>
      <c r="O180" s="5">
        <v>44909</v>
      </c>
      <c r="P180" s="5">
        <v>24773.69</v>
      </c>
      <c r="Q180" s="5">
        <v>20135.310000000001</v>
      </c>
      <c r="R180" s="5" t="s">
        <v>32</v>
      </c>
      <c r="S180" s="5" t="s">
        <v>33</v>
      </c>
      <c r="T180" s="5" t="s">
        <v>65</v>
      </c>
      <c r="U180" s="5">
        <v>3</v>
      </c>
      <c r="V180" s="5" t="s">
        <v>35</v>
      </c>
    </row>
    <row r="181" spans="1:22" x14ac:dyDescent="0.3">
      <c r="A181" s="5" t="s">
        <v>551</v>
      </c>
      <c r="B181" s="6">
        <v>46097</v>
      </c>
      <c r="C181" s="5" t="s">
        <v>552</v>
      </c>
      <c r="D181" s="5" t="s">
        <v>117</v>
      </c>
      <c r="E181" s="5" t="s">
        <v>77</v>
      </c>
      <c r="F181" s="5" t="s">
        <v>78</v>
      </c>
      <c r="G181" s="5" t="s">
        <v>41</v>
      </c>
      <c r="H181" s="5" t="s">
        <v>553</v>
      </c>
      <c r="I181" s="5" t="s">
        <v>554</v>
      </c>
      <c r="J181" s="5" t="s">
        <v>54</v>
      </c>
      <c r="K181" s="5" t="s">
        <v>55</v>
      </c>
      <c r="L181" s="5">
        <v>2</v>
      </c>
      <c r="M181" s="5">
        <v>46373</v>
      </c>
      <c r="N181" s="5">
        <v>0</v>
      </c>
      <c r="O181" s="5">
        <v>92746</v>
      </c>
      <c r="P181" s="5">
        <v>67020.639999999999</v>
      </c>
      <c r="Q181" s="5">
        <v>25725.360000000001</v>
      </c>
      <c r="R181" s="5" t="s">
        <v>64</v>
      </c>
      <c r="S181" s="5" t="s">
        <v>82</v>
      </c>
      <c r="T181" s="5" t="s">
        <v>65</v>
      </c>
      <c r="U181" s="5">
        <v>5</v>
      </c>
      <c r="V181" s="5" t="s">
        <v>45</v>
      </c>
    </row>
    <row r="182" spans="1:22" x14ac:dyDescent="0.3">
      <c r="A182" s="5" t="s">
        <v>555</v>
      </c>
      <c r="B182" s="6">
        <v>46027</v>
      </c>
      <c r="C182" s="5" t="s">
        <v>556</v>
      </c>
      <c r="D182" s="5" t="s">
        <v>68</v>
      </c>
      <c r="E182" s="5" t="s">
        <v>94</v>
      </c>
      <c r="F182" s="5" t="s">
        <v>26</v>
      </c>
      <c r="G182" s="5" t="s">
        <v>27</v>
      </c>
      <c r="H182" s="5" t="s">
        <v>557</v>
      </c>
      <c r="I182" s="5" t="s">
        <v>558</v>
      </c>
      <c r="J182" s="5" t="s">
        <v>54</v>
      </c>
      <c r="K182" s="5" t="s">
        <v>97</v>
      </c>
      <c r="L182" s="5">
        <v>3</v>
      </c>
      <c r="M182" s="5">
        <v>17275</v>
      </c>
      <c r="N182" s="5">
        <v>15</v>
      </c>
      <c r="O182" s="5">
        <v>44051.25</v>
      </c>
      <c r="P182" s="5">
        <v>28949.8</v>
      </c>
      <c r="Q182" s="5">
        <v>15101.45</v>
      </c>
      <c r="R182" s="5" t="s">
        <v>32</v>
      </c>
      <c r="S182" s="5" t="s">
        <v>82</v>
      </c>
      <c r="T182" s="5" t="s">
        <v>34</v>
      </c>
      <c r="U182" s="5">
        <v>4</v>
      </c>
      <c r="V182" s="5" t="s">
        <v>35</v>
      </c>
    </row>
    <row r="183" spans="1:22" x14ac:dyDescent="0.3">
      <c r="A183" s="5" t="s">
        <v>559</v>
      </c>
      <c r="B183" s="6">
        <v>46097</v>
      </c>
      <c r="C183" s="5" t="s">
        <v>560</v>
      </c>
      <c r="D183" s="5" t="s">
        <v>110</v>
      </c>
      <c r="E183" s="5" t="s">
        <v>94</v>
      </c>
      <c r="F183" s="5" t="s">
        <v>26</v>
      </c>
      <c r="G183" s="5" t="s">
        <v>27</v>
      </c>
      <c r="H183" s="5" t="s">
        <v>213</v>
      </c>
      <c r="I183" s="5" t="s">
        <v>214</v>
      </c>
      <c r="J183" s="5" t="s">
        <v>54</v>
      </c>
      <c r="K183" s="5" t="s">
        <v>97</v>
      </c>
      <c r="L183" s="5">
        <v>5</v>
      </c>
      <c r="M183" s="5">
        <v>64240</v>
      </c>
      <c r="N183" s="5">
        <v>20</v>
      </c>
      <c r="O183" s="5">
        <v>256960</v>
      </c>
      <c r="P183" s="5">
        <v>259805.44</v>
      </c>
      <c r="Q183" s="5">
        <v>-2845.44</v>
      </c>
      <c r="R183" s="5" t="s">
        <v>32</v>
      </c>
      <c r="S183" s="5" t="s">
        <v>82</v>
      </c>
      <c r="T183" s="5" t="s">
        <v>34</v>
      </c>
      <c r="U183" s="5">
        <v>5</v>
      </c>
      <c r="V183" s="5" t="s">
        <v>45</v>
      </c>
    </row>
    <row r="184" spans="1:22" x14ac:dyDescent="0.3">
      <c r="A184" s="5" t="s">
        <v>561</v>
      </c>
      <c r="B184" s="6">
        <v>46061</v>
      </c>
      <c r="C184" s="5" t="s">
        <v>562</v>
      </c>
      <c r="D184" s="5" t="s">
        <v>151</v>
      </c>
      <c r="E184" s="5" t="s">
        <v>49</v>
      </c>
      <c r="F184" s="5" t="s">
        <v>50</v>
      </c>
      <c r="G184" s="5" t="s">
        <v>51</v>
      </c>
      <c r="H184" s="5" t="s">
        <v>384</v>
      </c>
      <c r="I184" s="5" t="s">
        <v>385</v>
      </c>
      <c r="J184" s="5" t="s">
        <v>102</v>
      </c>
      <c r="K184" s="5" t="s">
        <v>103</v>
      </c>
      <c r="L184" s="5">
        <v>4</v>
      </c>
      <c r="M184" s="5">
        <v>64286</v>
      </c>
      <c r="N184" s="5">
        <v>20</v>
      </c>
      <c r="O184" s="5">
        <v>205715.20000000001</v>
      </c>
      <c r="P184" s="5">
        <v>200025.82</v>
      </c>
      <c r="Q184" s="5">
        <v>5689.38</v>
      </c>
      <c r="R184" s="5" t="s">
        <v>44</v>
      </c>
      <c r="S184" s="5" t="s">
        <v>33</v>
      </c>
      <c r="T184" s="5" t="s">
        <v>73</v>
      </c>
      <c r="U184" s="5">
        <v>5</v>
      </c>
      <c r="V184" s="5" t="s">
        <v>35</v>
      </c>
    </row>
    <row r="185" spans="1:22" x14ac:dyDescent="0.3">
      <c r="A185" s="5" t="s">
        <v>563</v>
      </c>
      <c r="B185" s="6">
        <v>46165</v>
      </c>
      <c r="C185" s="5" t="s">
        <v>84</v>
      </c>
      <c r="D185" s="5" t="s">
        <v>38</v>
      </c>
      <c r="E185" s="5" t="s">
        <v>25</v>
      </c>
      <c r="F185" s="5" t="s">
        <v>26</v>
      </c>
      <c r="G185" s="5" t="s">
        <v>27</v>
      </c>
      <c r="H185" s="5" t="s">
        <v>197</v>
      </c>
      <c r="I185" s="5" t="s">
        <v>198</v>
      </c>
      <c r="J185" s="5" t="s">
        <v>30</v>
      </c>
      <c r="K185" s="5" t="s">
        <v>31</v>
      </c>
      <c r="L185" s="5">
        <v>5</v>
      </c>
      <c r="M185" s="5">
        <v>39718</v>
      </c>
      <c r="N185" s="5">
        <v>0</v>
      </c>
      <c r="O185" s="5">
        <v>198590</v>
      </c>
      <c r="P185" s="5">
        <v>161373.74</v>
      </c>
      <c r="Q185" s="5">
        <v>37216.26</v>
      </c>
      <c r="R185" s="5" t="s">
        <v>32</v>
      </c>
      <c r="S185" s="5" t="s">
        <v>33</v>
      </c>
      <c r="T185" s="5" t="s">
        <v>65</v>
      </c>
      <c r="U185" s="5">
        <v>1</v>
      </c>
      <c r="V185" s="5" t="s">
        <v>45</v>
      </c>
    </row>
    <row r="186" spans="1:22" x14ac:dyDescent="0.3">
      <c r="A186" s="5" t="s">
        <v>564</v>
      </c>
      <c r="B186" s="6">
        <v>46092</v>
      </c>
      <c r="C186" s="5" t="s">
        <v>565</v>
      </c>
      <c r="D186" s="5" t="s">
        <v>24</v>
      </c>
      <c r="E186" s="5" t="s">
        <v>49</v>
      </c>
      <c r="F186" s="5" t="s">
        <v>50</v>
      </c>
      <c r="G186" s="5" t="s">
        <v>51</v>
      </c>
      <c r="H186" s="5" t="s">
        <v>566</v>
      </c>
      <c r="I186" s="5" t="s">
        <v>567</v>
      </c>
      <c r="J186" s="5" t="s">
        <v>54</v>
      </c>
      <c r="K186" s="5" t="s">
        <v>55</v>
      </c>
      <c r="L186" s="5">
        <v>3</v>
      </c>
      <c r="M186" s="5">
        <v>24043</v>
      </c>
      <c r="N186" s="5">
        <v>15</v>
      </c>
      <c r="O186" s="5">
        <v>61309.65</v>
      </c>
      <c r="P186" s="5">
        <v>61199.23</v>
      </c>
      <c r="Q186" s="5">
        <v>110.42</v>
      </c>
      <c r="R186" s="5" t="s">
        <v>32</v>
      </c>
      <c r="S186" s="5" t="s">
        <v>82</v>
      </c>
      <c r="T186" s="5" t="s">
        <v>73</v>
      </c>
      <c r="U186" s="5">
        <v>5</v>
      </c>
      <c r="V186" s="5" t="s">
        <v>35</v>
      </c>
    </row>
    <row r="187" spans="1:22" x14ac:dyDescent="0.3">
      <c r="A187" s="5" t="s">
        <v>568</v>
      </c>
      <c r="B187" s="6">
        <v>46029</v>
      </c>
      <c r="C187" s="5" t="s">
        <v>272</v>
      </c>
      <c r="D187" s="5" t="s">
        <v>38</v>
      </c>
      <c r="E187" s="5" t="s">
        <v>59</v>
      </c>
      <c r="F187" s="5" t="s">
        <v>60</v>
      </c>
      <c r="G187" s="5" t="s">
        <v>61</v>
      </c>
      <c r="H187" s="5" t="s">
        <v>411</v>
      </c>
      <c r="I187" s="5" t="s">
        <v>412</v>
      </c>
      <c r="J187" s="5" t="s">
        <v>54</v>
      </c>
      <c r="K187" s="5" t="s">
        <v>97</v>
      </c>
      <c r="L187" s="5">
        <v>1</v>
      </c>
      <c r="M187" s="5">
        <v>70940</v>
      </c>
      <c r="N187" s="5">
        <v>20</v>
      </c>
      <c r="O187" s="5">
        <v>56752</v>
      </c>
      <c r="P187" s="5">
        <v>56239.18</v>
      </c>
      <c r="Q187" s="5">
        <v>512.82000000000005</v>
      </c>
      <c r="R187" s="5" t="s">
        <v>32</v>
      </c>
      <c r="S187" s="5" t="s">
        <v>33</v>
      </c>
      <c r="T187" s="5" t="s">
        <v>34</v>
      </c>
      <c r="U187" s="5">
        <v>5</v>
      </c>
      <c r="V187" s="5" t="s">
        <v>35</v>
      </c>
    </row>
    <row r="188" spans="1:22" x14ac:dyDescent="0.3">
      <c r="A188" s="5" t="s">
        <v>569</v>
      </c>
      <c r="B188" s="6">
        <v>46030</v>
      </c>
      <c r="C188" s="5" t="s">
        <v>450</v>
      </c>
      <c r="D188" s="5" t="s">
        <v>110</v>
      </c>
      <c r="E188" s="5" t="s">
        <v>25</v>
      </c>
      <c r="F188" s="5" t="s">
        <v>26</v>
      </c>
      <c r="G188" s="5" t="s">
        <v>27</v>
      </c>
      <c r="H188" s="5" t="s">
        <v>176</v>
      </c>
      <c r="I188" s="5" t="s">
        <v>177</v>
      </c>
      <c r="J188" s="5" t="s">
        <v>54</v>
      </c>
      <c r="K188" s="5" t="s">
        <v>97</v>
      </c>
      <c r="L188" s="5">
        <v>3</v>
      </c>
      <c r="M188" s="5">
        <v>4107</v>
      </c>
      <c r="N188" s="5">
        <v>15</v>
      </c>
      <c r="O188" s="5">
        <v>10472.85</v>
      </c>
      <c r="P188" s="5">
        <v>7881.24</v>
      </c>
      <c r="Q188" s="5">
        <v>2591.61</v>
      </c>
      <c r="R188" s="5" t="s">
        <v>44</v>
      </c>
      <c r="S188" s="5" t="s">
        <v>82</v>
      </c>
      <c r="T188" s="5" t="s">
        <v>65</v>
      </c>
      <c r="U188" s="5">
        <v>4</v>
      </c>
      <c r="V188" s="5" t="s">
        <v>45</v>
      </c>
    </row>
    <row r="189" spans="1:22" x14ac:dyDescent="0.3">
      <c r="A189" s="5" t="s">
        <v>570</v>
      </c>
      <c r="B189" s="6">
        <v>46023</v>
      </c>
      <c r="C189" s="5" t="s">
        <v>571</v>
      </c>
      <c r="D189" s="5" t="s">
        <v>24</v>
      </c>
      <c r="E189" s="5" t="s">
        <v>59</v>
      </c>
      <c r="F189" s="5" t="s">
        <v>60</v>
      </c>
      <c r="G189" s="5" t="s">
        <v>61</v>
      </c>
      <c r="H189" s="5" t="s">
        <v>457</v>
      </c>
      <c r="I189" s="5" t="s">
        <v>458</v>
      </c>
      <c r="J189" s="5" t="s">
        <v>71</v>
      </c>
      <c r="K189" s="5" t="s">
        <v>81</v>
      </c>
      <c r="L189" s="5">
        <v>3</v>
      </c>
      <c r="M189" s="5">
        <v>33151</v>
      </c>
      <c r="N189" s="5">
        <v>5</v>
      </c>
      <c r="O189" s="5">
        <v>94480.35</v>
      </c>
      <c r="P189" s="5">
        <v>82501.94</v>
      </c>
      <c r="Q189" s="5">
        <v>11978.41</v>
      </c>
      <c r="R189" s="5" t="s">
        <v>32</v>
      </c>
      <c r="S189" s="5" t="s">
        <v>82</v>
      </c>
      <c r="T189" s="5" t="s">
        <v>65</v>
      </c>
      <c r="U189" s="5">
        <v>2</v>
      </c>
      <c r="V189" s="5" t="s">
        <v>45</v>
      </c>
    </row>
    <row r="190" spans="1:22" x14ac:dyDescent="0.3">
      <c r="A190" s="5" t="s">
        <v>572</v>
      </c>
      <c r="B190" s="6">
        <v>46045</v>
      </c>
      <c r="C190" s="5" t="s">
        <v>573</v>
      </c>
      <c r="D190" s="5" t="s">
        <v>117</v>
      </c>
      <c r="E190" s="5" t="s">
        <v>77</v>
      </c>
      <c r="F190" s="5" t="s">
        <v>78</v>
      </c>
      <c r="G190" s="5" t="s">
        <v>41</v>
      </c>
      <c r="H190" s="5" t="s">
        <v>574</v>
      </c>
      <c r="I190" s="5" t="s">
        <v>575</v>
      </c>
      <c r="J190" s="5" t="s">
        <v>30</v>
      </c>
      <c r="K190" s="5" t="s">
        <v>31</v>
      </c>
      <c r="L190" s="5">
        <v>5</v>
      </c>
      <c r="M190" s="5">
        <v>64481</v>
      </c>
      <c r="N190" s="5">
        <v>20</v>
      </c>
      <c r="O190" s="5">
        <v>257924</v>
      </c>
      <c r="P190" s="5">
        <v>227581.51</v>
      </c>
      <c r="Q190" s="5">
        <v>30342.49</v>
      </c>
      <c r="R190" s="5" t="s">
        <v>64</v>
      </c>
      <c r="S190" s="5" t="s">
        <v>82</v>
      </c>
      <c r="T190" s="5" t="s">
        <v>34</v>
      </c>
      <c r="U190" s="5">
        <v>3</v>
      </c>
      <c r="V190" s="5" t="s">
        <v>45</v>
      </c>
    </row>
    <row r="191" spans="1:22" x14ac:dyDescent="0.3">
      <c r="A191" s="5" t="s">
        <v>576</v>
      </c>
      <c r="B191" s="6">
        <v>46067</v>
      </c>
      <c r="C191" s="5" t="s">
        <v>577</v>
      </c>
      <c r="D191" s="5" t="s">
        <v>68</v>
      </c>
      <c r="E191" s="5" t="s">
        <v>49</v>
      </c>
      <c r="F191" s="5" t="s">
        <v>50</v>
      </c>
      <c r="G191" s="5" t="s">
        <v>51</v>
      </c>
      <c r="H191" s="5" t="s">
        <v>447</v>
      </c>
      <c r="I191" s="5" t="s">
        <v>448</v>
      </c>
      <c r="J191" s="5" t="s">
        <v>71</v>
      </c>
      <c r="K191" s="5" t="s">
        <v>72</v>
      </c>
      <c r="L191" s="5">
        <v>3</v>
      </c>
      <c r="M191" s="5">
        <v>40252</v>
      </c>
      <c r="N191" s="5">
        <v>0</v>
      </c>
      <c r="O191" s="5">
        <v>120756</v>
      </c>
      <c r="P191" s="5">
        <v>67954.7</v>
      </c>
      <c r="Q191" s="5">
        <v>52801.3</v>
      </c>
      <c r="R191" s="5" t="s">
        <v>64</v>
      </c>
      <c r="S191" s="5" t="s">
        <v>82</v>
      </c>
      <c r="T191" s="5" t="s">
        <v>65</v>
      </c>
      <c r="U191" s="5">
        <v>1</v>
      </c>
      <c r="V191" s="5" t="s">
        <v>45</v>
      </c>
    </row>
    <row r="192" spans="1:22" x14ac:dyDescent="0.3">
      <c r="A192" s="5" t="s">
        <v>578</v>
      </c>
      <c r="B192" s="6">
        <v>46062</v>
      </c>
      <c r="C192" s="5" t="s">
        <v>579</v>
      </c>
      <c r="D192" s="5" t="s">
        <v>24</v>
      </c>
      <c r="E192" s="5" t="s">
        <v>77</v>
      </c>
      <c r="F192" s="5" t="s">
        <v>78</v>
      </c>
      <c r="G192" s="5" t="s">
        <v>41</v>
      </c>
      <c r="H192" s="5" t="s">
        <v>210</v>
      </c>
      <c r="I192" s="5" t="s">
        <v>211</v>
      </c>
      <c r="J192" s="5" t="s">
        <v>102</v>
      </c>
      <c r="K192" s="5" t="s">
        <v>103</v>
      </c>
      <c r="L192" s="5">
        <v>4</v>
      </c>
      <c r="M192" s="5">
        <v>20257</v>
      </c>
      <c r="N192" s="5">
        <v>15</v>
      </c>
      <c r="O192" s="5">
        <v>68873.8</v>
      </c>
      <c r="P192" s="5">
        <v>58118.12</v>
      </c>
      <c r="Q192" s="5">
        <v>10755.68</v>
      </c>
      <c r="R192" s="5" t="s">
        <v>32</v>
      </c>
      <c r="S192" s="5" t="s">
        <v>33</v>
      </c>
      <c r="T192" s="5" t="s">
        <v>73</v>
      </c>
      <c r="U192" s="5">
        <v>5</v>
      </c>
      <c r="V192" s="5" t="s">
        <v>45</v>
      </c>
    </row>
    <row r="193" spans="1:22" x14ac:dyDescent="0.3">
      <c r="A193" s="5" t="s">
        <v>580</v>
      </c>
      <c r="B193" s="6">
        <v>46027</v>
      </c>
      <c r="C193" s="5" t="s">
        <v>581</v>
      </c>
      <c r="D193" s="5" t="s">
        <v>38</v>
      </c>
      <c r="E193" s="5" t="s">
        <v>126</v>
      </c>
      <c r="F193" s="5" t="s">
        <v>126</v>
      </c>
      <c r="G193" s="5" t="s">
        <v>51</v>
      </c>
      <c r="H193" s="5" t="s">
        <v>85</v>
      </c>
      <c r="I193" s="5" t="s">
        <v>86</v>
      </c>
      <c r="J193" s="5" t="s">
        <v>71</v>
      </c>
      <c r="K193" s="5" t="s">
        <v>72</v>
      </c>
      <c r="L193" s="5">
        <v>2</v>
      </c>
      <c r="M193" s="5">
        <v>48294</v>
      </c>
      <c r="N193" s="5">
        <v>10</v>
      </c>
      <c r="O193" s="5">
        <v>86929.2</v>
      </c>
      <c r="P193" s="5">
        <v>71535.67</v>
      </c>
      <c r="Q193" s="5">
        <v>15393.53</v>
      </c>
      <c r="R193" s="5" t="s">
        <v>64</v>
      </c>
      <c r="S193" s="5" t="s">
        <v>33</v>
      </c>
      <c r="T193" s="5" t="s">
        <v>65</v>
      </c>
      <c r="U193" s="5">
        <v>2</v>
      </c>
      <c r="V193" s="5" t="s">
        <v>45</v>
      </c>
    </row>
    <row r="194" spans="1:22" x14ac:dyDescent="0.3">
      <c r="A194" s="5" t="s">
        <v>582</v>
      </c>
      <c r="B194" s="6">
        <v>46038</v>
      </c>
      <c r="C194" s="5" t="s">
        <v>134</v>
      </c>
      <c r="D194" s="5" t="s">
        <v>151</v>
      </c>
      <c r="E194" s="5" t="s">
        <v>49</v>
      </c>
      <c r="F194" s="5" t="s">
        <v>50</v>
      </c>
      <c r="G194" s="5" t="s">
        <v>51</v>
      </c>
      <c r="H194" s="5" t="s">
        <v>406</v>
      </c>
      <c r="I194" s="5" t="s">
        <v>407</v>
      </c>
      <c r="J194" s="5" t="s">
        <v>30</v>
      </c>
      <c r="K194" s="5" t="s">
        <v>31</v>
      </c>
      <c r="L194" s="5">
        <v>4</v>
      </c>
      <c r="M194" s="5">
        <v>11299</v>
      </c>
      <c r="N194" s="5">
        <v>5</v>
      </c>
      <c r="O194" s="5">
        <v>42936.2</v>
      </c>
      <c r="P194" s="5">
        <v>37832.44</v>
      </c>
      <c r="Q194" s="5">
        <v>5103.76</v>
      </c>
      <c r="R194" s="5" t="s">
        <v>44</v>
      </c>
      <c r="S194" s="5" t="s">
        <v>33</v>
      </c>
      <c r="T194" s="5" t="s">
        <v>73</v>
      </c>
      <c r="U194" s="5">
        <v>5</v>
      </c>
      <c r="V194" s="5" t="s">
        <v>45</v>
      </c>
    </row>
    <row r="195" spans="1:22" x14ac:dyDescent="0.3">
      <c r="A195" s="5" t="s">
        <v>583</v>
      </c>
      <c r="B195" s="6">
        <v>46053</v>
      </c>
      <c r="C195" s="5" t="s">
        <v>323</v>
      </c>
      <c r="D195" s="5" t="s">
        <v>68</v>
      </c>
      <c r="E195" s="5" t="s">
        <v>25</v>
      </c>
      <c r="F195" s="5" t="s">
        <v>26</v>
      </c>
      <c r="G195" s="5" t="s">
        <v>27</v>
      </c>
      <c r="H195" s="5" t="s">
        <v>253</v>
      </c>
      <c r="I195" s="5" t="s">
        <v>254</v>
      </c>
      <c r="J195" s="5" t="s">
        <v>54</v>
      </c>
      <c r="K195" s="5" t="s">
        <v>55</v>
      </c>
      <c r="L195" s="5">
        <v>3</v>
      </c>
      <c r="M195" s="5">
        <v>32307</v>
      </c>
      <c r="N195" s="5">
        <v>20</v>
      </c>
      <c r="O195" s="5">
        <v>77536.800000000003</v>
      </c>
      <c r="P195" s="5">
        <v>79107.95</v>
      </c>
      <c r="Q195" s="5">
        <v>-1571.15</v>
      </c>
      <c r="R195" s="5" t="s">
        <v>64</v>
      </c>
      <c r="S195" s="5" t="s">
        <v>33</v>
      </c>
      <c r="T195" s="5" t="s">
        <v>34</v>
      </c>
      <c r="U195" s="5">
        <v>5</v>
      </c>
      <c r="V195" s="5" t="s">
        <v>35</v>
      </c>
    </row>
    <row r="196" spans="1:22" x14ac:dyDescent="0.3">
      <c r="A196" s="5" t="s">
        <v>584</v>
      </c>
      <c r="B196" s="6">
        <v>46131</v>
      </c>
      <c r="C196" s="5" t="s">
        <v>585</v>
      </c>
      <c r="D196" s="5" t="s">
        <v>76</v>
      </c>
      <c r="E196" s="5" t="s">
        <v>94</v>
      </c>
      <c r="F196" s="5" t="s">
        <v>26</v>
      </c>
      <c r="G196" s="5" t="s">
        <v>27</v>
      </c>
      <c r="H196" s="5" t="s">
        <v>131</v>
      </c>
      <c r="I196" s="5" t="s">
        <v>132</v>
      </c>
      <c r="J196" s="5" t="s">
        <v>71</v>
      </c>
      <c r="K196" s="5" t="s">
        <v>81</v>
      </c>
      <c r="L196" s="5">
        <v>1</v>
      </c>
      <c r="M196" s="5">
        <v>71738</v>
      </c>
      <c r="N196" s="5">
        <v>20</v>
      </c>
      <c r="O196" s="5">
        <v>57390.400000000001</v>
      </c>
      <c r="P196" s="5">
        <v>60563.53</v>
      </c>
      <c r="Q196" s="5">
        <v>-3173.13</v>
      </c>
      <c r="R196" s="5" t="s">
        <v>32</v>
      </c>
      <c r="S196" s="5" t="s">
        <v>33</v>
      </c>
      <c r="T196" s="5" t="s">
        <v>34</v>
      </c>
      <c r="U196" s="5">
        <v>3</v>
      </c>
      <c r="V196" s="5" t="s">
        <v>45</v>
      </c>
    </row>
    <row r="197" spans="1:22" x14ac:dyDescent="0.3">
      <c r="A197" s="5" t="s">
        <v>586</v>
      </c>
      <c r="B197" s="6">
        <v>46194</v>
      </c>
      <c r="C197" s="5" t="s">
        <v>138</v>
      </c>
      <c r="D197" s="5" t="s">
        <v>151</v>
      </c>
      <c r="E197" s="5" t="s">
        <v>126</v>
      </c>
      <c r="F197" s="5" t="s">
        <v>126</v>
      </c>
      <c r="G197" s="5" t="s">
        <v>51</v>
      </c>
      <c r="H197" s="5" t="s">
        <v>316</v>
      </c>
      <c r="I197" s="5" t="s">
        <v>317</v>
      </c>
      <c r="J197" s="5" t="s">
        <v>54</v>
      </c>
      <c r="K197" s="5" t="s">
        <v>55</v>
      </c>
      <c r="L197" s="5">
        <v>1</v>
      </c>
      <c r="M197" s="5">
        <v>23945</v>
      </c>
      <c r="N197" s="5">
        <v>0</v>
      </c>
      <c r="O197" s="5">
        <v>23945</v>
      </c>
      <c r="P197" s="5">
        <v>13679.76</v>
      </c>
      <c r="Q197" s="5">
        <v>10265.24</v>
      </c>
      <c r="R197" s="5" t="s">
        <v>44</v>
      </c>
      <c r="S197" s="5" t="s">
        <v>33</v>
      </c>
      <c r="T197" s="5" t="s">
        <v>73</v>
      </c>
      <c r="U197" s="5">
        <v>4</v>
      </c>
      <c r="V197" s="5" t="s">
        <v>35</v>
      </c>
    </row>
    <row r="198" spans="1:22" x14ac:dyDescent="0.3">
      <c r="A198" s="5" t="s">
        <v>587</v>
      </c>
      <c r="B198" s="6">
        <v>46029</v>
      </c>
      <c r="C198" s="5" t="s">
        <v>588</v>
      </c>
      <c r="D198" s="5" t="s">
        <v>110</v>
      </c>
      <c r="E198" s="5" t="s">
        <v>39</v>
      </c>
      <c r="F198" s="5" t="s">
        <v>40</v>
      </c>
      <c r="G198" s="5" t="s">
        <v>41</v>
      </c>
      <c r="H198" s="5" t="s">
        <v>451</v>
      </c>
      <c r="I198" s="5" t="s">
        <v>452</v>
      </c>
      <c r="J198" s="5" t="s">
        <v>30</v>
      </c>
      <c r="K198" s="5" t="s">
        <v>31</v>
      </c>
      <c r="L198" s="5">
        <v>1</v>
      </c>
      <c r="M198" s="5">
        <v>9501</v>
      </c>
      <c r="N198" s="5">
        <v>10</v>
      </c>
      <c r="O198" s="5">
        <v>8550.9</v>
      </c>
      <c r="P198" s="5">
        <v>7934.58</v>
      </c>
      <c r="Q198" s="5">
        <v>616.32000000000005</v>
      </c>
      <c r="R198" s="5" t="s">
        <v>32</v>
      </c>
      <c r="S198" s="5" t="s">
        <v>33</v>
      </c>
      <c r="T198" s="5" t="s">
        <v>34</v>
      </c>
      <c r="U198" s="5">
        <v>5</v>
      </c>
      <c r="V198" s="5" t="s">
        <v>35</v>
      </c>
    </row>
    <row r="199" spans="1:22" x14ac:dyDescent="0.3">
      <c r="A199" s="5" t="s">
        <v>589</v>
      </c>
      <c r="B199" s="6">
        <v>46088</v>
      </c>
      <c r="C199" s="5" t="s">
        <v>590</v>
      </c>
      <c r="D199" s="5" t="s">
        <v>117</v>
      </c>
      <c r="E199" s="5" t="s">
        <v>39</v>
      </c>
      <c r="F199" s="5" t="s">
        <v>40</v>
      </c>
      <c r="G199" s="5" t="s">
        <v>41</v>
      </c>
      <c r="H199" s="5" t="s">
        <v>261</v>
      </c>
      <c r="I199" s="5" t="s">
        <v>262</v>
      </c>
      <c r="J199" s="5" t="s">
        <v>102</v>
      </c>
      <c r="K199" s="5" t="s">
        <v>103</v>
      </c>
      <c r="L199" s="5">
        <v>1</v>
      </c>
      <c r="M199" s="5">
        <v>58823</v>
      </c>
      <c r="N199" s="5">
        <v>15</v>
      </c>
      <c r="O199" s="5">
        <v>49999.55</v>
      </c>
      <c r="P199" s="5">
        <v>44442.92</v>
      </c>
      <c r="Q199" s="5">
        <v>5556.63</v>
      </c>
      <c r="R199" s="5" t="s">
        <v>32</v>
      </c>
      <c r="S199" s="5" t="s">
        <v>33</v>
      </c>
      <c r="T199" s="5" t="s">
        <v>65</v>
      </c>
      <c r="U199" s="5">
        <v>2</v>
      </c>
      <c r="V199" s="5" t="s">
        <v>45</v>
      </c>
    </row>
    <row r="200" spans="1:22" x14ac:dyDescent="0.3">
      <c r="A200" s="5" t="s">
        <v>591</v>
      </c>
      <c r="B200" s="6">
        <v>46135</v>
      </c>
      <c r="C200" s="5" t="s">
        <v>592</v>
      </c>
      <c r="D200" s="5" t="s">
        <v>89</v>
      </c>
      <c r="E200" s="5" t="s">
        <v>25</v>
      </c>
      <c r="F200" s="5" t="s">
        <v>26</v>
      </c>
      <c r="G200" s="5" t="s">
        <v>27</v>
      </c>
      <c r="H200" s="5" t="s">
        <v>342</v>
      </c>
      <c r="I200" s="5" t="s">
        <v>343</v>
      </c>
      <c r="J200" s="5" t="s">
        <v>54</v>
      </c>
      <c r="K200" s="5" t="s">
        <v>97</v>
      </c>
      <c r="L200" s="5">
        <v>4</v>
      </c>
      <c r="M200" s="5">
        <v>13020</v>
      </c>
      <c r="N200" s="5">
        <v>10</v>
      </c>
      <c r="O200" s="5">
        <v>46872</v>
      </c>
      <c r="P200" s="5">
        <v>43552.28</v>
      </c>
      <c r="Q200" s="5">
        <v>3319.72</v>
      </c>
      <c r="R200" s="5" t="s">
        <v>44</v>
      </c>
      <c r="S200" s="5" t="s">
        <v>82</v>
      </c>
      <c r="T200" s="5" t="s">
        <v>73</v>
      </c>
      <c r="U200" s="5">
        <v>2</v>
      </c>
      <c r="V200" s="5" t="s">
        <v>45</v>
      </c>
    </row>
    <row r="201" spans="1:22" x14ac:dyDescent="0.3">
      <c r="A201" s="5" t="s">
        <v>593</v>
      </c>
      <c r="B201" s="6">
        <v>46128</v>
      </c>
      <c r="C201" s="5" t="s">
        <v>311</v>
      </c>
      <c r="D201" s="5" t="s">
        <v>117</v>
      </c>
      <c r="E201" s="5" t="s">
        <v>39</v>
      </c>
      <c r="F201" s="5" t="s">
        <v>40</v>
      </c>
      <c r="G201" s="5" t="s">
        <v>41</v>
      </c>
      <c r="H201" s="5" t="s">
        <v>261</v>
      </c>
      <c r="I201" s="5" t="s">
        <v>262</v>
      </c>
      <c r="J201" s="5" t="s">
        <v>102</v>
      </c>
      <c r="K201" s="5" t="s">
        <v>103</v>
      </c>
      <c r="L201" s="5">
        <v>5</v>
      </c>
      <c r="M201" s="5">
        <v>8027</v>
      </c>
      <c r="N201" s="5">
        <v>5</v>
      </c>
      <c r="O201" s="5">
        <v>38128.25</v>
      </c>
      <c r="P201" s="5">
        <v>32836.769999999997</v>
      </c>
      <c r="Q201" s="5">
        <v>5291.48</v>
      </c>
      <c r="R201" s="5" t="s">
        <v>32</v>
      </c>
      <c r="S201" s="5" t="s">
        <v>33</v>
      </c>
      <c r="T201" s="5" t="s">
        <v>73</v>
      </c>
      <c r="U201" s="5">
        <v>2</v>
      </c>
      <c r="V201" s="5" t="s">
        <v>35</v>
      </c>
    </row>
    <row r="202" spans="1:22" x14ac:dyDescent="0.3">
      <c r="A202" s="5" t="s">
        <v>594</v>
      </c>
      <c r="B202" s="6">
        <v>46106</v>
      </c>
      <c r="C202" s="5" t="s">
        <v>144</v>
      </c>
      <c r="D202" s="5" t="s">
        <v>151</v>
      </c>
      <c r="E202" s="5" t="s">
        <v>59</v>
      </c>
      <c r="F202" s="5" t="s">
        <v>60</v>
      </c>
      <c r="G202" s="5" t="s">
        <v>61</v>
      </c>
      <c r="H202" s="5" t="s">
        <v>306</v>
      </c>
      <c r="I202" s="5" t="s">
        <v>307</v>
      </c>
      <c r="J202" s="5" t="s">
        <v>71</v>
      </c>
      <c r="K202" s="5" t="s">
        <v>81</v>
      </c>
      <c r="L202" s="5">
        <v>4</v>
      </c>
      <c r="M202" s="5">
        <v>24541</v>
      </c>
      <c r="N202" s="5">
        <v>20</v>
      </c>
      <c r="O202" s="5">
        <v>78531.199999999997</v>
      </c>
      <c r="P202" s="5">
        <v>57163.26</v>
      </c>
      <c r="Q202" s="5">
        <v>21367.94</v>
      </c>
      <c r="R202" s="5" t="s">
        <v>64</v>
      </c>
      <c r="S202" s="5" t="s">
        <v>33</v>
      </c>
      <c r="T202" s="5" t="s">
        <v>73</v>
      </c>
      <c r="U202" s="5">
        <v>4</v>
      </c>
      <c r="V202" s="5" t="s">
        <v>45</v>
      </c>
    </row>
    <row r="203" spans="1:22" x14ac:dyDescent="0.3">
      <c r="A203" s="5" t="s">
        <v>595</v>
      </c>
      <c r="B203" s="6">
        <v>46042</v>
      </c>
      <c r="C203" s="5" t="s">
        <v>438</v>
      </c>
      <c r="D203" s="5" t="s">
        <v>117</v>
      </c>
      <c r="E203" s="5" t="s">
        <v>59</v>
      </c>
      <c r="F203" s="5" t="s">
        <v>60</v>
      </c>
      <c r="G203" s="5" t="s">
        <v>61</v>
      </c>
      <c r="H203" s="5" t="s">
        <v>231</v>
      </c>
      <c r="I203" s="5" t="s">
        <v>232</v>
      </c>
      <c r="J203" s="5" t="s">
        <v>54</v>
      </c>
      <c r="K203" s="5" t="s">
        <v>97</v>
      </c>
      <c r="L203" s="5">
        <v>2</v>
      </c>
      <c r="M203" s="5">
        <v>25193</v>
      </c>
      <c r="N203" s="5">
        <v>0</v>
      </c>
      <c r="O203" s="5">
        <v>50386</v>
      </c>
      <c r="P203" s="5">
        <v>36779.99</v>
      </c>
      <c r="Q203" s="5">
        <v>13606.01</v>
      </c>
      <c r="R203" s="5" t="s">
        <v>32</v>
      </c>
      <c r="S203" s="5" t="s">
        <v>33</v>
      </c>
      <c r="T203" s="5" t="s">
        <v>65</v>
      </c>
      <c r="U203" s="5">
        <v>4</v>
      </c>
      <c r="V203" s="5" t="s">
        <v>35</v>
      </c>
    </row>
    <row r="204" spans="1:22" x14ac:dyDescent="0.3">
      <c r="A204" s="5" t="s">
        <v>596</v>
      </c>
      <c r="B204" s="6">
        <v>46100</v>
      </c>
      <c r="C204" s="5" t="s">
        <v>597</v>
      </c>
      <c r="D204" s="5" t="s">
        <v>89</v>
      </c>
      <c r="E204" s="5" t="s">
        <v>59</v>
      </c>
      <c r="F204" s="5" t="s">
        <v>60</v>
      </c>
      <c r="G204" s="5" t="s">
        <v>61</v>
      </c>
      <c r="H204" s="5" t="s">
        <v>127</v>
      </c>
      <c r="I204" s="5" t="s">
        <v>128</v>
      </c>
      <c r="J204" s="5" t="s">
        <v>102</v>
      </c>
      <c r="K204" s="5" t="s">
        <v>103</v>
      </c>
      <c r="L204" s="5">
        <v>3</v>
      </c>
      <c r="M204" s="5">
        <v>15346</v>
      </c>
      <c r="N204" s="5">
        <v>10</v>
      </c>
      <c r="O204" s="5">
        <v>41434.199999999997</v>
      </c>
      <c r="P204" s="5">
        <v>27158.76</v>
      </c>
      <c r="Q204" s="5">
        <v>14275.44</v>
      </c>
      <c r="R204" s="5" t="s">
        <v>44</v>
      </c>
      <c r="S204" s="5" t="s">
        <v>33</v>
      </c>
      <c r="T204" s="5" t="s">
        <v>73</v>
      </c>
      <c r="U204" s="5">
        <v>3</v>
      </c>
      <c r="V204" s="5" t="s">
        <v>45</v>
      </c>
    </row>
    <row r="205" spans="1:22" x14ac:dyDescent="0.3">
      <c r="A205" s="5" t="s">
        <v>598</v>
      </c>
      <c r="B205" s="6">
        <v>46133</v>
      </c>
      <c r="C205" s="5" t="s">
        <v>556</v>
      </c>
      <c r="D205" s="5" t="s">
        <v>58</v>
      </c>
      <c r="E205" s="5" t="s">
        <v>126</v>
      </c>
      <c r="F205" s="5" t="s">
        <v>126</v>
      </c>
      <c r="G205" s="5" t="s">
        <v>51</v>
      </c>
      <c r="H205" s="5" t="s">
        <v>440</v>
      </c>
      <c r="I205" s="5" t="s">
        <v>441</v>
      </c>
      <c r="J205" s="5" t="s">
        <v>30</v>
      </c>
      <c r="K205" s="5" t="s">
        <v>31</v>
      </c>
      <c r="L205" s="5">
        <v>5</v>
      </c>
      <c r="M205" s="5">
        <v>13651</v>
      </c>
      <c r="N205" s="5">
        <v>5</v>
      </c>
      <c r="O205" s="5">
        <v>64842.25</v>
      </c>
      <c r="P205" s="5">
        <v>37989.75</v>
      </c>
      <c r="Q205" s="5">
        <v>26852.5</v>
      </c>
      <c r="R205" s="5" t="s">
        <v>64</v>
      </c>
      <c r="S205" s="5" t="s">
        <v>82</v>
      </c>
      <c r="T205" s="5" t="s">
        <v>73</v>
      </c>
      <c r="U205" s="5">
        <v>3</v>
      </c>
      <c r="V205" s="5" t="s">
        <v>45</v>
      </c>
    </row>
    <row r="206" spans="1:22" x14ac:dyDescent="0.3">
      <c r="A206" s="5" t="s">
        <v>599</v>
      </c>
      <c r="B206" s="6">
        <v>46099</v>
      </c>
      <c r="C206" s="5" t="s">
        <v>330</v>
      </c>
      <c r="D206" s="5" t="s">
        <v>76</v>
      </c>
      <c r="E206" s="5" t="s">
        <v>94</v>
      </c>
      <c r="F206" s="5" t="s">
        <v>26</v>
      </c>
      <c r="G206" s="5" t="s">
        <v>27</v>
      </c>
      <c r="H206" s="5" t="s">
        <v>261</v>
      </c>
      <c r="I206" s="5" t="s">
        <v>262</v>
      </c>
      <c r="J206" s="5" t="s">
        <v>102</v>
      </c>
      <c r="K206" s="5" t="s">
        <v>103</v>
      </c>
      <c r="L206" s="5">
        <v>4</v>
      </c>
      <c r="M206" s="5">
        <v>16258</v>
      </c>
      <c r="N206" s="5">
        <v>5</v>
      </c>
      <c r="O206" s="5">
        <v>61780.4</v>
      </c>
      <c r="P206" s="5">
        <v>55167.24</v>
      </c>
      <c r="Q206" s="5">
        <v>6613.16</v>
      </c>
      <c r="R206" s="5" t="s">
        <v>32</v>
      </c>
      <c r="S206" s="5" t="s">
        <v>82</v>
      </c>
      <c r="T206" s="5" t="s">
        <v>73</v>
      </c>
      <c r="U206" s="5">
        <v>5</v>
      </c>
      <c r="V206" s="5" t="s">
        <v>45</v>
      </c>
    </row>
    <row r="207" spans="1:22" x14ac:dyDescent="0.3">
      <c r="A207" s="5" t="s">
        <v>600</v>
      </c>
      <c r="B207" s="6">
        <v>46082</v>
      </c>
      <c r="C207" s="5" t="s">
        <v>427</v>
      </c>
      <c r="D207" s="5" t="s">
        <v>38</v>
      </c>
      <c r="E207" s="5" t="s">
        <v>94</v>
      </c>
      <c r="F207" s="5" t="s">
        <v>26</v>
      </c>
      <c r="G207" s="5" t="s">
        <v>27</v>
      </c>
      <c r="H207" s="5" t="s">
        <v>384</v>
      </c>
      <c r="I207" s="5" t="s">
        <v>385</v>
      </c>
      <c r="J207" s="5" t="s">
        <v>102</v>
      </c>
      <c r="K207" s="5" t="s">
        <v>103</v>
      </c>
      <c r="L207" s="5">
        <v>1</v>
      </c>
      <c r="M207" s="5">
        <v>46907</v>
      </c>
      <c r="N207" s="5">
        <v>5</v>
      </c>
      <c r="O207" s="5">
        <v>44561.65</v>
      </c>
      <c r="P207" s="5">
        <v>38589.47</v>
      </c>
      <c r="Q207" s="5">
        <v>5972.18</v>
      </c>
      <c r="R207" s="5" t="s">
        <v>64</v>
      </c>
      <c r="S207" s="5" t="s">
        <v>33</v>
      </c>
      <c r="T207" s="5" t="s">
        <v>34</v>
      </c>
      <c r="U207" s="5">
        <v>1</v>
      </c>
      <c r="V207" s="5" t="s">
        <v>35</v>
      </c>
    </row>
    <row r="208" spans="1:22" x14ac:dyDescent="0.3">
      <c r="A208" s="5" t="s">
        <v>601</v>
      </c>
      <c r="B208" s="6">
        <v>46111</v>
      </c>
      <c r="C208" s="5" t="s">
        <v>602</v>
      </c>
      <c r="D208" s="5" t="s">
        <v>48</v>
      </c>
      <c r="E208" s="5" t="s">
        <v>59</v>
      </c>
      <c r="F208" s="5" t="s">
        <v>60</v>
      </c>
      <c r="G208" s="5" t="s">
        <v>61</v>
      </c>
      <c r="H208" s="5" t="s">
        <v>387</v>
      </c>
      <c r="I208" s="5" t="s">
        <v>388</v>
      </c>
      <c r="J208" s="5" t="s">
        <v>54</v>
      </c>
      <c r="K208" s="5" t="s">
        <v>97</v>
      </c>
      <c r="L208" s="5">
        <v>5</v>
      </c>
      <c r="M208" s="5">
        <v>60250</v>
      </c>
      <c r="N208" s="5">
        <v>15</v>
      </c>
      <c r="O208" s="5">
        <v>256062.5</v>
      </c>
      <c r="P208" s="5">
        <v>165760.32999999999</v>
      </c>
      <c r="Q208" s="5">
        <v>90302.17</v>
      </c>
      <c r="R208" s="5" t="s">
        <v>64</v>
      </c>
      <c r="S208" s="5" t="s">
        <v>33</v>
      </c>
      <c r="T208" s="5" t="s">
        <v>73</v>
      </c>
      <c r="U208" s="5">
        <v>4</v>
      </c>
      <c r="V208" s="5" t="s">
        <v>35</v>
      </c>
    </row>
    <row r="209" spans="1:22" x14ac:dyDescent="0.3">
      <c r="A209" s="5" t="s">
        <v>603</v>
      </c>
      <c r="B209" s="6">
        <v>46095</v>
      </c>
      <c r="C209" s="5" t="s">
        <v>163</v>
      </c>
      <c r="D209" s="5" t="s">
        <v>68</v>
      </c>
      <c r="E209" s="5" t="s">
        <v>77</v>
      </c>
      <c r="F209" s="5" t="s">
        <v>78</v>
      </c>
      <c r="G209" s="5" t="s">
        <v>41</v>
      </c>
      <c r="H209" s="5" t="s">
        <v>135</v>
      </c>
      <c r="I209" s="5" t="s">
        <v>136</v>
      </c>
      <c r="J209" s="5" t="s">
        <v>30</v>
      </c>
      <c r="K209" s="5" t="s">
        <v>31</v>
      </c>
      <c r="L209" s="5">
        <v>4</v>
      </c>
      <c r="M209" s="5">
        <v>16263</v>
      </c>
      <c r="N209" s="5">
        <v>10</v>
      </c>
      <c r="O209" s="5">
        <v>58546.8</v>
      </c>
      <c r="P209" s="5">
        <v>40189.230000000003</v>
      </c>
      <c r="Q209" s="5">
        <v>18357.57</v>
      </c>
      <c r="R209" s="5" t="s">
        <v>64</v>
      </c>
      <c r="S209" s="5" t="s">
        <v>33</v>
      </c>
      <c r="T209" s="5" t="s">
        <v>73</v>
      </c>
      <c r="U209" s="5">
        <v>2</v>
      </c>
      <c r="V209" s="5" t="s">
        <v>45</v>
      </c>
    </row>
    <row r="210" spans="1:22" x14ac:dyDescent="0.3">
      <c r="A210" s="5" t="s">
        <v>604</v>
      </c>
      <c r="B210" s="6">
        <v>46114</v>
      </c>
      <c r="C210" s="5" t="s">
        <v>605</v>
      </c>
      <c r="D210" s="5" t="s">
        <v>151</v>
      </c>
      <c r="E210" s="5" t="s">
        <v>25</v>
      </c>
      <c r="F210" s="5" t="s">
        <v>26</v>
      </c>
      <c r="G210" s="5" t="s">
        <v>27</v>
      </c>
      <c r="H210" s="5" t="s">
        <v>100</v>
      </c>
      <c r="I210" s="5" t="s">
        <v>101</v>
      </c>
      <c r="J210" s="5" t="s">
        <v>102</v>
      </c>
      <c r="K210" s="5" t="s">
        <v>103</v>
      </c>
      <c r="L210" s="5">
        <v>3</v>
      </c>
      <c r="M210" s="5">
        <v>48702</v>
      </c>
      <c r="N210" s="5">
        <v>5</v>
      </c>
      <c r="O210" s="5">
        <v>138800.70000000001</v>
      </c>
      <c r="P210" s="5">
        <v>101748.56</v>
      </c>
      <c r="Q210" s="5">
        <v>37052.14</v>
      </c>
      <c r="R210" s="5" t="s">
        <v>44</v>
      </c>
      <c r="S210" s="5" t="s">
        <v>82</v>
      </c>
      <c r="T210" s="5" t="s">
        <v>34</v>
      </c>
      <c r="U210" s="5">
        <v>4</v>
      </c>
      <c r="V210" s="5" t="s">
        <v>45</v>
      </c>
    </row>
    <row r="211" spans="1:22" x14ac:dyDescent="0.3">
      <c r="A211" s="5" t="s">
        <v>606</v>
      </c>
      <c r="B211" s="6">
        <v>46085</v>
      </c>
      <c r="C211" s="5" t="s">
        <v>607</v>
      </c>
      <c r="D211" s="5" t="s">
        <v>151</v>
      </c>
      <c r="E211" s="5" t="s">
        <v>25</v>
      </c>
      <c r="F211" s="5" t="s">
        <v>26</v>
      </c>
      <c r="G211" s="5" t="s">
        <v>27</v>
      </c>
      <c r="H211" s="5" t="s">
        <v>281</v>
      </c>
      <c r="I211" s="5" t="s">
        <v>282</v>
      </c>
      <c r="J211" s="5" t="s">
        <v>30</v>
      </c>
      <c r="K211" s="5" t="s">
        <v>31</v>
      </c>
      <c r="L211" s="5">
        <v>2</v>
      </c>
      <c r="M211" s="5">
        <v>15206</v>
      </c>
      <c r="N211" s="5">
        <v>20</v>
      </c>
      <c r="O211" s="5">
        <v>24329.599999999999</v>
      </c>
      <c r="P211" s="5">
        <v>25370.74</v>
      </c>
      <c r="Q211" s="5">
        <v>-1041.1400000000001</v>
      </c>
      <c r="R211" s="5" t="s">
        <v>64</v>
      </c>
      <c r="S211" s="5" t="s">
        <v>33</v>
      </c>
      <c r="T211" s="5" t="s">
        <v>34</v>
      </c>
      <c r="U211" s="5">
        <v>3</v>
      </c>
      <c r="V211" s="5" t="s">
        <v>35</v>
      </c>
    </row>
    <row r="212" spans="1:22" x14ac:dyDescent="0.3">
      <c r="A212" s="5" t="s">
        <v>608</v>
      </c>
      <c r="B212" s="6">
        <v>46082</v>
      </c>
      <c r="C212" s="5" t="s">
        <v>337</v>
      </c>
      <c r="D212" s="5" t="s">
        <v>48</v>
      </c>
      <c r="E212" s="5" t="s">
        <v>126</v>
      </c>
      <c r="F212" s="5" t="s">
        <v>126</v>
      </c>
      <c r="G212" s="5" t="s">
        <v>51</v>
      </c>
      <c r="H212" s="5" t="s">
        <v>479</v>
      </c>
      <c r="I212" s="5" t="s">
        <v>480</v>
      </c>
      <c r="J212" s="5" t="s">
        <v>71</v>
      </c>
      <c r="K212" s="5" t="s">
        <v>72</v>
      </c>
      <c r="L212" s="5">
        <v>2</v>
      </c>
      <c r="M212" s="5">
        <v>58086</v>
      </c>
      <c r="N212" s="5">
        <v>15</v>
      </c>
      <c r="O212" s="5">
        <v>98746.2</v>
      </c>
      <c r="P212" s="5">
        <v>95829</v>
      </c>
      <c r="Q212" s="5">
        <v>2917.2</v>
      </c>
      <c r="R212" s="5" t="s">
        <v>64</v>
      </c>
      <c r="S212" s="5" t="s">
        <v>82</v>
      </c>
      <c r="T212" s="5" t="s">
        <v>65</v>
      </c>
      <c r="U212" s="5">
        <v>5</v>
      </c>
      <c r="V212" s="5" t="s">
        <v>35</v>
      </c>
    </row>
    <row r="213" spans="1:22" x14ac:dyDescent="0.3">
      <c r="A213" s="5" t="s">
        <v>609</v>
      </c>
      <c r="B213" s="6">
        <v>46111</v>
      </c>
      <c r="C213" s="5" t="s">
        <v>610</v>
      </c>
      <c r="D213" s="5" t="s">
        <v>151</v>
      </c>
      <c r="E213" s="5" t="s">
        <v>94</v>
      </c>
      <c r="F213" s="5" t="s">
        <v>26</v>
      </c>
      <c r="G213" s="5" t="s">
        <v>27</v>
      </c>
      <c r="H213" s="5" t="s">
        <v>217</v>
      </c>
      <c r="I213" s="5" t="s">
        <v>218</v>
      </c>
      <c r="J213" s="5" t="s">
        <v>54</v>
      </c>
      <c r="K213" s="5" t="s">
        <v>97</v>
      </c>
      <c r="L213" s="5">
        <v>3</v>
      </c>
      <c r="M213" s="5">
        <v>27797</v>
      </c>
      <c r="N213" s="5">
        <v>20</v>
      </c>
      <c r="O213" s="5">
        <v>66712.800000000003</v>
      </c>
      <c r="P213" s="5">
        <v>50743.24</v>
      </c>
      <c r="Q213" s="5">
        <v>15969.56</v>
      </c>
      <c r="R213" s="5" t="s">
        <v>44</v>
      </c>
      <c r="S213" s="5" t="s">
        <v>33</v>
      </c>
      <c r="T213" s="5" t="s">
        <v>73</v>
      </c>
      <c r="U213" s="5">
        <v>3</v>
      </c>
      <c r="V213" s="5" t="s">
        <v>45</v>
      </c>
    </row>
    <row r="214" spans="1:22" x14ac:dyDescent="0.3">
      <c r="A214" s="5" t="s">
        <v>611</v>
      </c>
      <c r="B214" s="6">
        <v>46055</v>
      </c>
      <c r="C214" s="5" t="s">
        <v>612</v>
      </c>
      <c r="D214" s="5" t="s">
        <v>151</v>
      </c>
      <c r="E214" s="5" t="s">
        <v>25</v>
      </c>
      <c r="F214" s="5" t="s">
        <v>26</v>
      </c>
      <c r="G214" s="5" t="s">
        <v>27</v>
      </c>
      <c r="H214" s="5" t="s">
        <v>156</v>
      </c>
      <c r="I214" s="5" t="s">
        <v>157</v>
      </c>
      <c r="J214" s="5" t="s">
        <v>30</v>
      </c>
      <c r="K214" s="5" t="s">
        <v>31</v>
      </c>
      <c r="L214" s="5">
        <v>1</v>
      </c>
      <c r="M214" s="5">
        <v>25686</v>
      </c>
      <c r="N214" s="5">
        <v>20</v>
      </c>
      <c r="O214" s="5">
        <v>20548.8</v>
      </c>
      <c r="P214" s="5">
        <v>20699.36</v>
      </c>
      <c r="Q214" s="5">
        <v>-150.56</v>
      </c>
      <c r="R214" s="5" t="s">
        <v>32</v>
      </c>
      <c r="S214" s="5" t="s">
        <v>33</v>
      </c>
      <c r="T214" s="5" t="s">
        <v>34</v>
      </c>
      <c r="U214" s="5">
        <v>2</v>
      </c>
      <c r="V214" s="5" t="s">
        <v>35</v>
      </c>
    </row>
    <row r="215" spans="1:22" x14ac:dyDescent="0.3">
      <c r="A215" s="5" t="s">
        <v>613</v>
      </c>
      <c r="B215" s="6">
        <v>46104</v>
      </c>
      <c r="C215" s="5" t="s">
        <v>614</v>
      </c>
      <c r="D215" s="5" t="s">
        <v>151</v>
      </c>
      <c r="E215" s="5" t="s">
        <v>77</v>
      </c>
      <c r="F215" s="5" t="s">
        <v>78</v>
      </c>
      <c r="G215" s="5" t="s">
        <v>41</v>
      </c>
      <c r="H215" s="5" t="s">
        <v>52</v>
      </c>
      <c r="I215" s="5" t="s">
        <v>53</v>
      </c>
      <c r="J215" s="5" t="s">
        <v>54</v>
      </c>
      <c r="K215" s="5" t="s">
        <v>55</v>
      </c>
      <c r="L215" s="5">
        <v>5</v>
      </c>
      <c r="M215" s="5">
        <v>38622</v>
      </c>
      <c r="N215" s="5">
        <v>10</v>
      </c>
      <c r="O215" s="5">
        <v>173799</v>
      </c>
      <c r="P215" s="5">
        <v>148062.21</v>
      </c>
      <c r="Q215" s="5">
        <v>25736.79</v>
      </c>
      <c r="R215" s="5" t="s">
        <v>64</v>
      </c>
      <c r="S215" s="5" t="s">
        <v>82</v>
      </c>
      <c r="T215" s="5" t="s">
        <v>65</v>
      </c>
      <c r="U215" s="5">
        <v>2</v>
      </c>
      <c r="V215" s="5" t="s">
        <v>35</v>
      </c>
    </row>
    <row r="216" spans="1:22" x14ac:dyDescent="0.3">
      <c r="A216" s="5" t="s">
        <v>615</v>
      </c>
      <c r="B216" s="6">
        <v>46075</v>
      </c>
      <c r="C216" s="5" t="s">
        <v>607</v>
      </c>
      <c r="D216" s="5" t="s">
        <v>38</v>
      </c>
      <c r="E216" s="5" t="s">
        <v>59</v>
      </c>
      <c r="F216" s="5" t="s">
        <v>60</v>
      </c>
      <c r="G216" s="5" t="s">
        <v>61</v>
      </c>
      <c r="H216" s="5" t="s">
        <v>257</v>
      </c>
      <c r="I216" s="5" t="s">
        <v>258</v>
      </c>
      <c r="J216" s="5" t="s">
        <v>71</v>
      </c>
      <c r="K216" s="5" t="s">
        <v>81</v>
      </c>
      <c r="L216" s="5">
        <v>2</v>
      </c>
      <c r="M216" s="5">
        <v>10285</v>
      </c>
      <c r="N216" s="5">
        <v>5</v>
      </c>
      <c r="O216" s="5">
        <v>19541.5</v>
      </c>
      <c r="P216" s="5">
        <v>14442.66</v>
      </c>
      <c r="Q216" s="5">
        <v>5098.84</v>
      </c>
      <c r="R216" s="5" t="s">
        <v>44</v>
      </c>
      <c r="S216" s="5" t="s">
        <v>82</v>
      </c>
      <c r="T216" s="5" t="s">
        <v>73</v>
      </c>
      <c r="U216" s="5">
        <v>1</v>
      </c>
      <c r="V216" s="5" t="s">
        <v>35</v>
      </c>
    </row>
    <row r="217" spans="1:22" x14ac:dyDescent="0.3">
      <c r="A217" s="5" t="s">
        <v>616</v>
      </c>
      <c r="B217" s="6">
        <v>46037</v>
      </c>
      <c r="C217" s="5" t="s">
        <v>617</v>
      </c>
      <c r="D217" s="5" t="s">
        <v>58</v>
      </c>
      <c r="E217" s="5" t="s">
        <v>94</v>
      </c>
      <c r="F217" s="5" t="s">
        <v>26</v>
      </c>
      <c r="G217" s="5" t="s">
        <v>27</v>
      </c>
      <c r="H217" s="5" t="s">
        <v>168</v>
      </c>
      <c r="I217" s="5" t="s">
        <v>169</v>
      </c>
      <c r="J217" s="5" t="s">
        <v>102</v>
      </c>
      <c r="K217" s="5" t="s">
        <v>103</v>
      </c>
      <c r="L217" s="5">
        <v>2</v>
      </c>
      <c r="M217" s="5">
        <v>78747</v>
      </c>
      <c r="N217" s="5">
        <v>20</v>
      </c>
      <c r="O217" s="5">
        <v>125995.2</v>
      </c>
      <c r="P217" s="5">
        <v>120473.84</v>
      </c>
      <c r="Q217" s="5">
        <v>5521.36</v>
      </c>
      <c r="R217" s="5" t="s">
        <v>64</v>
      </c>
      <c r="S217" s="5" t="s">
        <v>33</v>
      </c>
      <c r="T217" s="5" t="s">
        <v>34</v>
      </c>
      <c r="U217" s="5">
        <v>1</v>
      </c>
      <c r="V217" s="5" t="s">
        <v>45</v>
      </c>
    </row>
    <row r="218" spans="1:22" x14ac:dyDescent="0.3">
      <c r="A218" s="5" t="s">
        <v>618</v>
      </c>
      <c r="B218" s="6">
        <v>46088</v>
      </c>
      <c r="C218" s="5" t="s">
        <v>423</v>
      </c>
      <c r="D218" s="5" t="s">
        <v>89</v>
      </c>
      <c r="E218" s="5" t="s">
        <v>49</v>
      </c>
      <c r="F218" s="5" t="s">
        <v>50</v>
      </c>
      <c r="G218" s="5" t="s">
        <v>51</v>
      </c>
      <c r="H218" s="5" t="s">
        <v>358</v>
      </c>
      <c r="I218" s="5" t="s">
        <v>359</v>
      </c>
      <c r="J218" s="5" t="s">
        <v>102</v>
      </c>
      <c r="K218" s="5" t="s">
        <v>103</v>
      </c>
      <c r="L218" s="5">
        <v>5</v>
      </c>
      <c r="M218" s="5">
        <v>27590</v>
      </c>
      <c r="N218" s="5">
        <v>0</v>
      </c>
      <c r="O218" s="5">
        <v>137950</v>
      </c>
      <c r="P218" s="5">
        <v>82559.78</v>
      </c>
      <c r="Q218" s="5">
        <v>55390.22</v>
      </c>
      <c r="R218" s="5" t="s">
        <v>44</v>
      </c>
      <c r="S218" s="5" t="s">
        <v>82</v>
      </c>
      <c r="T218" s="5" t="s">
        <v>34</v>
      </c>
      <c r="U218" s="5">
        <v>4</v>
      </c>
      <c r="V218" s="5" t="s">
        <v>45</v>
      </c>
    </row>
    <row r="219" spans="1:22" x14ac:dyDescent="0.3">
      <c r="A219" s="5" t="s">
        <v>619</v>
      </c>
      <c r="B219" s="6">
        <v>46167</v>
      </c>
      <c r="C219" s="5" t="s">
        <v>330</v>
      </c>
      <c r="D219" s="5" t="s">
        <v>76</v>
      </c>
      <c r="E219" s="5" t="s">
        <v>94</v>
      </c>
      <c r="F219" s="5" t="s">
        <v>26</v>
      </c>
      <c r="G219" s="5" t="s">
        <v>27</v>
      </c>
      <c r="H219" s="5" t="s">
        <v>457</v>
      </c>
      <c r="I219" s="5" t="s">
        <v>458</v>
      </c>
      <c r="J219" s="5" t="s">
        <v>71</v>
      </c>
      <c r="K219" s="5" t="s">
        <v>81</v>
      </c>
      <c r="L219" s="5">
        <v>4</v>
      </c>
      <c r="M219" s="5">
        <v>36177</v>
      </c>
      <c r="N219" s="5">
        <v>15</v>
      </c>
      <c r="O219" s="5">
        <v>123001.8</v>
      </c>
      <c r="P219" s="5">
        <v>101779.39</v>
      </c>
      <c r="Q219" s="5">
        <v>21222.41</v>
      </c>
      <c r="R219" s="5" t="s">
        <v>44</v>
      </c>
      <c r="S219" s="5" t="s">
        <v>82</v>
      </c>
      <c r="T219" s="5" t="s">
        <v>73</v>
      </c>
      <c r="U219" s="5">
        <v>5</v>
      </c>
      <c r="V219" s="5" t="s">
        <v>45</v>
      </c>
    </row>
    <row r="220" spans="1:22" x14ac:dyDescent="0.3">
      <c r="A220" s="5" t="s">
        <v>620</v>
      </c>
      <c r="B220" s="6">
        <v>46140</v>
      </c>
      <c r="C220" s="5" t="s">
        <v>621</v>
      </c>
      <c r="D220" s="5" t="s">
        <v>24</v>
      </c>
      <c r="E220" s="5" t="s">
        <v>25</v>
      </c>
      <c r="F220" s="5" t="s">
        <v>26</v>
      </c>
      <c r="G220" s="5" t="s">
        <v>27</v>
      </c>
      <c r="H220" s="5" t="s">
        <v>324</v>
      </c>
      <c r="I220" s="5" t="s">
        <v>325</v>
      </c>
      <c r="J220" s="5" t="s">
        <v>54</v>
      </c>
      <c r="K220" s="5" t="s">
        <v>55</v>
      </c>
      <c r="L220" s="5">
        <v>4</v>
      </c>
      <c r="M220" s="5">
        <v>59151</v>
      </c>
      <c r="N220" s="5">
        <v>5</v>
      </c>
      <c r="O220" s="5">
        <v>224773.8</v>
      </c>
      <c r="P220" s="5">
        <v>146053.34</v>
      </c>
      <c r="Q220" s="5">
        <v>78720.460000000006</v>
      </c>
      <c r="R220" s="5" t="s">
        <v>32</v>
      </c>
      <c r="S220" s="5" t="s">
        <v>82</v>
      </c>
      <c r="T220" s="5" t="s">
        <v>65</v>
      </c>
      <c r="U220" s="5">
        <v>2</v>
      </c>
      <c r="V220" s="5" t="s">
        <v>45</v>
      </c>
    </row>
    <row r="221" spans="1:22" x14ac:dyDescent="0.3">
      <c r="A221" s="5" t="s">
        <v>622</v>
      </c>
      <c r="B221" s="6">
        <v>46073</v>
      </c>
      <c r="C221" s="5" t="s">
        <v>623</v>
      </c>
      <c r="D221" s="5" t="s">
        <v>38</v>
      </c>
      <c r="E221" s="5" t="s">
        <v>126</v>
      </c>
      <c r="F221" s="5" t="s">
        <v>126</v>
      </c>
      <c r="G221" s="5" t="s">
        <v>51</v>
      </c>
      <c r="H221" s="5" t="s">
        <v>312</v>
      </c>
      <c r="I221" s="5" t="s">
        <v>313</v>
      </c>
      <c r="J221" s="5" t="s">
        <v>54</v>
      </c>
      <c r="K221" s="5" t="s">
        <v>97</v>
      </c>
      <c r="L221" s="5">
        <v>1</v>
      </c>
      <c r="M221" s="5">
        <v>57199</v>
      </c>
      <c r="N221" s="5">
        <v>20</v>
      </c>
      <c r="O221" s="5">
        <v>45759.199999999997</v>
      </c>
      <c r="P221" s="5">
        <v>35936.49</v>
      </c>
      <c r="Q221" s="5">
        <v>9822.7099999999991</v>
      </c>
      <c r="R221" s="5" t="s">
        <v>44</v>
      </c>
      <c r="S221" s="5" t="s">
        <v>33</v>
      </c>
      <c r="T221" s="5" t="s">
        <v>73</v>
      </c>
      <c r="U221" s="5">
        <v>2</v>
      </c>
      <c r="V221" s="5" t="s">
        <v>45</v>
      </c>
    </row>
    <row r="222" spans="1:22" x14ac:dyDescent="0.3">
      <c r="A222" s="5" t="s">
        <v>624</v>
      </c>
      <c r="B222" s="6">
        <v>46174</v>
      </c>
      <c r="C222" s="5" t="s">
        <v>625</v>
      </c>
      <c r="D222" s="5" t="s">
        <v>117</v>
      </c>
      <c r="E222" s="5" t="s">
        <v>59</v>
      </c>
      <c r="F222" s="5" t="s">
        <v>60</v>
      </c>
      <c r="G222" s="5" t="s">
        <v>61</v>
      </c>
      <c r="H222" s="5" t="s">
        <v>62</v>
      </c>
      <c r="I222" s="5" t="s">
        <v>63</v>
      </c>
      <c r="J222" s="5" t="s">
        <v>54</v>
      </c>
      <c r="K222" s="5" t="s">
        <v>55</v>
      </c>
      <c r="L222" s="5">
        <v>4</v>
      </c>
      <c r="M222" s="5">
        <v>42631</v>
      </c>
      <c r="N222" s="5">
        <v>5</v>
      </c>
      <c r="O222" s="5">
        <v>161997.79999999999</v>
      </c>
      <c r="P222" s="5">
        <v>140177.60999999999</v>
      </c>
      <c r="Q222" s="5">
        <v>21820.19</v>
      </c>
      <c r="R222" s="5" t="s">
        <v>32</v>
      </c>
      <c r="S222" s="5" t="s">
        <v>33</v>
      </c>
      <c r="T222" s="5" t="s">
        <v>34</v>
      </c>
      <c r="U222" s="5">
        <v>2</v>
      </c>
      <c r="V222" s="5" t="s">
        <v>45</v>
      </c>
    </row>
    <row r="223" spans="1:22" x14ac:dyDescent="0.3">
      <c r="A223" s="5" t="s">
        <v>626</v>
      </c>
      <c r="B223" s="6">
        <v>46121</v>
      </c>
      <c r="C223" s="5" t="s">
        <v>309</v>
      </c>
      <c r="D223" s="5" t="s">
        <v>117</v>
      </c>
      <c r="E223" s="5" t="s">
        <v>77</v>
      </c>
      <c r="F223" s="5" t="s">
        <v>78</v>
      </c>
      <c r="G223" s="5" t="s">
        <v>41</v>
      </c>
      <c r="H223" s="5" t="s">
        <v>391</v>
      </c>
      <c r="I223" s="5" t="s">
        <v>392</v>
      </c>
      <c r="J223" s="5" t="s">
        <v>54</v>
      </c>
      <c r="K223" s="5" t="s">
        <v>55</v>
      </c>
      <c r="L223" s="5">
        <v>1</v>
      </c>
      <c r="M223" s="5">
        <v>18557</v>
      </c>
      <c r="N223" s="5">
        <v>10</v>
      </c>
      <c r="O223" s="5">
        <v>16701.3</v>
      </c>
      <c r="P223" s="5">
        <v>11967.77</v>
      </c>
      <c r="Q223" s="5">
        <v>4733.53</v>
      </c>
      <c r="R223" s="5" t="s">
        <v>32</v>
      </c>
      <c r="S223" s="5" t="s">
        <v>33</v>
      </c>
      <c r="T223" s="5" t="s">
        <v>34</v>
      </c>
      <c r="U223" s="5">
        <v>3</v>
      </c>
      <c r="V223" s="5" t="s">
        <v>35</v>
      </c>
    </row>
    <row r="224" spans="1:22" x14ac:dyDescent="0.3">
      <c r="A224" s="5" t="s">
        <v>627</v>
      </c>
      <c r="B224" s="6">
        <v>46186</v>
      </c>
      <c r="C224" s="5" t="s">
        <v>628</v>
      </c>
      <c r="D224" s="5" t="s">
        <v>58</v>
      </c>
      <c r="E224" s="5" t="s">
        <v>25</v>
      </c>
      <c r="F224" s="5" t="s">
        <v>26</v>
      </c>
      <c r="G224" s="5" t="s">
        <v>27</v>
      </c>
      <c r="H224" s="5" t="s">
        <v>28</v>
      </c>
      <c r="I224" s="5" t="s">
        <v>29</v>
      </c>
      <c r="J224" s="5" t="s">
        <v>30</v>
      </c>
      <c r="K224" s="5" t="s">
        <v>31</v>
      </c>
      <c r="L224" s="5">
        <v>2</v>
      </c>
      <c r="M224" s="5">
        <v>38539</v>
      </c>
      <c r="N224" s="5">
        <v>0</v>
      </c>
      <c r="O224" s="5">
        <v>77078</v>
      </c>
      <c r="P224" s="5">
        <v>43628.12</v>
      </c>
      <c r="Q224" s="5">
        <v>33449.879999999997</v>
      </c>
      <c r="R224" s="5" t="s">
        <v>32</v>
      </c>
      <c r="S224" s="5" t="s">
        <v>82</v>
      </c>
      <c r="T224" s="5" t="s">
        <v>34</v>
      </c>
      <c r="U224" s="5">
        <v>2</v>
      </c>
      <c r="V224" s="5" t="s">
        <v>45</v>
      </c>
    </row>
    <row r="225" spans="1:22" x14ac:dyDescent="0.3">
      <c r="A225" s="5" t="s">
        <v>629</v>
      </c>
      <c r="B225" s="6">
        <v>46085</v>
      </c>
      <c r="C225" s="5" t="s">
        <v>592</v>
      </c>
      <c r="D225" s="5" t="s">
        <v>89</v>
      </c>
      <c r="E225" s="5" t="s">
        <v>49</v>
      </c>
      <c r="F225" s="5" t="s">
        <v>50</v>
      </c>
      <c r="G225" s="5" t="s">
        <v>51</v>
      </c>
      <c r="H225" s="5" t="s">
        <v>210</v>
      </c>
      <c r="I225" s="5" t="s">
        <v>211</v>
      </c>
      <c r="J225" s="5" t="s">
        <v>102</v>
      </c>
      <c r="K225" s="5" t="s">
        <v>103</v>
      </c>
      <c r="L225" s="5">
        <v>5</v>
      </c>
      <c r="M225" s="5">
        <v>32189</v>
      </c>
      <c r="N225" s="5">
        <v>0</v>
      </c>
      <c r="O225" s="5">
        <v>160945</v>
      </c>
      <c r="P225" s="5">
        <v>132400.78</v>
      </c>
      <c r="Q225" s="5">
        <v>28544.22</v>
      </c>
      <c r="R225" s="5" t="s">
        <v>44</v>
      </c>
      <c r="S225" s="5" t="s">
        <v>82</v>
      </c>
      <c r="T225" s="5" t="s">
        <v>65</v>
      </c>
      <c r="U225" s="5">
        <v>3</v>
      </c>
      <c r="V225" s="5" t="s">
        <v>35</v>
      </c>
    </row>
    <row r="226" spans="1:22" x14ac:dyDescent="0.3">
      <c r="A226" s="5" t="s">
        <v>630</v>
      </c>
      <c r="B226" s="6">
        <v>46149</v>
      </c>
      <c r="C226" s="5" t="s">
        <v>631</v>
      </c>
      <c r="D226" s="5" t="s">
        <v>58</v>
      </c>
      <c r="E226" s="5" t="s">
        <v>39</v>
      </c>
      <c r="F226" s="5" t="s">
        <v>40</v>
      </c>
      <c r="G226" s="5" t="s">
        <v>41</v>
      </c>
      <c r="H226" s="5" t="s">
        <v>396</v>
      </c>
      <c r="I226" s="5" t="s">
        <v>397</v>
      </c>
      <c r="J226" s="5" t="s">
        <v>54</v>
      </c>
      <c r="K226" s="5" t="s">
        <v>55</v>
      </c>
      <c r="L226" s="5">
        <v>1</v>
      </c>
      <c r="M226" s="5">
        <v>44235</v>
      </c>
      <c r="N226" s="5">
        <v>10</v>
      </c>
      <c r="O226" s="5">
        <v>39811.5</v>
      </c>
      <c r="P226" s="5">
        <v>27463.65</v>
      </c>
      <c r="Q226" s="5">
        <v>12347.85</v>
      </c>
      <c r="R226" s="5" t="s">
        <v>64</v>
      </c>
      <c r="S226" s="5" t="s">
        <v>33</v>
      </c>
      <c r="T226" s="5" t="s">
        <v>65</v>
      </c>
      <c r="U226" s="5">
        <v>5</v>
      </c>
      <c r="V226" s="5" t="s">
        <v>45</v>
      </c>
    </row>
    <row r="227" spans="1:22" x14ac:dyDescent="0.3">
      <c r="A227" s="5" t="s">
        <v>632</v>
      </c>
      <c r="B227" s="6">
        <v>46109</v>
      </c>
      <c r="C227" s="5" t="s">
        <v>345</v>
      </c>
      <c r="D227" s="5" t="s">
        <v>24</v>
      </c>
      <c r="E227" s="5" t="s">
        <v>49</v>
      </c>
      <c r="F227" s="5" t="s">
        <v>50</v>
      </c>
      <c r="G227" s="5" t="s">
        <v>51</v>
      </c>
      <c r="H227" s="5" t="s">
        <v>131</v>
      </c>
      <c r="I227" s="5" t="s">
        <v>132</v>
      </c>
      <c r="J227" s="5" t="s">
        <v>71</v>
      </c>
      <c r="K227" s="5" t="s">
        <v>81</v>
      </c>
      <c r="L227" s="5">
        <v>4</v>
      </c>
      <c r="M227" s="5">
        <v>42376</v>
      </c>
      <c r="N227" s="5">
        <v>20</v>
      </c>
      <c r="O227" s="5">
        <v>135603.20000000001</v>
      </c>
      <c r="P227" s="5">
        <v>113695.34</v>
      </c>
      <c r="Q227" s="5">
        <v>21907.86</v>
      </c>
      <c r="R227" s="5" t="s">
        <v>64</v>
      </c>
      <c r="S227" s="5" t="s">
        <v>33</v>
      </c>
      <c r="T227" s="5" t="s">
        <v>34</v>
      </c>
      <c r="U227" s="5">
        <v>1</v>
      </c>
      <c r="V227" s="5" t="s">
        <v>45</v>
      </c>
    </row>
    <row r="228" spans="1:22" x14ac:dyDescent="0.3">
      <c r="A228" s="5" t="s">
        <v>633</v>
      </c>
      <c r="B228" s="6">
        <v>46188</v>
      </c>
      <c r="C228" s="5" t="s">
        <v>298</v>
      </c>
      <c r="D228" s="5" t="s">
        <v>68</v>
      </c>
      <c r="E228" s="5" t="s">
        <v>25</v>
      </c>
      <c r="F228" s="5" t="s">
        <v>26</v>
      </c>
      <c r="G228" s="5" t="s">
        <v>27</v>
      </c>
      <c r="H228" s="5" t="s">
        <v>457</v>
      </c>
      <c r="I228" s="5" t="s">
        <v>458</v>
      </c>
      <c r="J228" s="5" t="s">
        <v>71</v>
      </c>
      <c r="K228" s="5" t="s">
        <v>81</v>
      </c>
      <c r="L228" s="5">
        <v>1</v>
      </c>
      <c r="M228" s="5">
        <v>10157</v>
      </c>
      <c r="N228" s="5">
        <v>5</v>
      </c>
      <c r="O228" s="5">
        <v>9649.15</v>
      </c>
      <c r="P228" s="5">
        <v>6946.24</v>
      </c>
      <c r="Q228" s="5">
        <v>2702.91</v>
      </c>
      <c r="R228" s="5" t="s">
        <v>64</v>
      </c>
      <c r="S228" s="5" t="s">
        <v>82</v>
      </c>
      <c r="T228" s="5" t="s">
        <v>34</v>
      </c>
      <c r="U228" s="5">
        <v>1</v>
      </c>
      <c r="V228" s="5" t="s">
        <v>35</v>
      </c>
    </row>
    <row r="229" spans="1:22" x14ac:dyDescent="0.3">
      <c r="A229" s="5" t="s">
        <v>634</v>
      </c>
      <c r="B229" s="6">
        <v>46151</v>
      </c>
      <c r="C229" s="5" t="s">
        <v>471</v>
      </c>
      <c r="D229" s="5" t="s">
        <v>48</v>
      </c>
      <c r="E229" s="5" t="s">
        <v>59</v>
      </c>
      <c r="F229" s="5" t="s">
        <v>60</v>
      </c>
      <c r="G229" s="5" t="s">
        <v>61</v>
      </c>
      <c r="H229" s="5" t="s">
        <v>206</v>
      </c>
      <c r="I229" s="5" t="s">
        <v>207</v>
      </c>
      <c r="J229" s="5" t="s">
        <v>30</v>
      </c>
      <c r="K229" s="5" t="s">
        <v>31</v>
      </c>
      <c r="L229" s="5">
        <v>1</v>
      </c>
      <c r="M229" s="5">
        <v>19683</v>
      </c>
      <c r="N229" s="5">
        <v>0</v>
      </c>
      <c r="O229" s="5">
        <v>19683</v>
      </c>
      <c r="P229" s="5">
        <v>11281.87</v>
      </c>
      <c r="Q229" s="5">
        <v>8401.1299999999992</v>
      </c>
      <c r="R229" s="5" t="s">
        <v>44</v>
      </c>
      <c r="S229" s="5" t="s">
        <v>33</v>
      </c>
      <c r="T229" s="5" t="s">
        <v>73</v>
      </c>
      <c r="U229" s="5">
        <v>2</v>
      </c>
      <c r="V229" s="5" t="s">
        <v>45</v>
      </c>
    </row>
    <row r="230" spans="1:22" x14ac:dyDescent="0.3">
      <c r="A230" s="5" t="s">
        <v>635</v>
      </c>
      <c r="B230" s="6">
        <v>46111</v>
      </c>
      <c r="C230" s="5" t="s">
        <v>75</v>
      </c>
      <c r="D230" s="5" t="s">
        <v>151</v>
      </c>
      <c r="E230" s="5" t="s">
        <v>77</v>
      </c>
      <c r="F230" s="5" t="s">
        <v>78</v>
      </c>
      <c r="G230" s="5" t="s">
        <v>41</v>
      </c>
      <c r="H230" s="5" t="s">
        <v>231</v>
      </c>
      <c r="I230" s="5" t="s">
        <v>232</v>
      </c>
      <c r="J230" s="5" t="s">
        <v>54</v>
      </c>
      <c r="K230" s="5" t="s">
        <v>97</v>
      </c>
      <c r="L230" s="5">
        <v>2</v>
      </c>
      <c r="M230" s="5">
        <v>69228</v>
      </c>
      <c r="N230" s="5">
        <v>10</v>
      </c>
      <c r="O230" s="5">
        <v>124610.4</v>
      </c>
      <c r="P230" s="5">
        <v>90806.21</v>
      </c>
      <c r="Q230" s="5">
        <v>33804.19</v>
      </c>
      <c r="R230" s="5" t="s">
        <v>64</v>
      </c>
      <c r="S230" s="5" t="s">
        <v>82</v>
      </c>
      <c r="T230" s="5" t="s">
        <v>34</v>
      </c>
      <c r="U230" s="5">
        <v>3</v>
      </c>
      <c r="V230" s="5" t="s">
        <v>35</v>
      </c>
    </row>
    <row r="231" spans="1:22" x14ac:dyDescent="0.3">
      <c r="A231" s="5" t="s">
        <v>636</v>
      </c>
      <c r="B231" s="6">
        <v>46115</v>
      </c>
      <c r="C231" s="5" t="s">
        <v>637</v>
      </c>
      <c r="D231" s="5" t="s">
        <v>38</v>
      </c>
      <c r="E231" s="5" t="s">
        <v>94</v>
      </c>
      <c r="F231" s="5" t="s">
        <v>26</v>
      </c>
      <c r="G231" s="5" t="s">
        <v>27</v>
      </c>
      <c r="H231" s="5" t="s">
        <v>461</v>
      </c>
      <c r="I231" s="5" t="s">
        <v>462</v>
      </c>
      <c r="J231" s="5" t="s">
        <v>71</v>
      </c>
      <c r="K231" s="5" t="s">
        <v>72</v>
      </c>
      <c r="L231" s="5">
        <v>5</v>
      </c>
      <c r="M231" s="5">
        <v>70098</v>
      </c>
      <c r="N231" s="5">
        <v>20</v>
      </c>
      <c r="O231" s="5">
        <v>280392</v>
      </c>
      <c r="P231" s="5">
        <v>276894.42</v>
      </c>
      <c r="Q231" s="5">
        <v>3497.58</v>
      </c>
      <c r="R231" s="5" t="s">
        <v>32</v>
      </c>
      <c r="S231" s="5" t="s">
        <v>82</v>
      </c>
      <c r="T231" s="5" t="s">
        <v>34</v>
      </c>
      <c r="U231" s="5">
        <v>3</v>
      </c>
      <c r="V231" s="5" t="s">
        <v>35</v>
      </c>
    </row>
    <row r="232" spans="1:22" x14ac:dyDescent="0.3">
      <c r="A232" s="5" t="s">
        <v>638</v>
      </c>
      <c r="B232" s="6">
        <v>46180</v>
      </c>
      <c r="C232" s="5" t="s">
        <v>639</v>
      </c>
      <c r="D232" s="5" t="s">
        <v>110</v>
      </c>
      <c r="E232" s="5" t="s">
        <v>94</v>
      </c>
      <c r="F232" s="5" t="s">
        <v>26</v>
      </c>
      <c r="G232" s="5" t="s">
        <v>27</v>
      </c>
      <c r="H232" s="5" t="s">
        <v>640</v>
      </c>
      <c r="I232" s="5" t="s">
        <v>641</v>
      </c>
      <c r="J232" s="5" t="s">
        <v>54</v>
      </c>
      <c r="K232" s="5" t="s">
        <v>97</v>
      </c>
      <c r="L232" s="5">
        <v>4</v>
      </c>
      <c r="M232" s="5">
        <v>13705</v>
      </c>
      <c r="N232" s="5">
        <v>10</v>
      </c>
      <c r="O232" s="5">
        <v>49338</v>
      </c>
      <c r="P232" s="5">
        <v>34379.56</v>
      </c>
      <c r="Q232" s="5">
        <v>14958.44</v>
      </c>
      <c r="R232" s="5" t="s">
        <v>32</v>
      </c>
      <c r="S232" s="5" t="s">
        <v>33</v>
      </c>
      <c r="T232" s="5" t="s">
        <v>65</v>
      </c>
      <c r="U232" s="5">
        <v>5</v>
      </c>
      <c r="V232" s="5" t="s">
        <v>45</v>
      </c>
    </row>
    <row r="233" spans="1:22" x14ac:dyDescent="0.3">
      <c r="A233" s="5" t="s">
        <v>642</v>
      </c>
      <c r="B233" s="6">
        <v>46192</v>
      </c>
      <c r="C233" s="5" t="s">
        <v>643</v>
      </c>
      <c r="D233" s="5" t="s">
        <v>68</v>
      </c>
      <c r="E233" s="5" t="s">
        <v>25</v>
      </c>
      <c r="F233" s="5" t="s">
        <v>26</v>
      </c>
      <c r="G233" s="5" t="s">
        <v>27</v>
      </c>
      <c r="H233" s="5" t="s">
        <v>127</v>
      </c>
      <c r="I233" s="5" t="s">
        <v>128</v>
      </c>
      <c r="J233" s="5" t="s">
        <v>102</v>
      </c>
      <c r="K233" s="5" t="s">
        <v>103</v>
      </c>
      <c r="L233" s="5">
        <v>4</v>
      </c>
      <c r="M233" s="5">
        <v>41913</v>
      </c>
      <c r="N233" s="5">
        <v>5</v>
      </c>
      <c r="O233" s="5">
        <v>159269.4</v>
      </c>
      <c r="P233" s="5">
        <v>121838.19</v>
      </c>
      <c r="Q233" s="5">
        <v>37431.21</v>
      </c>
      <c r="R233" s="5" t="s">
        <v>64</v>
      </c>
      <c r="S233" s="5" t="s">
        <v>33</v>
      </c>
      <c r="T233" s="5" t="s">
        <v>65</v>
      </c>
      <c r="U233" s="5">
        <v>3</v>
      </c>
      <c r="V233" s="5" t="s">
        <v>35</v>
      </c>
    </row>
    <row r="234" spans="1:22" x14ac:dyDescent="0.3">
      <c r="A234" s="5" t="s">
        <v>644</v>
      </c>
      <c r="B234" s="6">
        <v>46060</v>
      </c>
      <c r="C234" s="5" t="s">
        <v>645</v>
      </c>
      <c r="D234" s="5" t="s">
        <v>24</v>
      </c>
      <c r="E234" s="5" t="s">
        <v>126</v>
      </c>
      <c r="F234" s="5" t="s">
        <v>126</v>
      </c>
      <c r="G234" s="5" t="s">
        <v>51</v>
      </c>
      <c r="H234" s="5" t="s">
        <v>479</v>
      </c>
      <c r="I234" s="5" t="s">
        <v>480</v>
      </c>
      <c r="J234" s="5" t="s">
        <v>71</v>
      </c>
      <c r="K234" s="5" t="s">
        <v>72</v>
      </c>
      <c r="L234" s="5">
        <v>4</v>
      </c>
      <c r="M234" s="5">
        <v>65387</v>
      </c>
      <c r="N234" s="5">
        <v>20</v>
      </c>
      <c r="O234" s="5">
        <v>209238.39999999999</v>
      </c>
      <c r="P234" s="5">
        <v>200180.4</v>
      </c>
      <c r="Q234" s="5">
        <v>9058</v>
      </c>
      <c r="R234" s="5" t="s">
        <v>64</v>
      </c>
      <c r="S234" s="5" t="s">
        <v>33</v>
      </c>
      <c r="T234" s="5" t="s">
        <v>73</v>
      </c>
      <c r="U234" s="5">
        <v>3</v>
      </c>
      <c r="V234" s="5" t="s">
        <v>35</v>
      </c>
    </row>
    <row r="235" spans="1:22" x14ac:dyDescent="0.3">
      <c r="A235" s="5" t="s">
        <v>646</v>
      </c>
      <c r="B235" s="6">
        <v>46166</v>
      </c>
      <c r="C235" s="5" t="s">
        <v>647</v>
      </c>
      <c r="D235" s="5" t="s">
        <v>117</v>
      </c>
      <c r="E235" s="5" t="s">
        <v>94</v>
      </c>
      <c r="F235" s="5" t="s">
        <v>26</v>
      </c>
      <c r="G235" s="5" t="s">
        <v>27</v>
      </c>
      <c r="H235" s="5" t="s">
        <v>127</v>
      </c>
      <c r="I235" s="5" t="s">
        <v>128</v>
      </c>
      <c r="J235" s="5" t="s">
        <v>102</v>
      </c>
      <c r="K235" s="5" t="s">
        <v>103</v>
      </c>
      <c r="L235" s="5">
        <v>2</v>
      </c>
      <c r="M235" s="5">
        <v>12074</v>
      </c>
      <c r="N235" s="5">
        <v>5</v>
      </c>
      <c r="O235" s="5">
        <v>22940.6</v>
      </c>
      <c r="P235" s="5">
        <v>14612.4</v>
      </c>
      <c r="Q235" s="5">
        <v>8328.2000000000007</v>
      </c>
      <c r="R235" s="5" t="s">
        <v>44</v>
      </c>
      <c r="S235" s="5" t="s">
        <v>33</v>
      </c>
      <c r="T235" s="5" t="s">
        <v>73</v>
      </c>
      <c r="U235" s="5">
        <v>3</v>
      </c>
      <c r="V235" s="5" t="s">
        <v>45</v>
      </c>
    </row>
    <row r="236" spans="1:22" x14ac:dyDescent="0.3">
      <c r="A236" s="5" t="s">
        <v>648</v>
      </c>
      <c r="B236" s="6">
        <v>46159</v>
      </c>
      <c r="C236" s="5" t="s">
        <v>645</v>
      </c>
      <c r="D236" s="5" t="s">
        <v>151</v>
      </c>
      <c r="E236" s="5" t="s">
        <v>94</v>
      </c>
      <c r="F236" s="5" t="s">
        <v>26</v>
      </c>
      <c r="G236" s="5" t="s">
        <v>27</v>
      </c>
      <c r="H236" s="5" t="s">
        <v>451</v>
      </c>
      <c r="I236" s="5" t="s">
        <v>452</v>
      </c>
      <c r="J236" s="5" t="s">
        <v>30</v>
      </c>
      <c r="K236" s="5" t="s">
        <v>31</v>
      </c>
      <c r="L236" s="5">
        <v>4</v>
      </c>
      <c r="M236" s="5">
        <v>3136</v>
      </c>
      <c r="N236" s="5">
        <v>10</v>
      </c>
      <c r="O236" s="5">
        <v>11289.6</v>
      </c>
      <c r="P236" s="5">
        <v>7861.63</v>
      </c>
      <c r="Q236" s="5">
        <v>3427.97</v>
      </c>
      <c r="R236" s="5" t="s">
        <v>44</v>
      </c>
      <c r="S236" s="5" t="s">
        <v>82</v>
      </c>
      <c r="T236" s="5" t="s">
        <v>34</v>
      </c>
      <c r="U236" s="5">
        <v>3</v>
      </c>
      <c r="V236" s="5" t="s">
        <v>35</v>
      </c>
    </row>
    <row r="237" spans="1:22" x14ac:dyDescent="0.3">
      <c r="A237" s="5" t="s">
        <v>649</v>
      </c>
      <c r="B237" s="6">
        <v>46100</v>
      </c>
      <c r="C237" s="5" t="s">
        <v>650</v>
      </c>
      <c r="D237" s="5" t="s">
        <v>38</v>
      </c>
      <c r="E237" s="5" t="s">
        <v>126</v>
      </c>
      <c r="F237" s="5" t="s">
        <v>126</v>
      </c>
      <c r="G237" s="5" t="s">
        <v>51</v>
      </c>
      <c r="H237" s="5" t="s">
        <v>180</v>
      </c>
      <c r="I237" s="5" t="s">
        <v>181</v>
      </c>
      <c r="J237" s="5" t="s">
        <v>54</v>
      </c>
      <c r="K237" s="5" t="s">
        <v>55</v>
      </c>
      <c r="L237" s="5">
        <v>4</v>
      </c>
      <c r="M237" s="5">
        <v>43222</v>
      </c>
      <c r="N237" s="5">
        <v>5</v>
      </c>
      <c r="O237" s="5">
        <v>164243.6</v>
      </c>
      <c r="P237" s="5">
        <v>111631.81</v>
      </c>
      <c r="Q237" s="5">
        <v>52611.79</v>
      </c>
      <c r="R237" s="5" t="s">
        <v>64</v>
      </c>
      <c r="S237" s="5" t="s">
        <v>82</v>
      </c>
      <c r="T237" s="5" t="s">
        <v>73</v>
      </c>
      <c r="U237" s="5">
        <v>3</v>
      </c>
      <c r="V237" s="5" t="s">
        <v>35</v>
      </c>
    </row>
    <row r="238" spans="1:22" x14ac:dyDescent="0.3">
      <c r="A238" s="5" t="s">
        <v>651</v>
      </c>
      <c r="B238" s="6">
        <v>46187</v>
      </c>
      <c r="C238" s="5" t="s">
        <v>652</v>
      </c>
      <c r="D238" s="5" t="s">
        <v>76</v>
      </c>
      <c r="E238" s="5" t="s">
        <v>77</v>
      </c>
      <c r="F238" s="5" t="s">
        <v>78</v>
      </c>
      <c r="G238" s="5" t="s">
        <v>41</v>
      </c>
      <c r="H238" s="5" t="s">
        <v>245</v>
      </c>
      <c r="I238" s="5" t="s">
        <v>246</v>
      </c>
      <c r="J238" s="5" t="s">
        <v>54</v>
      </c>
      <c r="K238" s="5" t="s">
        <v>97</v>
      </c>
      <c r="L238" s="5">
        <v>1</v>
      </c>
      <c r="M238" s="5">
        <v>59380</v>
      </c>
      <c r="N238" s="5">
        <v>0</v>
      </c>
      <c r="O238" s="5">
        <v>59380</v>
      </c>
      <c r="P238" s="5">
        <v>32982.85</v>
      </c>
      <c r="Q238" s="5">
        <v>26397.15</v>
      </c>
      <c r="R238" s="5" t="s">
        <v>32</v>
      </c>
      <c r="S238" s="5" t="s">
        <v>33</v>
      </c>
      <c r="T238" s="5" t="s">
        <v>65</v>
      </c>
      <c r="U238" s="5">
        <v>1</v>
      </c>
      <c r="V238" s="5" t="s">
        <v>35</v>
      </c>
    </row>
    <row r="239" spans="1:22" x14ac:dyDescent="0.3">
      <c r="A239" s="5" t="s">
        <v>653</v>
      </c>
      <c r="B239" s="6">
        <v>46106</v>
      </c>
      <c r="C239" s="5" t="s">
        <v>654</v>
      </c>
      <c r="D239" s="5" t="s">
        <v>151</v>
      </c>
      <c r="E239" s="5" t="s">
        <v>77</v>
      </c>
      <c r="F239" s="5" t="s">
        <v>78</v>
      </c>
      <c r="G239" s="5" t="s">
        <v>41</v>
      </c>
      <c r="H239" s="5" t="s">
        <v>28</v>
      </c>
      <c r="I239" s="5" t="s">
        <v>29</v>
      </c>
      <c r="J239" s="5" t="s">
        <v>30</v>
      </c>
      <c r="K239" s="5" t="s">
        <v>31</v>
      </c>
      <c r="L239" s="5">
        <v>4</v>
      </c>
      <c r="M239" s="5">
        <v>50377</v>
      </c>
      <c r="N239" s="5">
        <v>5</v>
      </c>
      <c r="O239" s="5">
        <v>191432.6</v>
      </c>
      <c r="P239" s="5">
        <v>165901</v>
      </c>
      <c r="Q239" s="5">
        <v>25531.599999999999</v>
      </c>
      <c r="R239" s="5" t="s">
        <v>64</v>
      </c>
      <c r="S239" s="5" t="s">
        <v>33</v>
      </c>
      <c r="T239" s="5" t="s">
        <v>65</v>
      </c>
      <c r="U239" s="5">
        <v>5</v>
      </c>
      <c r="V239" s="5" t="s">
        <v>45</v>
      </c>
    </row>
    <row r="240" spans="1:22" x14ac:dyDescent="0.3">
      <c r="A240" s="5" t="s">
        <v>655</v>
      </c>
      <c r="B240" s="6">
        <v>46085</v>
      </c>
      <c r="C240" s="5" t="s">
        <v>656</v>
      </c>
      <c r="D240" s="5" t="s">
        <v>48</v>
      </c>
      <c r="E240" s="5" t="s">
        <v>77</v>
      </c>
      <c r="F240" s="5" t="s">
        <v>78</v>
      </c>
      <c r="G240" s="5" t="s">
        <v>41</v>
      </c>
      <c r="H240" s="5" t="s">
        <v>176</v>
      </c>
      <c r="I240" s="5" t="s">
        <v>177</v>
      </c>
      <c r="J240" s="5" t="s">
        <v>54</v>
      </c>
      <c r="K240" s="5" t="s">
        <v>97</v>
      </c>
      <c r="L240" s="5">
        <v>3</v>
      </c>
      <c r="M240" s="5">
        <v>45404</v>
      </c>
      <c r="N240" s="5">
        <v>5</v>
      </c>
      <c r="O240" s="5">
        <v>129401.4</v>
      </c>
      <c r="P240" s="5">
        <v>101777.87</v>
      </c>
      <c r="Q240" s="5">
        <v>27623.53</v>
      </c>
      <c r="R240" s="5" t="s">
        <v>64</v>
      </c>
      <c r="S240" s="5" t="s">
        <v>33</v>
      </c>
      <c r="T240" s="5" t="s">
        <v>34</v>
      </c>
      <c r="U240" s="5">
        <v>2</v>
      </c>
      <c r="V240" s="5" t="s">
        <v>35</v>
      </c>
    </row>
    <row r="241" spans="1:22" x14ac:dyDescent="0.3">
      <c r="A241" s="5" t="s">
        <v>657</v>
      </c>
      <c r="B241" s="6">
        <v>46148</v>
      </c>
      <c r="C241" s="5" t="s">
        <v>552</v>
      </c>
      <c r="D241" s="5" t="s">
        <v>76</v>
      </c>
      <c r="E241" s="5" t="s">
        <v>39</v>
      </c>
      <c r="F241" s="5" t="s">
        <v>40</v>
      </c>
      <c r="G241" s="5" t="s">
        <v>41</v>
      </c>
      <c r="H241" s="5" t="s">
        <v>486</v>
      </c>
      <c r="I241" s="5" t="s">
        <v>487</v>
      </c>
      <c r="J241" s="5" t="s">
        <v>71</v>
      </c>
      <c r="K241" s="5" t="s">
        <v>81</v>
      </c>
      <c r="L241" s="5">
        <v>2</v>
      </c>
      <c r="M241" s="5">
        <v>14950</v>
      </c>
      <c r="N241" s="5">
        <v>10</v>
      </c>
      <c r="O241" s="5">
        <v>26910</v>
      </c>
      <c r="P241" s="5">
        <v>17224.349999999999</v>
      </c>
      <c r="Q241" s="5">
        <v>9685.65</v>
      </c>
      <c r="R241" s="5" t="s">
        <v>44</v>
      </c>
      <c r="S241" s="5" t="s">
        <v>33</v>
      </c>
      <c r="T241" s="5" t="s">
        <v>65</v>
      </c>
      <c r="U241" s="5">
        <v>2</v>
      </c>
      <c r="V241" s="5" t="s">
        <v>45</v>
      </c>
    </row>
    <row r="242" spans="1:22" x14ac:dyDescent="0.3">
      <c r="A242" s="5" t="s">
        <v>658</v>
      </c>
      <c r="B242" s="6">
        <v>46173</v>
      </c>
      <c r="C242" s="5" t="s">
        <v>659</v>
      </c>
      <c r="D242" s="5" t="s">
        <v>89</v>
      </c>
      <c r="E242" s="5" t="s">
        <v>126</v>
      </c>
      <c r="F242" s="5" t="s">
        <v>126</v>
      </c>
      <c r="G242" s="5" t="s">
        <v>51</v>
      </c>
      <c r="H242" s="5" t="s">
        <v>496</v>
      </c>
      <c r="I242" s="5" t="s">
        <v>497</v>
      </c>
      <c r="J242" s="5" t="s">
        <v>30</v>
      </c>
      <c r="K242" s="5" t="s">
        <v>31</v>
      </c>
      <c r="L242" s="5">
        <v>1</v>
      </c>
      <c r="M242" s="5">
        <v>39494</v>
      </c>
      <c r="N242" s="5">
        <v>10</v>
      </c>
      <c r="O242" s="5">
        <v>35544.6</v>
      </c>
      <c r="P242" s="5">
        <v>21754.36</v>
      </c>
      <c r="Q242" s="5">
        <v>13790.24</v>
      </c>
      <c r="R242" s="5" t="s">
        <v>44</v>
      </c>
      <c r="S242" s="5" t="s">
        <v>82</v>
      </c>
      <c r="T242" s="5" t="s">
        <v>73</v>
      </c>
      <c r="U242" s="5">
        <v>5</v>
      </c>
      <c r="V242" s="5" t="s">
        <v>45</v>
      </c>
    </row>
    <row r="243" spans="1:22" x14ac:dyDescent="0.3">
      <c r="A243" s="5" t="s">
        <v>660</v>
      </c>
      <c r="B243" s="6">
        <v>46053</v>
      </c>
      <c r="C243" s="5" t="s">
        <v>661</v>
      </c>
      <c r="D243" s="5" t="s">
        <v>89</v>
      </c>
      <c r="E243" s="5" t="s">
        <v>59</v>
      </c>
      <c r="F243" s="5" t="s">
        <v>60</v>
      </c>
      <c r="G243" s="5" t="s">
        <v>61</v>
      </c>
      <c r="H243" s="5" t="s">
        <v>574</v>
      </c>
      <c r="I243" s="5" t="s">
        <v>575</v>
      </c>
      <c r="J243" s="5" t="s">
        <v>30</v>
      </c>
      <c r="K243" s="5" t="s">
        <v>31</v>
      </c>
      <c r="L243" s="5">
        <v>4</v>
      </c>
      <c r="M243" s="5">
        <v>71459</v>
      </c>
      <c r="N243" s="5">
        <v>20</v>
      </c>
      <c r="O243" s="5">
        <v>228668.79999999999</v>
      </c>
      <c r="P243" s="5">
        <v>173331.5</v>
      </c>
      <c r="Q243" s="5">
        <v>55337.3</v>
      </c>
      <c r="R243" s="5" t="s">
        <v>64</v>
      </c>
      <c r="S243" s="5" t="s">
        <v>33</v>
      </c>
      <c r="T243" s="5" t="s">
        <v>34</v>
      </c>
      <c r="U243" s="5">
        <v>4</v>
      </c>
      <c r="V243" s="5" t="s">
        <v>45</v>
      </c>
    </row>
    <row r="244" spans="1:22" x14ac:dyDescent="0.3">
      <c r="A244" s="5" t="s">
        <v>662</v>
      </c>
      <c r="B244" s="6">
        <v>46134</v>
      </c>
      <c r="C244" s="5" t="s">
        <v>577</v>
      </c>
      <c r="D244" s="5" t="s">
        <v>38</v>
      </c>
      <c r="E244" s="5" t="s">
        <v>49</v>
      </c>
      <c r="F244" s="5" t="s">
        <v>50</v>
      </c>
      <c r="G244" s="5" t="s">
        <v>51</v>
      </c>
      <c r="H244" s="5" t="s">
        <v>306</v>
      </c>
      <c r="I244" s="5" t="s">
        <v>307</v>
      </c>
      <c r="J244" s="5" t="s">
        <v>71</v>
      </c>
      <c r="K244" s="5" t="s">
        <v>81</v>
      </c>
      <c r="L244" s="5">
        <v>3</v>
      </c>
      <c r="M244" s="5">
        <v>8276</v>
      </c>
      <c r="N244" s="5">
        <v>15</v>
      </c>
      <c r="O244" s="5">
        <v>21103.8</v>
      </c>
      <c r="P244" s="5">
        <v>16534.939999999999</v>
      </c>
      <c r="Q244" s="5">
        <v>4568.8599999999997</v>
      </c>
      <c r="R244" s="5" t="s">
        <v>44</v>
      </c>
      <c r="S244" s="5" t="s">
        <v>33</v>
      </c>
      <c r="T244" s="5" t="s">
        <v>34</v>
      </c>
      <c r="U244" s="5">
        <v>5</v>
      </c>
      <c r="V244" s="5" t="s">
        <v>35</v>
      </c>
    </row>
    <row r="245" spans="1:22" x14ac:dyDescent="0.3">
      <c r="A245" s="5" t="s">
        <v>663</v>
      </c>
      <c r="B245" s="6">
        <v>46039</v>
      </c>
      <c r="C245" s="5" t="s">
        <v>664</v>
      </c>
      <c r="D245" s="5" t="s">
        <v>76</v>
      </c>
      <c r="E245" s="5" t="s">
        <v>25</v>
      </c>
      <c r="F245" s="5" t="s">
        <v>26</v>
      </c>
      <c r="G245" s="5" t="s">
        <v>27</v>
      </c>
      <c r="H245" s="5" t="s">
        <v>553</v>
      </c>
      <c r="I245" s="5" t="s">
        <v>554</v>
      </c>
      <c r="J245" s="5" t="s">
        <v>54</v>
      </c>
      <c r="K245" s="5" t="s">
        <v>55</v>
      </c>
      <c r="L245" s="5">
        <v>3</v>
      </c>
      <c r="M245" s="5">
        <v>20683</v>
      </c>
      <c r="N245" s="5">
        <v>20</v>
      </c>
      <c r="O245" s="5">
        <v>49639.199999999997</v>
      </c>
      <c r="P245" s="5">
        <v>51130.400000000001</v>
      </c>
      <c r="Q245" s="5">
        <v>-1491.2</v>
      </c>
      <c r="R245" s="5" t="s">
        <v>64</v>
      </c>
      <c r="S245" s="5" t="s">
        <v>82</v>
      </c>
      <c r="T245" s="5" t="s">
        <v>34</v>
      </c>
      <c r="U245" s="5">
        <v>4</v>
      </c>
      <c r="V245" s="5" t="s">
        <v>45</v>
      </c>
    </row>
    <row r="246" spans="1:22" x14ac:dyDescent="0.3">
      <c r="A246" s="5" t="s">
        <v>665</v>
      </c>
      <c r="B246" s="6">
        <v>46173</v>
      </c>
      <c r="C246" s="5" t="s">
        <v>327</v>
      </c>
      <c r="D246" s="5" t="s">
        <v>24</v>
      </c>
      <c r="E246" s="5" t="s">
        <v>59</v>
      </c>
      <c r="F246" s="5" t="s">
        <v>60</v>
      </c>
      <c r="G246" s="5" t="s">
        <v>61</v>
      </c>
      <c r="H246" s="5" t="s">
        <v>257</v>
      </c>
      <c r="I246" s="5" t="s">
        <v>258</v>
      </c>
      <c r="J246" s="5" t="s">
        <v>71</v>
      </c>
      <c r="K246" s="5" t="s">
        <v>81</v>
      </c>
      <c r="L246" s="5">
        <v>2</v>
      </c>
      <c r="M246" s="5">
        <v>8783</v>
      </c>
      <c r="N246" s="5">
        <v>0</v>
      </c>
      <c r="O246" s="5">
        <v>17566</v>
      </c>
      <c r="P246" s="5">
        <v>13657.26</v>
      </c>
      <c r="Q246" s="5">
        <v>3908.74</v>
      </c>
      <c r="R246" s="5" t="s">
        <v>32</v>
      </c>
      <c r="S246" s="5" t="s">
        <v>33</v>
      </c>
      <c r="T246" s="5" t="s">
        <v>73</v>
      </c>
      <c r="U246" s="5">
        <v>5</v>
      </c>
      <c r="V246" s="5" t="s">
        <v>45</v>
      </c>
    </row>
    <row r="247" spans="1:22" x14ac:dyDescent="0.3">
      <c r="A247" s="5" t="s">
        <v>666</v>
      </c>
      <c r="B247" s="6">
        <v>46202</v>
      </c>
      <c r="C247" s="5" t="s">
        <v>667</v>
      </c>
      <c r="D247" s="5" t="s">
        <v>110</v>
      </c>
      <c r="E247" s="5" t="s">
        <v>25</v>
      </c>
      <c r="F247" s="5" t="s">
        <v>26</v>
      </c>
      <c r="G247" s="5" t="s">
        <v>27</v>
      </c>
      <c r="H247" s="5" t="s">
        <v>176</v>
      </c>
      <c r="I247" s="5" t="s">
        <v>177</v>
      </c>
      <c r="J247" s="5" t="s">
        <v>54</v>
      </c>
      <c r="K247" s="5" t="s">
        <v>97</v>
      </c>
      <c r="L247" s="5">
        <v>2</v>
      </c>
      <c r="M247" s="5">
        <v>23077</v>
      </c>
      <c r="N247" s="5">
        <v>5</v>
      </c>
      <c r="O247" s="5">
        <v>43846.3</v>
      </c>
      <c r="P247" s="5">
        <v>33703.31</v>
      </c>
      <c r="Q247" s="5">
        <v>10142.99</v>
      </c>
      <c r="R247" s="5" t="s">
        <v>64</v>
      </c>
      <c r="S247" s="5" t="s">
        <v>82</v>
      </c>
      <c r="T247" s="5" t="s">
        <v>34</v>
      </c>
      <c r="U247" s="5">
        <v>5</v>
      </c>
      <c r="V247" s="5" t="s">
        <v>45</v>
      </c>
    </row>
    <row r="248" spans="1:22" x14ac:dyDescent="0.3">
      <c r="A248" s="5" t="s">
        <v>668</v>
      </c>
      <c r="B248" s="6">
        <v>46168</v>
      </c>
      <c r="C248" s="5" t="s">
        <v>545</v>
      </c>
      <c r="D248" s="5" t="s">
        <v>48</v>
      </c>
      <c r="E248" s="5" t="s">
        <v>94</v>
      </c>
      <c r="F248" s="5" t="s">
        <v>26</v>
      </c>
      <c r="G248" s="5" t="s">
        <v>27</v>
      </c>
      <c r="H248" s="5" t="s">
        <v>141</v>
      </c>
      <c r="I248" s="5" t="s">
        <v>142</v>
      </c>
      <c r="J248" s="5" t="s">
        <v>71</v>
      </c>
      <c r="K248" s="5" t="s">
        <v>81</v>
      </c>
      <c r="L248" s="5">
        <v>2</v>
      </c>
      <c r="M248" s="5">
        <v>55185</v>
      </c>
      <c r="N248" s="5">
        <v>10</v>
      </c>
      <c r="O248" s="5">
        <v>99333</v>
      </c>
      <c r="P248" s="5">
        <v>79607.67</v>
      </c>
      <c r="Q248" s="5">
        <v>19725.330000000002</v>
      </c>
      <c r="R248" s="5" t="s">
        <v>64</v>
      </c>
      <c r="S248" s="5" t="s">
        <v>82</v>
      </c>
      <c r="T248" s="5" t="s">
        <v>65</v>
      </c>
      <c r="U248" s="5">
        <v>3</v>
      </c>
      <c r="V248" s="5" t="s">
        <v>45</v>
      </c>
    </row>
    <row r="249" spans="1:22" x14ac:dyDescent="0.3">
      <c r="A249" s="5" t="s">
        <v>669</v>
      </c>
      <c r="B249" s="6">
        <v>46143</v>
      </c>
      <c r="C249" s="5" t="s">
        <v>670</v>
      </c>
      <c r="D249" s="5" t="s">
        <v>89</v>
      </c>
      <c r="E249" s="5" t="s">
        <v>77</v>
      </c>
      <c r="F249" s="5" t="s">
        <v>78</v>
      </c>
      <c r="G249" s="5" t="s">
        <v>41</v>
      </c>
      <c r="H249" s="5" t="s">
        <v>206</v>
      </c>
      <c r="I249" s="5" t="s">
        <v>207</v>
      </c>
      <c r="J249" s="5" t="s">
        <v>30</v>
      </c>
      <c r="K249" s="5" t="s">
        <v>31</v>
      </c>
      <c r="L249" s="5">
        <v>3</v>
      </c>
      <c r="M249" s="5">
        <v>13794</v>
      </c>
      <c r="N249" s="5">
        <v>15</v>
      </c>
      <c r="O249" s="5">
        <v>35174.699999999997</v>
      </c>
      <c r="P249" s="5">
        <v>29022.98</v>
      </c>
      <c r="Q249" s="5">
        <v>6151.72</v>
      </c>
      <c r="R249" s="5" t="s">
        <v>32</v>
      </c>
      <c r="S249" s="5" t="s">
        <v>33</v>
      </c>
      <c r="T249" s="5" t="s">
        <v>73</v>
      </c>
      <c r="U249" s="5">
        <v>4</v>
      </c>
      <c r="V249" s="5" t="s">
        <v>35</v>
      </c>
    </row>
    <row r="250" spans="1:22" x14ac:dyDescent="0.3">
      <c r="A250" s="5" t="s">
        <v>671</v>
      </c>
      <c r="B250" s="6">
        <v>46118</v>
      </c>
      <c r="C250" s="5" t="s">
        <v>67</v>
      </c>
      <c r="D250" s="5" t="s">
        <v>24</v>
      </c>
      <c r="E250" s="5" t="s">
        <v>39</v>
      </c>
      <c r="F250" s="5" t="s">
        <v>40</v>
      </c>
      <c r="G250" s="5" t="s">
        <v>41</v>
      </c>
      <c r="H250" s="5" t="s">
        <v>440</v>
      </c>
      <c r="I250" s="5" t="s">
        <v>441</v>
      </c>
      <c r="J250" s="5" t="s">
        <v>30</v>
      </c>
      <c r="K250" s="5" t="s">
        <v>31</v>
      </c>
      <c r="L250" s="5">
        <v>2</v>
      </c>
      <c r="M250" s="5">
        <v>13308</v>
      </c>
      <c r="N250" s="5">
        <v>20</v>
      </c>
      <c r="O250" s="5">
        <v>21292.799999999999</v>
      </c>
      <c r="P250" s="5">
        <v>21110.639999999999</v>
      </c>
      <c r="Q250" s="5">
        <v>182.16</v>
      </c>
      <c r="R250" s="5" t="s">
        <v>32</v>
      </c>
      <c r="S250" s="5" t="s">
        <v>33</v>
      </c>
      <c r="T250" s="5" t="s">
        <v>34</v>
      </c>
      <c r="U250" s="5">
        <v>5</v>
      </c>
      <c r="V250" s="5" t="s">
        <v>35</v>
      </c>
    </row>
    <row r="251" spans="1:22" x14ac:dyDescent="0.3">
      <c r="A251" s="5" t="s">
        <v>672</v>
      </c>
      <c r="B251" s="6">
        <v>46092</v>
      </c>
      <c r="C251" s="5" t="s">
        <v>673</v>
      </c>
      <c r="D251" s="5" t="s">
        <v>68</v>
      </c>
      <c r="E251" s="5" t="s">
        <v>49</v>
      </c>
      <c r="F251" s="5" t="s">
        <v>50</v>
      </c>
      <c r="G251" s="5" t="s">
        <v>51</v>
      </c>
      <c r="H251" s="5" t="s">
        <v>277</v>
      </c>
      <c r="I251" s="5" t="s">
        <v>278</v>
      </c>
      <c r="J251" s="5" t="s">
        <v>71</v>
      </c>
      <c r="K251" s="5" t="s">
        <v>81</v>
      </c>
      <c r="L251" s="5">
        <v>2</v>
      </c>
      <c r="M251" s="5">
        <v>31184</v>
      </c>
      <c r="N251" s="5">
        <v>10</v>
      </c>
      <c r="O251" s="5">
        <v>56131.199999999997</v>
      </c>
      <c r="P251" s="5">
        <v>45966.75</v>
      </c>
      <c r="Q251" s="5">
        <v>10164.450000000001</v>
      </c>
      <c r="R251" s="5" t="s">
        <v>32</v>
      </c>
      <c r="S251" s="5" t="s">
        <v>33</v>
      </c>
      <c r="T251" s="5" t="s">
        <v>65</v>
      </c>
      <c r="U251" s="5">
        <v>1</v>
      </c>
      <c r="V251" s="5" t="s">
        <v>35</v>
      </c>
    </row>
    <row r="252" spans="1:22" x14ac:dyDescent="0.3">
      <c r="A252" s="5" t="s">
        <v>674</v>
      </c>
      <c r="B252" s="6">
        <v>46076</v>
      </c>
      <c r="C252" s="5" t="s">
        <v>675</v>
      </c>
      <c r="D252" s="5" t="s">
        <v>24</v>
      </c>
      <c r="E252" s="5" t="s">
        <v>25</v>
      </c>
      <c r="F252" s="5" t="s">
        <v>26</v>
      </c>
      <c r="G252" s="5" t="s">
        <v>27</v>
      </c>
      <c r="H252" s="5" t="s">
        <v>90</v>
      </c>
      <c r="I252" s="5" t="s">
        <v>91</v>
      </c>
      <c r="J252" s="5" t="s">
        <v>71</v>
      </c>
      <c r="K252" s="5" t="s">
        <v>81</v>
      </c>
      <c r="L252" s="5">
        <v>1</v>
      </c>
      <c r="M252" s="5">
        <v>7346</v>
      </c>
      <c r="N252" s="5">
        <v>5</v>
      </c>
      <c r="O252" s="5">
        <v>6978.7</v>
      </c>
      <c r="P252" s="5">
        <v>5946.22</v>
      </c>
      <c r="Q252" s="5">
        <v>1032.48</v>
      </c>
      <c r="R252" s="5" t="s">
        <v>64</v>
      </c>
      <c r="S252" s="5" t="s">
        <v>82</v>
      </c>
      <c r="T252" s="5" t="s">
        <v>65</v>
      </c>
      <c r="U252" s="5">
        <v>1</v>
      </c>
      <c r="V252" s="5" t="s">
        <v>35</v>
      </c>
    </row>
    <row r="253" spans="1:22" x14ac:dyDescent="0.3">
      <c r="A253" s="5" t="s">
        <v>676</v>
      </c>
      <c r="B253" s="6">
        <v>46061</v>
      </c>
      <c r="C253" s="5" t="s">
        <v>345</v>
      </c>
      <c r="D253" s="5" t="s">
        <v>89</v>
      </c>
      <c r="E253" s="5" t="s">
        <v>49</v>
      </c>
      <c r="F253" s="5" t="s">
        <v>50</v>
      </c>
      <c r="G253" s="5" t="s">
        <v>51</v>
      </c>
      <c r="H253" s="5" t="s">
        <v>566</v>
      </c>
      <c r="I253" s="5" t="s">
        <v>567</v>
      </c>
      <c r="J253" s="5" t="s">
        <v>54</v>
      </c>
      <c r="K253" s="5" t="s">
        <v>55</v>
      </c>
      <c r="L253" s="5">
        <v>2</v>
      </c>
      <c r="M253" s="5">
        <v>970</v>
      </c>
      <c r="N253" s="5">
        <v>5</v>
      </c>
      <c r="O253" s="5">
        <v>1843</v>
      </c>
      <c r="P253" s="5">
        <v>1352.31</v>
      </c>
      <c r="Q253" s="5">
        <v>490.69</v>
      </c>
      <c r="R253" s="5" t="s">
        <v>64</v>
      </c>
      <c r="S253" s="5" t="s">
        <v>33</v>
      </c>
      <c r="T253" s="5" t="s">
        <v>73</v>
      </c>
      <c r="U253" s="5">
        <v>3</v>
      </c>
      <c r="V253" s="5" t="s">
        <v>35</v>
      </c>
    </row>
    <row r="254" spans="1:22" x14ac:dyDescent="0.3">
      <c r="A254" s="5" t="s">
        <v>677</v>
      </c>
      <c r="B254" s="6">
        <v>46118</v>
      </c>
      <c r="C254" s="5" t="s">
        <v>179</v>
      </c>
      <c r="D254" s="5" t="s">
        <v>89</v>
      </c>
      <c r="E254" s="5" t="s">
        <v>49</v>
      </c>
      <c r="F254" s="5" t="s">
        <v>50</v>
      </c>
      <c r="G254" s="5" t="s">
        <v>51</v>
      </c>
      <c r="H254" s="5" t="s">
        <v>678</v>
      </c>
      <c r="I254" s="5" t="s">
        <v>679</v>
      </c>
      <c r="J254" s="5" t="s">
        <v>54</v>
      </c>
      <c r="K254" s="5" t="s">
        <v>55</v>
      </c>
      <c r="L254" s="5">
        <v>5</v>
      </c>
      <c r="M254" s="5">
        <v>31698</v>
      </c>
      <c r="N254" s="5">
        <v>0</v>
      </c>
      <c r="O254" s="5">
        <v>158490</v>
      </c>
      <c r="P254" s="5">
        <v>122535.31</v>
      </c>
      <c r="Q254" s="5">
        <v>35954.69</v>
      </c>
      <c r="R254" s="5" t="s">
        <v>44</v>
      </c>
      <c r="S254" s="5" t="s">
        <v>33</v>
      </c>
      <c r="T254" s="5" t="s">
        <v>65</v>
      </c>
      <c r="U254" s="5">
        <v>4</v>
      </c>
      <c r="V254" s="5" t="s">
        <v>45</v>
      </c>
    </row>
    <row r="255" spans="1:22" x14ac:dyDescent="0.3">
      <c r="A255" s="5" t="s">
        <v>680</v>
      </c>
      <c r="B255" s="6">
        <v>46050</v>
      </c>
      <c r="C255" s="5" t="s">
        <v>681</v>
      </c>
      <c r="D255" s="5" t="s">
        <v>110</v>
      </c>
      <c r="E255" s="5" t="s">
        <v>25</v>
      </c>
      <c r="F255" s="5" t="s">
        <v>26</v>
      </c>
      <c r="G255" s="5" t="s">
        <v>27</v>
      </c>
      <c r="H255" s="5" t="s">
        <v>85</v>
      </c>
      <c r="I255" s="5" t="s">
        <v>86</v>
      </c>
      <c r="J255" s="5" t="s">
        <v>71</v>
      </c>
      <c r="K255" s="5" t="s">
        <v>72</v>
      </c>
      <c r="L255" s="5">
        <v>5</v>
      </c>
      <c r="M255" s="5">
        <v>41275</v>
      </c>
      <c r="N255" s="5">
        <v>0</v>
      </c>
      <c r="O255" s="5">
        <v>206375</v>
      </c>
      <c r="P255" s="5">
        <v>173618.1</v>
      </c>
      <c r="Q255" s="5">
        <v>32756.9</v>
      </c>
      <c r="R255" s="5" t="s">
        <v>44</v>
      </c>
      <c r="S255" s="5" t="s">
        <v>33</v>
      </c>
      <c r="T255" s="5" t="s">
        <v>65</v>
      </c>
      <c r="U255" s="5">
        <v>4</v>
      </c>
      <c r="V255" s="5" t="s">
        <v>45</v>
      </c>
    </row>
    <row r="256" spans="1:22" x14ac:dyDescent="0.3">
      <c r="A256" s="5" t="s">
        <v>682</v>
      </c>
      <c r="B256" s="6">
        <v>46023</v>
      </c>
      <c r="C256" s="5" t="s">
        <v>683</v>
      </c>
      <c r="D256" s="5" t="s">
        <v>48</v>
      </c>
      <c r="E256" s="5" t="s">
        <v>94</v>
      </c>
      <c r="F256" s="5" t="s">
        <v>26</v>
      </c>
      <c r="G256" s="5" t="s">
        <v>27</v>
      </c>
      <c r="H256" s="5" t="s">
        <v>406</v>
      </c>
      <c r="I256" s="5" t="s">
        <v>407</v>
      </c>
      <c r="J256" s="5" t="s">
        <v>30</v>
      </c>
      <c r="K256" s="5" t="s">
        <v>31</v>
      </c>
      <c r="L256" s="5">
        <v>2</v>
      </c>
      <c r="M256" s="5">
        <v>27104</v>
      </c>
      <c r="N256" s="5">
        <v>10</v>
      </c>
      <c r="O256" s="5">
        <v>48787.199999999997</v>
      </c>
      <c r="P256" s="5">
        <v>41642.699999999997</v>
      </c>
      <c r="Q256" s="5">
        <v>7144.5</v>
      </c>
      <c r="R256" s="5" t="s">
        <v>32</v>
      </c>
      <c r="S256" s="5" t="s">
        <v>33</v>
      </c>
      <c r="T256" s="5" t="s">
        <v>65</v>
      </c>
      <c r="U256" s="5">
        <v>5</v>
      </c>
      <c r="V256" s="5" t="s">
        <v>45</v>
      </c>
    </row>
    <row r="257" spans="1:22" x14ac:dyDescent="0.3">
      <c r="A257" s="5" t="s">
        <v>684</v>
      </c>
      <c r="B257" s="6">
        <v>46051</v>
      </c>
      <c r="C257" s="5" t="s">
        <v>685</v>
      </c>
      <c r="D257" s="5" t="s">
        <v>48</v>
      </c>
      <c r="E257" s="5" t="s">
        <v>94</v>
      </c>
      <c r="F257" s="5" t="s">
        <v>26</v>
      </c>
      <c r="G257" s="5" t="s">
        <v>27</v>
      </c>
      <c r="H257" s="5" t="s">
        <v>312</v>
      </c>
      <c r="I257" s="5" t="s">
        <v>313</v>
      </c>
      <c r="J257" s="5" t="s">
        <v>54</v>
      </c>
      <c r="K257" s="5" t="s">
        <v>97</v>
      </c>
      <c r="L257" s="5">
        <v>5</v>
      </c>
      <c r="M257" s="5">
        <v>16871</v>
      </c>
      <c r="N257" s="5">
        <v>20</v>
      </c>
      <c r="O257" s="5">
        <v>67484</v>
      </c>
      <c r="P257" s="5">
        <v>67605.490000000005</v>
      </c>
      <c r="Q257" s="5">
        <v>-121.49</v>
      </c>
      <c r="R257" s="5" t="s">
        <v>64</v>
      </c>
      <c r="S257" s="5" t="s">
        <v>33</v>
      </c>
      <c r="T257" s="5" t="s">
        <v>34</v>
      </c>
      <c r="U257" s="5">
        <v>5</v>
      </c>
      <c r="V257" s="5" t="s">
        <v>45</v>
      </c>
    </row>
    <row r="258" spans="1:22" x14ac:dyDescent="0.3">
      <c r="A258" s="5" t="s">
        <v>686</v>
      </c>
      <c r="B258" s="6">
        <v>46026</v>
      </c>
      <c r="C258" s="5" t="s">
        <v>687</v>
      </c>
      <c r="D258" s="5" t="s">
        <v>68</v>
      </c>
      <c r="E258" s="5" t="s">
        <v>49</v>
      </c>
      <c r="F258" s="5" t="s">
        <v>50</v>
      </c>
      <c r="G258" s="5" t="s">
        <v>51</v>
      </c>
      <c r="H258" s="5" t="s">
        <v>312</v>
      </c>
      <c r="I258" s="5" t="s">
        <v>313</v>
      </c>
      <c r="J258" s="5" t="s">
        <v>54</v>
      </c>
      <c r="K258" s="5" t="s">
        <v>97</v>
      </c>
      <c r="L258" s="5">
        <v>5</v>
      </c>
      <c r="M258" s="5">
        <v>23945</v>
      </c>
      <c r="N258" s="5">
        <v>5</v>
      </c>
      <c r="O258" s="5">
        <v>113738.75</v>
      </c>
      <c r="P258" s="5">
        <v>80626.14</v>
      </c>
      <c r="Q258" s="5">
        <v>33112.61</v>
      </c>
      <c r="R258" s="5" t="s">
        <v>32</v>
      </c>
      <c r="S258" s="5" t="s">
        <v>82</v>
      </c>
      <c r="T258" s="5" t="s">
        <v>65</v>
      </c>
      <c r="U258" s="5">
        <v>2</v>
      </c>
      <c r="V258" s="5" t="s">
        <v>45</v>
      </c>
    </row>
    <row r="259" spans="1:22" x14ac:dyDescent="0.3">
      <c r="A259" s="5" t="s">
        <v>688</v>
      </c>
      <c r="B259" s="6">
        <v>46201</v>
      </c>
      <c r="C259" s="5" t="s">
        <v>434</v>
      </c>
      <c r="D259" s="5" t="s">
        <v>68</v>
      </c>
      <c r="E259" s="5" t="s">
        <v>25</v>
      </c>
      <c r="F259" s="5" t="s">
        <v>26</v>
      </c>
      <c r="G259" s="5" t="s">
        <v>27</v>
      </c>
      <c r="H259" s="5" t="s">
        <v>384</v>
      </c>
      <c r="I259" s="5" t="s">
        <v>385</v>
      </c>
      <c r="J259" s="5" t="s">
        <v>102</v>
      </c>
      <c r="K259" s="5" t="s">
        <v>103</v>
      </c>
      <c r="L259" s="5">
        <v>3</v>
      </c>
      <c r="M259" s="5">
        <v>59045</v>
      </c>
      <c r="N259" s="5">
        <v>0</v>
      </c>
      <c r="O259" s="5">
        <v>177135</v>
      </c>
      <c r="P259" s="5">
        <v>138162.81</v>
      </c>
      <c r="Q259" s="5">
        <v>38972.19</v>
      </c>
      <c r="R259" s="5" t="s">
        <v>32</v>
      </c>
      <c r="S259" s="5" t="s">
        <v>82</v>
      </c>
      <c r="T259" s="5" t="s">
        <v>65</v>
      </c>
      <c r="U259" s="5">
        <v>5</v>
      </c>
      <c r="V259" s="5" t="s">
        <v>35</v>
      </c>
    </row>
    <row r="260" spans="1:22" x14ac:dyDescent="0.3">
      <c r="A260" s="5" t="s">
        <v>689</v>
      </c>
      <c r="B260" s="6">
        <v>46135</v>
      </c>
      <c r="C260" s="5" t="s">
        <v>690</v>
      </c>
      <c r="D260" s="5" t="s">
        <v>48</v>
      </c>
      <c r="E260" s="5" t="s">
        <v>49</v>
      </c>
      <c r="F260" s="5" t="s">
        <v>50</v>
      </c>
      <c r="G260" s="5" t="s">
        <v>51</v>
      </c>
      <c r="H260" s="5" t="s">
        <v>541</v>
      </c>
      <c r="I260" s="5" t="s">
        <v>542</v>
      </c>
      <c r="J260" s="5" t="s">
        <v>54</v>
      </c>
      <c r="K260" s="5" t="s">
        <v>55</v>
      </c>
      <c r="L260" s="5">
        <v>1</v>
      </c>
      <c r="M260" s="5">
        <v>45976</v>
      </c>
      <c r="N260" s="5">
        <v>5</v>
      </c>
      <c r="O260" s="5">
        <v>43677.2</v>
      </c>
      <c r="P260" s="5">
        <v>30825.71</v>
      </c>
      <c r="Q260" s="5">
        <v>12851.49</v>
      </c>
      <c r="R260" s="5" t="s">
        <v>44</v>
      </c>
      <c r="S260" s="5" t="s">
        <v>33</v>
      </c>
      <c r="T260" s="5" t="s">
        <v>65</v>
      </c>
      <c r="U260" s="5">
        <v>1</v>
      </c>
      <c r="V260" s="5" t="s">
        <v>35</v>
      </c>
    </row>
    <row r="261" spans="1:22" x14ac:dyDescent="0.3">
      <c r="A261" s="5" t="s">
        <v>691</v>
      </c>
      <c r="B261" s="6">
        <v>46163</v>
      </c>
      <c r="C261" s="5" t="s">
        <v>577</v>
      </c>
      <c r="D261" s="5" t="s">
        <v>151</v>
      </c>
      <c r="E261" s="5" t="s">
        <v>25</v>
      </c>
      <c r="F261" s="5" t="s">
        <v>26</v>
      </c>
      <c r="G261" s="5" t="s">
        <v>27</v>
      </c>
      <c r="H261" s="5" t="s">
        <v>513</v>
      </c>
      <c r="I261" s="5" t="s">
        <v>514</v>
      </c>
      <c r="J261" s="5" t="s">
        <v>71</v>
      </c>
      <c r="K261" s="5" t="s">
        <v>72</v>
      </c>
      <c r="L261" s="5">
        <v>1</v>
      </c>
      <c r="M261" s="5">
        <v>67519</v>
      </c>
      <c r="N261" s="5">
        <v>20</v>
      </c>
      <c r="O261" s="5">
        <v>54015.199999999997</v>
      </c>
      <c r="P261" s="5">
        <v>42188.42</v>
      </c>
      <c r="Q261" s="5">
        <v>11826.78</v>
      </c>
      <c r="R261" s="5" t="s">
        <v>32</v>
      </c>
      <c r="S261" s="5" t="s">
        <v>33</v>
      </c>
      <c r="T261" s="5" t="s">
        <v>73</v>
      </c>
      <c r="U261" s="5">
        <v>2</v>
      </c>
      <c r="V261" s="5" t="s">
        <v>35</v>
      </c>
    </row>
    <row r="262" spans="1:22" x14ac:dyDescent="0.3">
      <c r="A262" s="5" t="s">
        <v>692</v>
      </c>
      <c r="B262" s="6">
        <v>46117</v>
      </c>
      <c r="C262" s="5" t="s">
        <v>693</v>
      </c>
      <c r="D262" s="5" t="s">
        <v>151</v>
      </c>
      <c r="E262" s="5" t="s">
        <v>25</v>
      </c>
      <c r="F262" s="5" t="s">
        <v>26</v>
      </c>
      <c r="G262" s="5" t="s">
        <v>27</v>
      </c>
      <c r="H262" s="5" t="s">
        <v>461</v>
      </c>
      <c r="I262" s="5" t="s">
        <v>462</v>
      </c>
      <c r="J262" s="5" t="s">
        <v>71</v>
      </c>
      <c r="K262" s="5" t="s">
        <v>72</v>
      </c>
      <c r="L262" s="5">
        <v>3</v>
      </c>
      <c r="M262" s="5">
        <v>66572</v>
      </c>
      <c r="N262" s="5">
        <v>5</v>
      </c>
      <c r="O262" s="5">
        <v>189730.2</v>
      </c>
      <c r="P262" s="5">
        <v>132324.17000000001</v>
      </c>
      <c r="Q262" s="5">
        <v>57406.03</v>
      </c>
      <c r="R262" s="5" t="s">
        <v>64</v>
      </c>
      <c r="S262" s="5" t="s">
        <v>33</v>
      </c>
      <c r="T262" s="5" t="s">
        <v>73</v>
      </c>
      <c r="U262" s="5">
        <v>5</v>
      </c>
      <c r="V262" s="5" t="s">
        <v>35</v>
      </c>
    </row>
    <row r="263" spans="1:22" x14ac:dyDescent="0.3">
      <c r="A263" s="5" t="s">
        <v>694</v>
      </c>
      <c r="B263" s="6">
        <v>46144</v>
      </c>
      <c r="C263" s="5" t="s">
        <v>695</v>
      </c>
      <c r="D263" s="5" t="s">
        <v>58</v>
      </c>
      <c r="E263" s="5" t="s">
        <v>39</v>
      </c>
      <c r="F263" s="5" t="s">
        <v>40</v>
      </c>
      <c r="G263" s="5" t="s">
        <v>41</v>
      </c>
      <c r="H263" s="5" t="s">
        <v>42</v>
      </c>
      <c r="I263" s="5" t="s">
        <v>43</v>
      </c>
      <c r="J263" s="5" t="s">
        <v>30</v>
      </c>
      <c r="K263" s="5" t="s">
        <v>31</v>
      </c>
      <c r="L263" s="5">
        <v>1</v>
      </c>
      <c r="M263" s="5">
        <v>38453</v>
      </c>
      <c r="N263" s="5">
        <v>10</v>
      </c>
      <c r="O263" s="5">
        <v>34607.699999999997</v>
      </c>
      <c r="P263" s="5">
        <v>27712.68</v>
      </c>
      <c r="Q263" s="5">
        <v>6895.02</v>
      </c>
      <c r="R263" s="5" t="s">
        <v>44</v>
      </c>
      <c r="S263" s="5" t="s">
        <v>33</v>
      </c>
      <c r="T263" s="5" t="s">
        <v>34</v>
      </c>
      <c r="U263" s="5">
        <v>3</v>
      </c>
      <c r="V263" s="5" t="s">
        <v>45</v>
      </c>
    </row>
    <row r="264" spans="1:22" x14ac:dyDescent="0.3">
      <c r="A264" s="5" t="s">
        <v>696</v>
      </c>
      <c r="B264" s="6">
        <v>46190</v>
      </c>
      <c r="C264" s="5" t="s">
        <v>681</v>
      </c>
      <c r="D264" s="5" t="s">
        <v>38</v>
      </c>
      <c r="E264" s="5" t="s">
        <v>94</v>
      </c>
      <c r="F264" s="5" t="s">
        <v>26</v>
      </c>
      <c r="G264" s="5" t="s">
        <v>27</v>
      </c>
      <c r="H264" s="5" t="s">
        <v>496</v>
      </c>
      <c r="I264" s="5" t="s">
        <v>497</v>
      </c>
      <c r="J264" s="5" t="s">
        <v>30</v>
      </c>
      <c r="K264" s="5" t="s">
        <v>31</v>
      </c>
      <c r="L264" s="5">
        <v>5</v>
      </c>
      <c r="M264" s="5">
        <v>6016</v>
      </c>
      <c r="N264" s="5">
        <v>10</v>
      </c>
      <c r="O264" s="5">
        <v>27072</v>
      </c>
      <c r="P264" s="5">
        <v>21293.22</v>
      </c>
      <c r="Q264" s="5">
        <v>5778.78</v>
      </c>
      <c r="R264" s="5" t="s">
        <v>44</v>
      </c>
      <c r="S264" s="5" t="s">
        <v>33</v>
      </c>
      <c r="T264" s="5" t="s">
        <v>73</v>
      </c>
      <c r="U264" s="5">
        <v>2</v>
      </c>
      <c r="V264" s="5" t="s">
        <v>35</v>
      </c>
    </row>
    <row r="265" spans="1:22" x14ac:dyDescent="0.3">
      <c r="A265" s="5" t="s">
        <v>697</v>
      </c>
      <c r="B265" s="6">
        <v>46033</v>
      </c>
      <c r="C265" s="5" t="s">
        <v>395</v>
      </c>
      <c r="D265" s="5" t="s">
        <v>68</v>
      </c>
      <c r="E265" s="5" t="s">
        <v>49</v>
      </c>
      <c r="F265" s="5" t="s">
        <v>50</v>
      </c>
      <c r="G265" s="5" t="s">
        <v>51</v>
      </c>
      <c r="H265" s="5" t="s">
        <v>164</v>
      </c>
      <c r="I265" s="5" t="s">
        <v>165</v>
      </c>
      <c r="J265" s="5" t="s">
        <v>102</v>
      </c>
      <c r="K265" s="5" t="s">
        <v>103</v>
      </c>
      <c r="L265" s="5">
        <v>3</v>
      </c>
      <c r="M265" s="5">
        <v>39696</v>
      </c>
      <c r="N265" s="5">
        <v>10</v>
      </c>
      <c r="O265" s="5">
        <v>107179.2</v>
      </c>
      <c r="P265" s="5">
        <v>100831.86</v>
      </c>
      <c r="Q265" s="5">
        <v>6347.34</v>
      </c>
      <c r="R265" s="5" t="s">
        <v>32</v>
      </c>
      <c r="S265" s="5" t="s">
        <v>82</v>
      </c>
      <c r="T265" s="5" t="s">
        <v>73</v>
      </c>
      <c r="U265" s="5">
        <v>4</v>
      </c>
      <c r="V265" s="5" t="s">
        <v>35</v>
      </c>
    </row>
    <row r="266" spans="1:22" x14ac:dyDescent="0.3">
      <c r="A266" s="5" t="s">
        <v>698</v>
      </c>
      <c r="B266" s="6">
        <v>46060</v>
      </c>
      <c r="C266" s="5" t="s">
        <v>699</v>
      </c>
      <c r="D266" s="5" t="s">
        <v>58</v>
      </c>
      <c r="E266" s="5" t="s">
        <v>59</v>
      </c>
      <c r="F266" s="5" t="s">
        <v>60</v>
      </c>
      <c r="G266" s="5" t="s">
        <v>61</v>
      </c>
      <c r="H266" s="5" t="s">
        <v>69</v>
      </c>
      <c r="I266" s="5" t="s">
        <v>70</v>
      </c>
      <c r="J266" s="5" t="s">
        <v>71</v>
      </c>
      <c r="K266" s="5" t="s">
        <v>72</v>
      </c>
      <c r="L266" s="5">
        <v>5</v>
      </c>
      <c r="M266" s="5">
        <v>68281</v>
      </c>
      <c r="N266" s="5">
        <v>20</v>
      </c>
      <c r="O266" s="5">
        <v>273124</v>
      </c>
      <c r="P266" s="5">
        <v>285801.93</v>
      </c>
      <c r="Q266" s="5">
        <v>-12677.93</v>
      </c>
      <c r="R266" s="5" t="s">
        <v>64</v>
      </c>
      <c r="S266" s="5" t="s">
        <v>82</v>
      </c>
      <c r="T266" s="5" t="s">
        <v>34</v>
      </c>
      <c r="U266" s="5">
        <v>4</v>
      </c>
      <c r="V266" s="5" t="s">
        <v>35</v>
      </c>
    </row>
    <row r="267" spans="1:22" x14ac:dyDescent="0.3">
      <c r="A267" s="5" t="s">
        <v>700</v>
      </c>
      <c r="B267" s="6">
        <v>46089</v>
      </c>
      <c r="C267" s="5" t="s">
        <v>315</v>
      </c>
      <c r="D267" s="5" t="s">
        <v>48</v>
      </c>
      <c r="E267" s="5" t="s">
        <v>49</v>
      </c>
      <c r="F267" s="5" t="s">
        <v>50</v>
      </c>
      <c r="G267" s="5" t="s">
        <v>51</v>
      </c>
      <c r="H267" s="5" t="s">
        <v>265</v>
      </c>
      <c r="I267" s="5" t="s">
        <v>266</v>
      </c>
      <c r="J267" s="5" t="s">
        <v>71</v>
      </c>
      <c r="K267" s="5" t="s">
        <v>81</v>
      </c>
      <c r="L267" s="5">
        <v>3</v>
      </c>
      <c r="M267" s="5">
        <v>33256</v>
      </c>
      <c r="N267" s="5">
        <v>0</v>
      </c>
      <c r="O267" s="5">
        <v>99768</v>
      </c>
      <c r="P267" s="5">
        <v>78939.8</v>
      </c>
      <c r="Q267" s="5">
        <v>20828.2</v>
      </c>
      <c r="R267" s="5" t="s">
        <v>44</v>
      </c>
      <c r="S267" s="5" t="s">
        <v>33</v>
      </c>
      <c r="T267" s="5" t="s">
        <v>65</v>
      </c>
      <c r="U267" s="5">
        <v>1</v>
      </c>
      <c r="V267" s="5" t="s">
        <v>45</v>
      </c>
    </row>
    <row r="268" spans="1:22" x14ac:dyDescent="0.3">
      <c r="A268" s="5" t="s">
        <v>701</v>
      </c>
      <c r="B268" s="6">
        <v>46103</v>
      </c>
      <c r="C268" s="5" t="s">
        <v>702</v>
      </c>
      <c r="D268" s="5" t="s">
        <v>58</v>
      </c>
      <c r="E268" s="5" t="s">
        <v>39</v>
      </c>
      <c r="F268" s="5" t="s">
        <v>40</v>
      </c>
      <c r="G268" s="5" t="s">
        <v>41</v>
      </c>
      <c r="H268" s="5" t="s">
        <v>62</v>
      </c>
      <c r="I268" s="5" t="s">
        <v>63</v>
      </c>
      <c r="J268" s="5" t="s">
        <v>54</v>
      </c>
      <c r="K268" s="5" t="s">
        <v>55</v>
      </c>
      <c r="L268" s="5">
        <v>2</v>
      </c>
      <c r="M268" s="5">
        <v>23907</v>
      </c>
      <c r="N268" s="5">
        <v>0</v>
      </c>
      <c r="O268" s="5">
        <v>47814</v>
      </c>
      <c r="P268" s="5">
        <v>26806.75</v>
      </c>
      <c r="Q268" s="5">
        <v>21007.25</v>
      </c>
      <c r="R268" s="5" t="s">
        <v>64</v>
      </c>
      <c r="S268" s="5" t="s">
        <v>82</v>
      </c>
      <c r="T268" s="5" t="s">
        <v>73</v>
      </c>
      <c r="U268" s="5">
        <v>5</v>
      </c>
      <c r="V268" s="5" t="s">
        <v>35</v>
      </c>
    </row>
    <row r="269" spans="1:22" x14ac:dyDescent="0.3">
      <c r="A269" s="5" t="s">
        <v>703</v>
      </c>
      <c r="B269" s="6">
        <v>46132</v>
      </c>
      <c r="C269" s="5" t="s">
        <v>631</v>
      </c>
      <c r="D269" s="5" t="s">
        <v>117</v>
      </c>
      <c r="E269" s="5" t="s">
        <v>59</v>
      </c>
      <c r="F269" s="5" t="s">
        <v>60</v>
      </c>
      <c r="G269" s="5" t="s">
        <v>61</v>
      </c>
      <c r="H269" s="5" t="s">
        <v>206</v>
      </c>
      <c r="I269" s="5" t="s">
        <v>207</v>
      </c>
      <c r="J269" s="5" t="s">
        <v>30</v>
      </c>
      <c r="K269" s="5" t="s">
        <v>31</v>
      </c>
      <c r="L269" s="5">
        <v>3</v>
      </c>
      <c r="M269" s="5">
        <v>5986</v>
      </c>
      <c r="N269" s="5">
        <v>15</v>
      </c>
      <c r="O269" s="5">
        <v>15264.3</v>
      </c>
      <c r="P269" s="5">
        <v>11664.09</v>
      </c>
      <c r="Q269" s="5">
        <v>3600.21</v>
      </c>
      <c r="R269" s="5" t="s">
        <v>32</v>
      </c>
      <c r="S269" s="5" t="s">
        <v>82</v>
      </c>
      <c r="T269" s="5" t="s">
        <v>73</v>
      </c>
      <c r="U269" s="5">
        <v>2</v>
      </c>
      <c r="V269" s="5" t="s">
        <v>35</v>
      </c>
    </row>
    <row r="270" spans="1:22" x14ac:dyDescent="0.3">
      <c r="A270" s="5" t="s">
        <v>704</v>
      </c>
      <c r="B270" s="6">
        <v>46173</v>
      </c>
      <c r="C270" s="5" t="s">
        <v>705</v>
      </c>
      <c r="D270" s="5" t="s">
        <v>117</v>
      </c>
      <c r="E270" s="5" t="s">
        <v>77</v>
      </c>
      <c r="F270" s="5" t="s">
        <v>78</v>
      </c>
      <c r="G270" s="5" t="s">
        <v>41</v>
      </c>
      <c r="H270" s="5" t="s">
        <v>387</v>
      </c>
      <c r="I270" s="5" t="s">
        <v>388</v>
      </c>
      <c r="J270" s="5" t="s">
        <v>54</v>
      </c>
      <c r="K270" s="5" t="s">
        <v>97</v>
      </c>
      <c r="L270" s="5">
        <v>1</v>
      </c>
      <c r="M270" s="5">
        <v>64499</v>
      </c>
      <c r="N270" s="5">
        <v>5</v>
      </c>
      <c r="O270" s="5">
        <v>61274.05</v>
      </c>
      <c r="P270" s="5">
        <v>54245.51</v>
      </c>
      <c r="Q270" s="5">
        <v>7028.54</v>
      </c>
      <c r="R270" s="5" t="s">
        <v>64</v>
      </c>
      <c r="S270" s="5" t="s">
        <v>33</v>
      </c>
      <c r="T270" s="5" t="s">
        <v>65</v>
      </c>
      <c r="U270" s="5">
        <v>1</v>
      </c>
      <c r="V270" s="5" t="s">
        <v>45</v>
      </c>
    </row>
    <row r="271" spans="1:22" x14ac:dyDescent="0.3">
      <c r="A271" s="5" t="s">
        <v>706</v>
      </c>
      <c r="B271" s="6">
        <v>46046</v>
      </c>
      <c r="C271" s="5" t="s">
        <v>707</v>
      </c>
      <c r="D271" s="5" t="s">
        <v>68</v>
      </c>
      <c r="E271" s="5" t="s">
        <v>94</v>
      </c>
      <c r="F271" s="5" t="s">
        <v>26</v>
      </c>
      <c r="G271" s="5" t="s">
        <v>27</v>
      </c>
      <c r="H271" s="5" t="s">
        <v>640</v>
      </c>
      <c r="I271" s="5" t="s">
        <v>641</v>
      </c>
      <c r="J271" s="5" t="s">
        <v>54</v>
      </c>
      <c r="K271" s="5" t="s">
        <v>97</v>
      </c>
      <c r="L271" s="5">
        <v>5</v>
      </c>
      <c r="M271" s="5">
        <v>66593</v>
      </c>
      <c r="N271" s="5">
        <v>5</v>
      </c>
      <c r="O271" s="5">
        <v>316316.75</v>
      </c>
      <c r="P271" s="5">
        <v>260920.95999999999</v>
      </c>
      <c r="Q271" s="5">
        <v>55395.79</v>
      </c>
      <c r="R271" s="5" t="s">
        <v>32</v>
      </c>
      <c r="S271" s="5" t="s">
        <v>33</v>
      </c>
      <c r="T271" s="5" t="s">
        <v>34</v>
      </c>
      <c r="U271" s="5">
        <v>3</v>
      </c>
      <c r="V271" s="5" t="s">
        <v>35</v>
      </c>
    </row>
    <row r="272" spans="1:22" x14ac:dyDescent="0.3">
      <c r="A272" s="5" t="s">
        <v>708</v>
      </c>
      <c r="B272" s="6">
        <v>46190</v>
      </c>
      <c r="C272" s="5" t="s">
        <v>429</v>
      </c>
      <c r="D272" s="5" t="s">
        <v>151</v>
      </c>
      <c r="E272" s="5" t="s">
        <v>59</v>
      </c>
      <c r="F272" s="5" t="s">
        <v>60</v>
      </c>
      <c r="G272" s="5" t="s">
        <v>61</v>
      </c>
      <c r="H272" s="5" t="s">
        <v>371</v>
      </c>
      <c r="I272" s="5" t="s">
        <v>372</v>
      </c>
      <c r="J272" s="5" t="s">
        <v>71</v>
      </c>
      <c r="K272" s="5" t="s">
        <v>72</v>
      </c>
      <c r="L272" s="5">
        <v>4</v>
      </c>
      <c r="M272" s="5">
        <v>51359</v>
      </c>
      <c r="N272" s="5">
        <v>20</v>
      </c>
      <c r="O272" s="5">
        <v>164348.79999999999</v>
      </c>
      <c r="P272" s="5">
        <v>170727.71</v>
      </c>
      <c r="Q272" s="5">
        <v>-6378.91</v>
      </c>
      <c r="R272" s="5" t="s">
        <v>64</v>
      </c>
      <c r="S272" s="5" t="s">
        <v>33</v>
      </c>
      <c r="T272" s="5" t="s">
        <v>73</v>
      </c>
      <c r="U272" s="5">
        <v>2</v>
      </c>
      <c r="V272" s="5" t="s">
        <v>35</v>
      </c>
    </row>
    <row r="273" spans="1:22" x14ac:dyDescent="0.3">
      <c r="A273" s="5" t="s">
        <v>709</v>
      </c>
      <c r="B273" s="6">
        <v>46164</v>
      </c>
      <c r="C273" s="5" t="s">
        <v>656</v>
      </c>
      <c r="D273" s="5" t="s">
        <v>38</v>
      </c>
      <c r="E273" s="5" t="s">
        <v>49</v>
      </c>
      <c r="F273" s="5" t="s">
        <v>50</v>
      </c>
      <c r="G273" s="5" t="s">
        <v>51</v>
      </c>
      <c r="H273" s="5" t="s">
        <v>234</v>
      </c>
      <c r="I273" s="5" t="s">
        <v>235</v>
      </c>
      <c r="J273" s="5" t="s">
        <v>102</v>
      </c>
      <c r="K273" s="5" t="s">
        <v>103</v>
      </c>
      <c r="L273" s="5">
        <v>5</v>
      </c>
      <c r="M273" s="5">
        <v>49453</v>
      </c>
      <c r="N273" s="5">
        <v>10</v>
      </c>
      <c r="O273" s="5">
        <v>222538.5</v>
      </c>
      <c r="P273" s="5">
        <v>168272.15</v>
      </c>
      <c r="Q273" s="5">
        <v>54266.35</v>
      </c>
      <c r="R273" s="5" t="s">
        <v>64</v>
      </c>
      <c r="S273" s="5" t="s">
        <v>82</v>
      </c>
      <c r="T273" s="5" t="s">
        <v>34</v>
      </c>
      <c r="U273" s="5">
        <v>5</v>
      </c>
      <c r="V273" s="5" t="s">
        <v>45</v>
      </c>
    </row>
    <row r="274" spans="1:22" x14ac:dyDescent="0.3">
      <c r="A274" s="5" t="s">
        <v>710</v>
      </c>
      <c r="B274" s="6">
        <v>46071</v>
      </c>
      <c r="C274" s="5" t="s">
        <v>130</v>
      </c>
      <c r="D274" s="5" t="s">
        <v>38</v>
      </c>
      <c r="E274" s="5" t="s">
        <v>94</v>
      </c>
      <c r="F274" s="5" t="s">
        <v>26</v>
      </c>
      <c r="G274" s="5" t="s">
        <v>27</v>
      </c>
      <c r="H274" s="5" t="s">
        <v>391</v>
      </c>
      <c r="I274" s="5" t="s">
        <v>392</v>
      </c>
      <c r="J274" s="5" t="s">
        <v>54</v>
      </c>
      <c r="K274" s="5" t="s">
        <v>55</v>
      </c>
      <c r="L274" s="5">
        <v>3</v>
      </c>
      <c r="M274" s="5">
        <v>61329</v>
      </c>
      <c r="N274" s="5">
        <v>15</v>
      </c>
      <c r="O274" s="5">
        <v>156388.95000000001</v>
      </c>
      <c r="P274" s="5">
        <v>126662.66</v>
      </c>
      <c r="Q274" s="5">
        <v>29726.29</v>
      </c>
      <c r="R274" s="5" t="s">
        <v>64</v>
      </c>
      <c r="S274" s="5" t="s">
        <v>33</v>
      </c>
      <c r="T274" s="5" t="s">
        <v>34</v>
      </c>
      <c r="U274" s="5">
        <v>2</v>
      </c>
      <c r="V274" s="5" t="s">
        <v>45</v>
      </c>
    </row>
    <row r="275" spans="1:22" x14ac:dyDescent="0.3">
      <c r="A275" s="5" t="s">
        <v>711</v>
      </c>
      <c r="B275" s="6">
        <v>46063</v>
      </c>
      <c r="C275" s="5" t="s">
        <v>712</v>
      </c>
      <c r="D275" s="5" t="s">
        <v>89</v>
      </c>
      <c r="E275" s="5" t="s">
        <v>77</v>
      </c>
      <c r="F275" s="5" t="s">
        <v>78</v>
      </c>
      <c r="G275" s="5" t="s">
        <v>41</v>
      </c>
      <c r="H275" s="5" t="s">
        <v>513</v>
      </c>
      <c r="I275" s="5" t="s">
        <v>514</v>
      </c>
      <c r="J275" s="5" t="s">
        <v>71</v>
      </c>
      <c r="K275" s="5" t="s">
        <v>72</v>
      </c>
      <c r="L275" s="5">
        <v>3</v>
      </c>
      <c r="M275" s="5">
        <v>36982</v>
      </c>
      <c r="N275" s="5">
        <v>20</v>
      </c>
      <c r="O275" s="5">
        <v>88756.800000000003</v>
      </c>
      <c r="P275" s="5">
        <v>66552.66</v>
      </c>
      <c r="Q275" s="5">
        <v>22204.14</v>
      </c>
      <c r="R275" s="5" t="s">
        <v>44</v>
      </c>
      <c r="S275" s="5" t="s">
        <v>33</v>
      </c>
      <c r="T275" s="5" t="s">
        <v>34</v>
      </c>
      <c r="U275" s="5">
        <v>2</v>
      </c>
      <c r="V275" s="5" t="s">
        <v>45</v>
      </c>
    </row>
    <row r="276" spans="1:22" x14ac:dyDescent="0.3">
      <c r="A276" s="5" t="s">
        <v>713</v>
      </c>
      <c r="B276" s="6">
        <v>46084</v>
      </c>
      <c r="C276" s="5" t="s">
        <v>714</v>
      </c>
      <c r="D276" s="5" t="s">
        <v>76</v>
      </c>
      <c r="E276" s="5" t="s">
        <v>25</v>
      </c>
      <c r="F276" s="5" t="s">
        <v>26</v>
      </c>
      <c r="G276" s="5" t="s">
        <v>27</v>
      </c>
      <c r="H276" s="5" t="s">
        <v>172</v>
      </c>
      <c r="I276" s="5" t="s">
        <v>173</v>
      </c>
      <c r="J276" s="5" t="s">
        <v>54</v>
      </c>
      <c r="K276" s="5" t="s">
        <v>97</v>
      </c>
      <c r="L276" s="5">
        <v>4</v>
      </c>
      <c r="M276" s="5">
        <v>71045</v>
      </c>
      <c r="N276" s="5">
        <v>20</v>
      </c>
      <c r="O276" s="5">
        <v>227344</v>
      </c>
      <c r="P276" s="5">
        <v>216156.02</v>
      </c>
      <c r="Q276" s="5">
        <v>11187.98</v>
      </c>
      <c r="R276" s="5" t="s">
        <v>32</v>
      </c>
      <c r="S276" s="5" t="s">
        <v>33</v>
      </c>
      <c r="T276" s="5" t="s">
        <v>73</v>
      </c>
      <c r="U276" s="5">
        <v>1</v>
      </c>
      <c r="V276" s="5" t="s">
        <v>45</v>
      </c>
    </row>
    <row r="277" spans="1:22" x14ac:dyDescent="0.3">
      <c r="A277" s="5" t="s">
        <v>715</v>
      </c>
      <c r="B277" s="6">
        <v>46180</v>
      </c>
      <c r="C277" s="5" t="s">
        <v>37</v>
      </c>
      <c r="D277" s="5" t="s">
        <v>58</v>
      </c>
      <c r="E277" s="5" t="s">
        <v>39</v>
      </c>
      <c r="F277" s="5" t="s">
        <v>40</v>
      </c>
      <c r="G277" s="5" t="s">
        <v>41</v>
      </c>
      <c r="H277" s="5" t="s">
        <v>440</v>
      </c>
      <c r="I277" s="5" t="s">
        <v>441</v>
      </c>
      <c r="J277" s="5" t="s">
        <v>30</v>
      </c>
      <c r="K277" s="5" t="s">
        <v>31</v>
      </c>
      <c r="L277" s="5">
        <v>2</v>
      </c>
      <c r="M277" s="5">
        <v>35973</v>
      </c>
      <c r="N277" s="5">
        <v>20</v>
      </c>
      <c r="O277" s="5">
        <v>57556.800000000003</v>
      </c>
      <c r="P277" s="5">
        <v>55108.05</v>
      </c>
      <c r="Q277" s="5">
        <v>2448.75</v>
      </c>
      <c r="R277" s="5" t="s">
        <v>44</v>
      </c>
      <c r="S277" s="5" t="s">
        <v>33</v>
      </c>
      <c r="T277" s="5" t="s">
        <v>73</v>
      </c>
      <c r="U277" s="5">
        <v>5</v>
      </c>
      <c r="V277" s="5" t="s">
        <v>45</v>
      </c>
    </row>
    <row r="278" spans="1:22" x14ac:dyDescent="0.3">
      <c r="A278" s="5" t="s">
        <v>716</v>
      </c>
      <c r="B278" s="6">
        <v>46048</v>
      </c>
      <c r="C278" s="5" t="s">
        <v>650</v>
      </c>
      <c r="D278" s="5" t="s">
        <v>110</v>
      </c>
      <c r="E278" s="5" t="s">
        <v>94</v>
      </c>
      <c r="F278" s="5" t="s">
        <v>26</v>
      </c>
      <c r="G278" s="5" t="s">
        <v>27</v>
      </c>
      <c r="H278" s="5" t="s">
        <v>717</v>
      </c>
      <c r="I278" s="5" t="s">
        <v>718</v>
      </c>
      <c r="J278" s="5" t="s">
        <v>102</v>
      </c>
      <c r="K278" s="5" t="s">
        <v>103</v>
      </c>
      <c r="L278" s="5">
        <v>5</v>
      </c>
      <c r="M278" s="5">
        <v>54911</v>
      </c>
      <c r="N278" s="5">
        <v>15</v>
      </c>
      <c r="O278" s="5">
        <v>233371.75</v>
      </c>
      <c r="P278" s="5">
        <v>208271.91</v>
      </c>
      <c r="Q278" s="5">
        <v>25099.84</v>
      </c>
      <c r="R278" s="5" t="s">
        <v>64</v>
      </c>
      <c r="S278" s="5" t="s">
        <v>82</v>
      </c>
      <c r="T278" s="5" t="s">
        <v>73</v>
      </c>
      <c r="U278" s="5">
        <v>1</v>
      </c>
      <c r="V278" s="5" t="s">
        <v>45</v>
      </c>
    </row>
    <row r="279" spans="1:22" x14ac:dyDescent="0.3">
      <c r="A279" s="5" t="s">
        <v>719</v>
      </c>
      <c r="B279" s="6">
        <v>46161</v>
      </c>
      <c r="C279" s="5" t="s">
        <v>720</v>
      </c>
      <c r="D279" s="5" t="s">
        <v>76</v>
      </c>
      <c r="E279" s="5" t="s">
        <v>39</v>
      </c>
      <c r="F279" s="5" t="s">
        <v>40</v>
      </c>
      <c r="G279" s="5" t="s">
        <v>41</v>
      </c>
      <c r="H279" s="5" t="s">
        <v>461</v>
      </c>
      <c r="I279" s="5" t="s">
        <v>462</v>
      </c>
      <c r="J279" s="5" t="s">
        <v>71</v>
      </c>
      <c r="K279" s="5" t="s">
        <v>72</v>
      </c>
      <c r="L279" s="5">
        <v>4</v>
      </c>
      <c r="M279" s="5">
        <v>38169</v>
      </c>
      <c r="N279" s="5">
        <v>20</v>
      </c>
      <c r="O279" s="5">
        <v>122140.8</v>
      </c>
      <c r="P279" s="5">
        <v>109249.14</v>
      </c>
      <c r="Q279" s="5">
        <v>12891.66</v>
      </c>
      <c r="R279" s="5" t="s">
        <v>64</v>
      </c>
      <c r="S279" s="5" t="s">
        <v>82</v>
      </c>
      <c r="T279" s="5" t="s">
        <v>73</v>
      </c>
      <c r="U279" s="5">
        <v>4</v>
      </c>
      <c r="V279" s="5" t="s">
        <v>35</v>
      </c>
    </row>
    <row r="280" spans="1:22" x14ac:dyDescent="0.3">
      <c r="A280" s="5" t="s">
        <v>721</v>
      </c>
      <c r="B280" s="6">
        <v>46145</v>
      </c>
      <c r="C280" s="5" t="s">
        <v>99</v>
      </c>
      <c r="D280" s="5" t="s">
        <v>151</v>
      </c>
      <c r="E280" s="5" t="s">
        <v>49</v>
      </c>
      <c r="F280" s="5" t="s">
        <v>50</v>
      </c>
      <c r="G280" s="5" t="s">
        <v>51</v>
      </c>
      <c r="H280" s="5" t="s">
        <v>557</v>
      </c>
      <c r="I280" s="5" t="s">
        <v>558</v>
      </c>
      <c r="J280" s="5" t="s">
        <v>54</v>
      </c>
      <c r="K280" s="5" t="s">
        <v>97</v>
      </c>
      <c r="L280" s="5">
        <v>4</v>
      </c>
      <c r="M280" s="5">
        <v>69500</v>
      </c>
      <c r="N280" s="5">
        <v>15</v>
      </c>
      <c r="O280" s="5">
        <v>236300</v>
      </c>
      <c r="P280" s="5">
        <v>153059.71</v>
      </c>
      <c r="Q280" s="5">
        <v>83240.289999999994</v>
      </c>
      <c r="R280" s="5" t="s">
        <v>64</v>
      </c>
      <c r="S280" s="5" t="s">
        <v>82</v>
      </c>
      <c r="T280" s="5" t="s">
        <v>34</v>
      </c>
      <c r="U280" s="5">
        <v>3</v>
      </c>
      <c r="V280" s="5" t="s">
        <v>45</v>
      </c>
    </row>
    <row r="281" spans="1:22" x14ac:dyDescent="0.3">
      <c r="A281" s="5" t="s">
        <v>722</v>
      </c>
      <c r="B281" s="6">
        <v>46111</v>
      </c>
      <c r="C281" s="5" t="s">
        <v>723</v>
      </c>
      <c r="D281" s="5" t="s">
        <v>117</v>
      </c>
      <c r="E281" s="5" t="s">
        <v>94</v>
      </c>
      <c r="F281" s="5" t="s">
        <v>26</v>
      </c>
      <c r="G281" s="5" t="s">
        <v>27</v>
      </c>
      <c r="H281" s="5" t="s">
        <v>261</v>
      </c>
      <c r="I281" s="5" t="s">
        <v>262</v>
      </c>
      <c r="J281" s="5" t="s">
        <v>102</v>
      </c>
      <c r="K281" s="5" t="s">
        <v>103</v>
      </c>
      <c r="L281" s="5">
        <v>1</v>
      </c>
      <c r="M281" s="5">
        <v>28084</v>
      </c>
      <c r="N281" s="5">
        <v>15</v>
      </c>
      <c r="O281" s="5">
        <v>23871.4</v>
      </c>
      <c r="P281" s="5">
        <v>22663.040000000001</v>
      </c>
      <c r="Q281" s="5">
        <v>1208.3599999999999</v>
      </c>
      <c r="R281" s="5" t="s">
        <v>44</v>
      </c>
      <c r="S281" s="5" t="s">
        <v>82</v>
      </c>
      <c r="T281" s="5" t="s">
        <v>73</v>
      </c>
      <c r="U281" s="5">
        <v>3</v>
      </c>
      <c r="V281" s="5" t="s">
        <v>45</v>
      </c>
    </row>
    <row r="282" spans="1:22" x14ac:dyDescent="0.3">
      <c r="A282" s="5" t="s">
        <v>724</v>
      </c>
      <c r="B282" s="6">
        <v>46156</v>
      </c>
      <c r="C282" s="5" t="s">
        <v>725</v>
      </c>
      <c r="D282" s="5" t="s">
        <v>110</v>
      </c>
      <c r="E282" s="5" t="s">
        <v>126</v>
      </c>
      <c r="F282" s="5" t="s">
        <v>126</v>
      </c>
      <c r="G282" s="5" t="s">
        <v>51</v>
      </c>
      <c r="H282" s="5" t="s">
        <v>241</v>
      </c>
      <c r="I282" s="5" t="s">
        <v>242</v>
      </c>
      <c r="J282" s="5" t="s">
        <v>54</v>
      </c>
      <c r="K282" s="5" t="s">
        <v>55</v>
      </c>
      <c r="L282" s="5">
        <v>3</v>
      </c>
      <c r="M282" s="5">
        <v>68577</v>
      </c>
      <c r="N282" s="5">
        <v>0</v>
      </c>
      <c r="O282" s="5">
        <v>205731</v>
      </c>
      <c r="P282" s="5">
        <v>161805.82999999999</v>
      </c>
      <c r="Q282" s="5">
        <v>43925.17</v>
      </c>
      <c r="R282" s="5" t="s">
        <v>32</v>
      </c>
      <c r="S282" s="5" t="s">
        <v>82</v>
      </c>
      <c r="T282" s="5" t="s">
        <v>34</v>
      </c>
      <c r="U282" s="5">
        <v>1</v>
      </c>
      <c r="V282" s="5" t="s">
        <v>45</v>
      </c>
    </row>
    <row r="283" spans="1:22" x14ac:dyDescent="0.3">
      <c r="A283" s="5" t="s">
        <v>726</v>
      </c>
      <c r="B283" s="6">
        <v>46084</v>
      </c>
      <c r="C283" s="5" t="s">
        <v>125</v>
      </c>
      <c r="D283" s="5" t="s">
        <v>89</v>
      </c>
      <c r="E283" s="5" t="s">
        <v>59</v>
      </c>
      <c r="F283" s="5" t="s">
        <v>60</v>
      </c>
      <c r="G283" s="5" t="s">
        <v>61</v>
      </c>
      <c r="H283" s="5" t="s">
        <v>717</v>
      </c>
      <c r="I283" s="5" t="s">
        <v>718</v>
      </c>
      <c r="J283" s="5" t="s">
        <v>102</v>
      </c>
      <c r="K283" s="5" t="s">
        <v>103</v>
      </c>
      <c r="L283" s="5">
        <v>2</v>
      </c>
      <c r="M283" s="5">
        <v>44333</v>
      </c>
      <c r="N283" s="5">
        <v>5</v>
      </c>
      <c r="O283" s="5">
        <v>84232.7</v>
      </c>
      <c r="P283" s="5">
        <v>74051.69</v>
      </c>
      <c r="Q283" s="5">
        <v>10181.01</v>
      </c>
      <c r="R283" s="5" t="s">
        <v>64</v>
      </c>
      <c r="S283" s="5" t="s">
        <v>33</v>
      </c>
      <c r="T283" s="5" t="s">
        <v>65</v>
      </c>
      <c r="U283" s="5">
        <v>1</v>
      </c>
      <c r="V283" s="5" t="s">
        <v>35</v>
      </c>
    </row>
    <row r="284" spans="1:22" x14ac:dyDescent="0.3">
      <c r="A284" s="5" t="s">
        <v>727</v>
      </c>
      <c r="B284" s="6">
        <v>46086</v>
      </c>
      <c r="C284" s="5" t="s">
        <v>347</v>
      </c>
      <c r="D284" s="5" t="s">
        <v>110</v>
      </c>
      <c r="E284" s="5" t="s">
        <v>25</v>
      </c>
      <c r="F284" s="5" t="s">
        <v>26</v>
      </c>
      <c r="G284" s="5" t="s">
        <v>27</v>
      </c>
      <c r="H284" s="5" t="s">
        <v>431</v>
      </c>
      <c r="I284" s="5" t="s">
        <v>432</v>
      </c>
      <c r="J284" s="5" t="s">
        <v>30</v>
      </c>
      <c r="K284" s="5" t="s">
        <v>31</v>
      </c>
      <c r="L284" s="5">
        <v>4</v>
      </c>
      <c r="M284" s="5">
        <v>72123</v>
      </c>
      <c r="N284" s="5">
        <v>0</v>
      </c>
      <c r="O284" s="5">
        <v>288492</v>
      </c>
      <c r="P284" s="5">
        <v>193301.86</v>
      </c>
      <c r="Q284" s="5">
        <v>95190.14</v>
      </c>
      <c r="R284" s="5" t="s">
        <v>32</v>
      </c>
      <c r="S284" s="5" t="s">
        <v>33</v>
      </c>
      <c r="T284" s="5" t="s">
        <v>34</v>
      </c>
      <c r="U284" s="5">
        <v>2</v>
      </c>
      <c r="V284" s="5" t="s">
        <v>35</v>
      </c>
    </row>
    <row r="285" spans="1:22" x14ac:dyDescent="0.3">
      <c r="A285" s="5" t="s">
        <v>728</v>
      </c>
      <c r="B285" s="6">
        <v>46115</v>
      </c>
      <c r="C285" s="5" t="s">
        <v>47</v>
      </c>
      <c r="D285" s="5" t="s">
        <v>76</v>
      </c>
      <c r="E285" s="5" t="s">
        <v>25</v>
      </c>
      <c r="F285" s="5" t="s">
        <v>26</v>
      </c>
      <c r="G285" s="5" t="s">
        <v>27</v>
      </c>
      <c r="H285" s="5" t="s">
        <v>312</v>
      </c>
      <c r="I285" s="5" t="s">
        <v>313</v>
      </c>
      <c r="J285" s="5" t="s">
        <v>54</v>
      </c>
      <c r="K285" s="5" t="s">
        <v>97</v>
      </c>
      <c r="L285" s="5">
        <v>1</v>
      </c>
      <c r="M285" s="5">
        <v>52149</v>
      </c>
      <c r="N285" s="5">
        <v>20</v>
      </c>
      <c r="O285" s="5">
        <v>41719.199999999997</v>
      </c>
      <c r="P285" s="5">
        <v>33011.56</v>
      </c>
      <c r="Q285" s="5">
        <v>8707.64</v>
      </c>
      <c r="R285" s="5" t="s">
        <v>32</v>
      </c>
      <c r="S285" s="5" t="s">
        <v>82</v>
      </c>
      <c r="T285" s="5" t="s">
        <v>34</v>
      </c>
      <c r="U285" s="5">
        <v>3</v>
      </c>
      <c r="V285" s="5" t="s">
        <v>35</v>
      </c>
    </row>
    <row r="286" spans="1:22" x14ac:dyDescent="0.3">
      <c r="A286" s="5" t="s">
        <v>729</v>
      </c>
      <c r="B286" s="6">
        <v>46069</v>
      </c>
      <c r="C286" s="5" t="s">
        <v>730</v>
      </c>
      <c r="D286" s="5" t="s">
        <v>68</v>
      </c>
      <c r="E286" s="5" t="s">
        <v>77</v>
      </c>
      <c r="F286" s="5" t="s">
        <v>78</v>
      </c>
      <c r="G286" s="5" t="s">
        <v>41</v>
      </c>
      <c r="H286" s="5" t="s">
        <v>210</v>
      </c>
      <c r="I286" s="5" t="s">
        <v>211</v>
      </c>
      <c r="J286" s="5" t="s">
        <v>102</v>
      </c>
      <c r="K286" s="5" t="s">
        <v>103</v>
      </c>
      <c r="L286" s="5">
        <v>1</v>
      </c>
      <c r="M286" s="5">
        <v>45999</v>
      </c>
      <c r="N286" s="5">
        <v>10</v>
      </c>
      <c r="O286" s="5">
        <v>41399.1</v>
      </c>
      <c r="P286" s="5">
        <v>39039.79</v>
      </c>
      <c r="Q286" s="5">
        <v>2359.31</v>
      </c>
      <c r="R286" s="5" t="s">
        <v>64</v>
      </c>
      <c r="S286" s="5" t="s">
        <v>33</v>
      </c>
      <c r="T286" s="5" t="s">
        <v>73</v>
      </c>
      <c r="U286" s="5">
        <v>4</v>
      </c>
      <c r="V286" s="5" t="s">
        <v>35</v>
      </c>
    </row>
    <row r="287" spans="1:22" x14ac:dyDescent="0.3">
      <c r="A287" s="5" t="s">
        <v>731</v>
      </c>
      <c r="B287" s="6">
        <v>46114</v>
      </c>
      <c r="C287" s="5" t="s">
        <v>732</v>
      </c>
      <c r="D287" s="5" t="s">
        <v>89</v>
      </c>
      <c r="E287" s="5" t="s">
        <v>77</v>
      </c>
      <c r="F287" s="5" t="s">
        <v>78</v>
      </c>
      <c r="G287" s="5" t="s">
        <v>41</v>
      </c>
      <c r="H287" s="5" t="s">
        <v>461</v>
      </c>
      <c r="I287" s="5" t="s">
        <v>462</v>
      </c>
      <c r="J287" s="5" t="s">
        <v>71</v>
      </c>
      <c r="K287" s="5" t="s">
        <v>72</v>
      </c>
      <c r="L287" s="5">
        <v>5</v>
      </c>
      <c r="M287" s="5">
        <v>60955</v>
      </c>
      <c r="N287" s="5">
        <v>10</v>
      </c>
      <c r="O287" s="5">
        <v>274297.5</v>
      </c>
      <c r="P287" s="5">
        <v>249002.51</v>
      </c>
      <c r="Q287" s="5">
        <v>25294.99</v>
      </c>
      <c r="R287" s="5" t="s">
        <v>64</v>
      </c>
      <c r="S287" s="5" t="s">
        <v>33</v>
      </c>
      <c r="T287" s="5" t="s">
        <v>65</v>
      </c>
      <c r="U287" s="5">
        <v>3</v>
      </c>
      <c r="V287" s="5" t="s">
        <v>35</v>
      </c>
    </row>
    <row r="288" spans="1:22" x14ac:dyDescent="0.3">
      <c r="A288" s="5" t="s">
        <v>733</v>
      </c>
      <c r="B288" s="6">
        <v>46076</v>
      </c>
      <c r="C288" s="5" t="s">
        <v>425</v>
      </c>
      <c r="D288" s="5" t="s">
        <v>24</v>
      </c>
      <c r="E288" s="5" t="s">
        <v>49</v>
      </c>
      <c r="F288" s="5" t="s">
        <v>50</v>
      </c>
      <c r="G288" s="5" t="s">
        <v>51</v>
      </c>
      <c r="H288" s="5" t="s">
        <v>342</v>
      </c>
      <c r="I288" s="5" t="s">
        <v>343</v>
      </c>
      <c r="J288" s="5" t="s">
        <v>54</v>
      </c>
      <c r="K288" s="5" t="s">
        <v>97</v>
      </c>
      <c r="L288" s="5">
        <v>1</v>
      </c>
      <c r="M288" s="5">
        <v>18223</v>
      </c>
      <c r="N288" s="5">
        <v>15</v>
      </c>
      <c r="O288" s="5">
        <v>15489.55</v>
      </c>
      <c r="P288" s="5">
        <v>14527.46</v>
      </c>
      <c r="Q288" s="5">
        <v>962.09</v>
      </c>
      <c r="R288" s="5" t="s">
        <v>64</v>
      </c>
      <c r="S288" s="5" t="s">
        <v>33</v>
      </c>
      <c r="T288" s="5" t="s">
        <v>65</v>
      </c>
      <c r="U288" s="5">
        <v>4</v>
      </c>
      <c r="V288" s="5" t="s">
        <v>35</v>
      </c>
    </row>
    <row r="289" spans="1:22" x14ac:dyDescent="0.3">
      <c r="A289" s="5" t="s">
        <v>734</v>
      </c>
      <c r="B289" s="6">
        <v>46099</v>
      </c>
      <c r="C289" s="5" t="s">
        <v>693</v>
      </c>
      <c r="D289" s="5" t="s">
        <v>24</v>
      </c>
      <c r="E289" s="5" t="s">
        <v>126</v>
      </c>
      <c r="F289" s="5" t="s">
        <v>126</v>
      </c>
      <c r="G289" s="5" t="s">
        <v>51</v>
      </c>
      <c r="H289" s="5" t="s">
        <v>735</v>
      </c>
      <c r="I289" s="5" t="s">
        <v>736</v>
      </c>
      <c r="J289" s="5" t="s">
        <v>54</v>
      </c>
      <c r="K289" s="5" t="s">
        <v>97</v>
      </c>
      <c r="L289" s="5">
        <v>2</v>
      </c>
      <c r="M289" s="5">
        <v>4402</v>
      </c>
      <c r="N289" s="5">
        <v>0</v>
      </c>
      <c r="O289" s="5">
        <v>8804</v>
      </c>
      <c r="P289" s="5">
        <v>5015.8599999999997</v>
      </c>
      <c r="Q289" s="5">
        <v>3788.14</v>
      </c>
      <c r="R289" s="5" t="s">
        <v>64</v>
      </c>
      <c r="S289" s="5" t="s">
        <v>33</v>
      </c>
      <c r="T289" s="5" t="s">
        <v>65</v>
      </c>
      <c r="U289" s="5">
        <v>3</v>
      </c>
      <c r="V289" s="5" t="s">
        <v>45</v>
      </c>
    </row>
    <row r="290" spans="1:22" x14ac:dyDescent="0.3">
      <c r="A290" s="5" t="s">
        <v>737</v>
      </c>
      <c r="B290" s="6">
        <v>46187</v>
      </c>
      <c r="C290" s="5" t="s">
        <v>738</v>
      </c>
      <c r="D290" s="5" t="s">
        <v>68</v>
      </c>
      <c r="E290" s="5" t="s">
        <v>39</v>
      </c>
      <c r="F290" s="5" t="s">
        <v>40</v>
      </c>
      <c r="G290" s="5" t="s">
        <v>41</v>
      </c>
      <c r="H290" s="5" t="s">
        <v>371</v>
      </c>
      <c r="I290" s="5" t="s">
        <v>372</v>
      </c>
      <c r="J290" s="5" t="s">
        <v>71</v>
      </c>
      <c r="K290" s="5" t="s">
        <v>72</v>
      </c>
      <c r="L290" s="5">
        <v>3</v>
      </c>
      <c r="M290" s="5">
        <v>40064</v>
      </c>
      <c r="N290" s="5">
        <v>15</v>
      </c>
      <c r="O290" s="5">
        <v>102163.2</v>
      </c>
      <c r="P290" s="5">
        <v>75248.479999999996</v>
      </c>
      <c r="Q290" s="5">
        <v>26914.720000000001</v>
      </c>
      <c r="R290" s="5" t="s">
        <v>64</v>
      </c>
      <c r="S290" s="5" t="s">
        <v>33</v>
      </c>
      <c r="T290" s="5" t="s">
        <v>65</v>
      </c>
      <c r="U290" s="5">
        <v>2</v>
      </c>
      <c r="V290" s="5" t="s">
        <v>45</v>
      </c>
    </row>
    <row r="291" spans="1:22" x14ac:dyDescent="0.3">
      <c r="A291" s="5" t="s">
        <v>739</v>
      </c>
      <c r="B291" s="6">
        <v>46122</v>
      </c>
      <c r="C291" s="5" t="s">
        <v>740</v>
      </c>
      <c r="D291" s="5" t="s">
        <v>76</v>
      </c>
      <c r="E291" s="5" t="s">
        <v>126</v>
      </c>
      <c r="F291" s="5" t="s">
        <v>126</v>
      </c>
      <c r="G291" s="5" t="s">
        <v>51</v>
      </c>
      <c r="H291" s="5" t="s">
        <v>62</v>
      </c>
      <c r="I291" s="5" t="s">
        <v>63</v>
      </c>
      <c r="J291" s="5" t="s">
        <v>54</v>
      </c>
      <c r="K291" s="5" t="s">
        <v>55</v>
      </c>
      <c r="L291" s="5">
        <v>2</v>
      </c>
      <c r="M291" s="5">
        <v>76834</v>
      </c>
      <c r="N291" s="5">
        <v>0</v>
      </c>
      <c r="O291" s="5">
        <v>153668</v>
      </c>
      <c r="P291" s="5">
        <v>114446.22</v>
      </c>
      <c r="Q291" s="5">
        <v>39221.78</v>
      </c>
      <c r="R291" s="5" t="s">
        <v>44</v>
      </c>
      <c r="S291" s="5" t="s">
        <v>33</v>
      </c>
      <c r="T291" s="5" t="s">
        <v>73</v>
      </c>
      <c r="U291" s="5">
        <v>5</v>
      </c>
      <c r="V291" s="5" t="s">
        <v>35</v>
      </c>
    </row>
    <row r="292" spans="1:22" x14ac:dyDescent="0.3">
      <c r="A292" s="5" t="s">
        <v>741</v>
      </c>
      <c r="B292" s="6">
        <v>46088</v>
      </c>
      <c r="C292" s="5" t="s">
        <v>370</v>
      </c>
      <c r="D292" s="5" t="s">
        <v>48</v>
      </c>
      <c r="E292" s="5" t="s">
        <v>49</v>
      </c>
      <c r="F292" s="5" t="s">
        <v>50</v>
      </c>
      <c r="G292" s="5" t="s">
        <v>51</v>
      </c>
      <c r="H292" s="5" t="s">
        <v>62</v>
      </c>
      <c r="I292" s="5" t="s">
        <v>63</v>
      </c>
      <c r="J292" s="5" t="s">
        <v>54</v>
      </c>
      <c r="K292" s="5" t="s">
        <v>55</v>
      </c>
      <c r="L292" s="5">
        <v>4</v>
      </c>
      <c r="M292" s="5">
        <v>26592</v>
      </c>
      <c r="N292" s="5">
        <v>20</v>
      </c>
      <c r="O292" s="5">
        <v>85094.399999999994</v>
      </c>
      <c r="P292" s="5">
        <v>86579.03</v>
      </c>
      <c r="Q292" s="5">
        <v>-1484.63</v>
      </c>
      <c r="R292" s="5" t="s">
        <v>32</v>
      </c>
      <c r="S292" s="5" t="s">
        <v>82</v>
      </c>
      <c r="T292" s="5" t="s">
        <v>73</v>
      </c>
      <c r="U292" s="5">
        <v>4</v>
      </c>
      <c r="V292" s="5" t="s">
        <v>45</v>
      </c>
    </row>
    <row r="293" spans="1:22" x14ac:dyDescent="0.3">
      <c r="A293" s="5" t="s">
        <v>742</v>
      </c>
      <c r="B293" s="6">
        <v>46182</v>
      </c>
      <c r="C293" s="5" t="s">
        <v>743</v>
      </c>
      <c r="D293" s="5" t="s">
        <v>24</v>
      </c>
      <c r="E293" s="5" t="s">
        <v>39</v>
      </c>
      <c r="F293" s="5" t="s">
        <v>40</v>
      </c>
      <c r="G293" s="5" t="s">
        <v>41</v>
      </c>
      <c r="H293" s="5" t="s">
        <v>269</v>
      </c>
      <c r="I293" s="5" t="s">
        <v>270</v>
      </c>
      <c r="J293" s="5" t="s">
        <v>71</v>
      </c>
      <c r="K293" s="5" t="s">
        <v>72</v>
      </c>
      <c r="L293" s="5">
        <v>5</v>
      </c>
      <c r="M293" s="5">
        <v>28243</v>
      </c>
      <c r="N293" s="5">
        <v>20</v>
      </c>
      <c r="O293" s="5">
        <v>112972</v>
      </c>
      <c r="P293" s="5">
        <v>98951.1</v>
      </c>
      <c r="Q293" s="5">
        <v>14020.9</v>
      </c>
      <c r="R293" s="5" t="s">
        <v>32</v>
      </c>
      <c r="S293" s="5" t="s">
        <v>33</v>
      </c>
      <c r="T293" s="5" t="s">
        <v>65</v>
      </c>
      <c r="U293" s="5">
        <v>4</v>
      </c>
      <c r="V293" s="5" t="s">
        <v>35</v>
      </c>
    </row>
    <row r="294" spans="1:22" x14ac:dyDescent="0.3">
      <c r="A294" s="5" t="s">
        <v>744</v>
      </c>
      <c r="B294" s="6">
        <v>46167</v>
      </c>
      <c r="C294" s="5" t="s">
        <v>743</v>
      </c>
      <c r="D294" s="5" t="s">
        <v>58</v>
      </c>
      <c r="E294" s="5" t="s">
        <v>77</v>
      </c>
      <c r="F294" s="5" t="s">
        <v>78</v>
      </c>
      <c r="G294" s="5" t="s">
        <v>41</v>
      </c>
      <c r="H294" s="5" t="s">
        <v>184</v>
      </c>
      <c r="I294" s="5" t="s">
        <v>185</v>
      </c>
      <c r="J294" s="5" t="s">
        <v>102</v>
      </c>
      <c r="K294" s="5" t="s">
        <v>103</v>
      </c>
      <c r="L294" s="5">
        <v>2</v>
      </c>
      <c r="M294" s="5">
        <v>59171</v>
      </c>
      <c r="N294" s="5">
        <v>10</v>
      </c>
      <c r="O294" s="5">
        <v>106507.8</v>
      </c>
      <c r="P294" s="5">
        <v>80960.41</v>
      </c>
      <c r="Q294" s="5">
        <v>25547.39</v>
      </c>
      <c r="R294" s="5" t="s">
        <v>44</v>
      </c>
      <c r="S294" s="5" t="s">
        <v>82</v>
      </c>
      <c r="T294" s="5" t="s">
        <v>34</v>
      </c>
      <c r="U294" s="5">
        <v>3</v>
      </c>
      <c r="V294" s="5" t="s">
        <v>35</v>
      </c>
    </row>
    <row r="295" spans="1:22" x14ac:dyDescent="0.3">
      <c r="A295" s="5" t="s">
        <v>745</v>
      </c>
      <c r="B295" s="6">
        <v>46129</v>
      </c>
      <c r="C295" s="5" t="s">
        <v>464</v>
      </c>
      <c r="D295" s="5" t="s">
        <v>89</v>
      </c>
      <c r="E295" s="5" t="s">
        <v>94</v>
      </c>
      <c r="F295" s="5" t="s">
        <v>26</v>
      </c>
      <c r="G295" s="5" t="s">
        <v>27</v>
      </c>
      <c r="H295" s="5" t="s">
        <v>295</v>
      </c>
      <c r="I295" s="5" t="s">
        <v>296</v>
      </c>
      <c r="J295" s="5" t="s">
        <v>30</v>
      </c>
      <c r="K295" s="5" t="s">
        <v>31</v>
      </c>
      <c r="L295" s="5">
        <v>2</v>
      </c>
      <c r="M295" s="5">
        <v>72278</v>
      </c>
      <c r="N295" s="5">
        <v>0</v>
      </c>
      <c r="O295" s="5">
        <v>144556</v>
      </c>
      <c r="P295" s="5">
        <v>102031.58</v>
      </c>
      <c r="Q295" s="5">
        <v>42524.42</v>
      </c>
      <c r="R295" s="5" t="s">
        <v>32</v>
      </c>
      <c r="S295" s="5" t="s">
        <v>33</v>
      </c>
      <c r="T295" s="5" t="s">
        <v>73</v>
      </c>
      <c r="U295" s="5">
        <v>4</v>
      </c>
      <c r="V295" s="5" t="s">
        <v>45</v>
      </c>
    </row>
    <row r="296" spans="1:22" x14ac:dyDescent="0.3">
      <c r="A296" s="5" t="s">
        <v>746</v>
      </c>
      <c r="B296" s="6">
        <v>46129</v>
      </c>
      <c r="C296" s="5" t="s">
        <v>573</v>
      </c>
      <c r="D296" s="5" t="s">
        <v>38</v>
      </c>
      <c r="E296" s="5" t="s">
        <v>39</v>
      </c>
      <c r="F296" s="5" t="s">
        <v>40</v>
      </c>
      <c r="G296" s="5" t="s">
        <v>41</v>
      </c>
      <c r="H296" s="5" t="s">
        <v>334</v>
      </c>
      <c r="I296" s="5" t="s">
        <v>335</v>
      </c>
      <c r="J296" s="5" t="s">
        <v>71</v>
      </c>
      <c r="K296" s="5" t="s">
        <v>72</v>
      </c>
      <c r="L296" s="5">
        <v>3</v>
      </c>
      <c r="M296" s="5">
        <v>68247</v>
      </c>
      <c r="N296" s="5">
        <v>20</v>
      </c>
      <c r="O296" s="5">
        <v>163792.79999999999</v>
      </c>
      <c r="P296" s="5">
        <v>165267.98000000001</v>
      </c>
      <c r="Q296" s="5">
        <v>-1475.18</v>
      </c>
      <c r="R296" s="5" t="s">
        <v>64</v>
      </c>
      <c r="S296" s="5" t="s">
        <v>33</v>
      </c>
      <c r="T296" s="5" t="s">
        <v>73</v>
      </c>
      <c r="U296" s="5">
        <v>2</v>
      </c>
      <c r="V296" s="5" t="s">
        <v>45</v>
      </c>
    </row>
    <row r="297" spans="1:22" x14ac:dyDescent="0.3">
      <c r="A297" s="5" t="s">
        <v>747</v>
      </c>
      <c r="B297" s="6">
        <v>46024</v>
      </c>
      <c r="C297" s="5" t="s">
        <v>581</v>
      </c>
      <c r="D297" s="5" t="s">
        <v>48</v>
      </c>
      <c r="E297" s="5" t="s">
        <v>59</v>
      </c>
      <c r="F297" s="5" t="s">
        <v>60</v>
      </c>
      <c r="G297" s="5" t="s">
        <v>61</v>
      </c>
      <c r="H297" s="5" t="s">
        <v>316</v>
      </c>
      <c r="I297" s="5" t="s">
        <v>317</v>
      </c>
      <c r="J297" s="5" t="s">
        <v>54</v>
      </c>
      <c r="K297" s="5" t="s">
        <v>55</v>
      </c>
      <c r="L297" s="5">
        <v>1</v>
      </c>
      <c r="M297" s="5">
        <v>50143</v>
      </c>
      <c r="N297" s="5">
        <v>20</v>
      </c>
      <c r="O297" s="5">
        <v>40114.400000000001</v>
      </c>
      <c r="P297" s="5">
        <v>37626.660000000003</v>
      </c>
      <c r="Q297" s="5">
        <v>2487.7399999999998</v>
      </c>
      <c r="R297" s="5" t="s">
        <v>64</v>
      </c>
      <c r="S297" s="5" t="s">
        <v>33</v>
      </c>
      <c r="T297" s="5" t="s">
        <v>34</v>
      </c>
      <c r="U297" s="5">
        <v>3</v>
      </c>
      <c r="V297" s="5" t="s">
        <v>35</v>
      </c>
    </row>
    <row r="298" spans="1:22" x14ac:dyDescent="0.3">
      <c r="A298" s="5" t="s">
        <v>748</v>
      </c>
      <c r="B298" s="6">
        <v>46034</v>
      </c>
      <c r="C298" s="5" t="s">
        <v>749</v>
      </c>
      <c r="D298" s="5" t="s">
        <v>38</v>
      </c>
      <c r="E298" s="5" t="s">
        <v>39</v>
      </c>
      <c r="F298" s="5" t="s">
        <v>40</v>
      </c>
      <c r="G298" s="5" t="s">
        <v>41</v>
      </c>
      <c r="H298" s="5" t="s">
        <v>184</v>
      </c>
      <c r="I298" s="5" t="s">
        <v>185</v>
      </c>
      <c r="J298" s="5" t="s">
        <v>102</v>
      </c>
      <c r="K298" s="5" t="s">
        <v>103</v>
      </c>
      <c r="L298" s="5">
        <v>4</v>
      </c>
      <c r="M298" s="5">
        <v>19131</v>
      </c>
      <c r="N298" s="5">
        <v>5</v>
      </c>
      <c r="O298" s="5">
        <v>72697.8</v>
      </c>
      <c r="P298" s="5">
        <v>43704.36</v>
      </c>
      <c r="Q298" s="5">
        <v>28993.439999999999</v>
      </c>
      <c r="R298" s="5" t="s">
        <v>32</v>
      </c>
      <c r="S298" s="5" t="s">
        <v>33</v>
      </c>
      <c r="T298" s="5" t="s">
        <v>34</v>
      </c>
      <c r="U298" s="5">
        <v>3</v>
      </c>
      <c r="V298" s="5" t="s">
        <v>35</v>
      </c>
    </row>
    <row r="299" spans="1:22" x14ac:dyDescent="0.3">
      <c r="A299" s="5" t="s">
        <v>750</v>
      </c>
      <c r="B299" s="6">
        <v>46155</v>
      </c>
      <c r="C299" s="5" t="s">
        <v>751</v>
      </c>
      <c r="D299" s="5" t="s">
        <v>68</v>
      </c>
      <c r="E299" s="5" t="s">
        <v>39</v>
      </c>
      <c r="F299" s="5" t="s">
        <v>40</v>
      </c>
      <c r="G299" s="5" t="s">
        <v>41</v>
      </c>
      <c r="H299" s="5" t="s">
        <v>513</v>
      </c>
      <c r="I299" s="5" t="s">
        <v>514</v>
      </c>
      <c r="J299" s="5" t="s">
        <v>71</v>
      </c>
      <c r="K299" s="5" t="s">
        <v>72</v>
      </c>
      <c r="L299" s="5">
        <v>1</v>
      </c>
      <c r="M299" s="5">
        <v>18474</v>
      </c>
      <c r="N299" s="5">
        <v>20</v>
      </c>
      <c r="O299" s="5">
        <v>14779.2</v>
      </c>
      <c r="P299" s="5">
        <v>13215.15</v>
      </c>
      <c r="Q299" s="5">
        <v>1564.05</v>
      </c>
      <c r="R299" s="5" t="s">
        <v>32</v>
      </c>
      <c r="S299" s="5" t="s">
        <v>82</v>
      </c>
      <c r="T299" s="5" t="s">
        <v>73</v>
      </c>
      <c r="U299" s="5">
        <v>5</v>
      </c>
      <c r="V299" s="5" t="s">
        <v>35</v>
      </c>
    </row>
    <row r="300" spans="1:22" x14ac:dyDescent="0.3">
      <c r="A300" s="5" t="s">
        <v>752</v>
      </c>
      <c r="B300" s="6">
        <v>46129</v>
      </c>
      <c r="C300" s="5" t="s">
        <v>753</v>
      </c>
      <c r="D300" s="5" t="s">
        <v>89</v>
      </c>
      <c r="E300" s="5" t="s">
        <v>25</v>
      </c>
      <c r="F300" s="5" t="s">
        <v>26</v>
      </c>
      <c r="G300" s="5" t="s">
        <v>27</v>
      </c>
      <c r="H300" s="5" t="s">
        <v>440</v>
      </c>
      <c r="I300" s="5" t="s">
        <v>441</v>
      </c>
      <c r="J300" s="5" t="s">
        <v>30</v>
      </c>
      <c r="K300" s="5" t="s">
        <v>31</v>
      </c>
      <c r="L300" s="5">
        <v>5</v>
      </c>
      <c r="M300" s="5">
        <v>48413</v>
      </c>
      <c r="N300" s="5">
        <v>15</v>
      </c>
      <c r="O300" s="5">
        <v>205755.25</v>
      </c>
      <c r="P300" s="5">
        <v>136765.53</v>
      </c>
      <c r="Q300" s="5">
        <v>68989.72</v>
      </c>
      <c r="R300" s="5" t="s">
        <v>44</v>
      </c>
      <c r="S300" s="5" t="s">
        <v>33</v>
      </c>
      <c r="T300" s="5" t="s">
        <v>73</v>
      </c>
      <c r="U300" s="5">
        <v>3</v>
      </c>
      <c r="V300" s="5" t="s">
        <v>35</v>
      </c>
    </row>
    <row r="301" spans="1:22" x14ac:dyDescent="0.3">
      <c r="A301" s="5" t="s">
        <v>754</v>
      </c>
      <c r="B301" s="6">
        <v>46181</v>
      </c>
      <c r="C301" s="5" t="s">
        <v>347</v>
      </c>
      <c r="D301" s="5" t="s">
        <v>48</v>
      </c>
      <c r="E301" s="5" t="s">
        <v>94</v>
      </c>
      <c r="F301" s="5" t="s">
        <v>26</v>
      </c>
      <c r="G301" s="5" t="s">
        <v>27</v>
      </c>
      <c r="H301" s="5" t="s">
        <v>281</v>
      </c>
      <c r="I301" s="5" t="s">
        <v>282</v>
      </c>
      <c r="J301" s="5" t="s">
        <v>30</v>
      </c>
      <c r="K301" s="5" t="s">
        <v>31</v>
      </c>
      <c r="L301" s="5">
        <v>5</v>
      </c>
      <c r="M301" s="5">
        <v>44041</v>
      </c>
      <c r="N301" s="5">
        <v>15</v>
      </c>
      <c r="O301" s="5">
        <v>187174.25</v>
      </c>
      <c r="P301" s="5">
        <v>130620.62</v>
      </c>
      <c r="Q301" s="5">
        <v>56553.63</v>
      </c>
      <c r="R301" s="5" t="s">
        <v>44</v>
      </c>
      <c r="S301" s="5" t="s">
        <v>33</v>
      </c>
      <c r="T301" s="5" t="s">
        <v>73</v>
      </c>
      <c r="U301" s="5">
        <v>5</v>
      </c>
      <c r="V301" s="5" t="s">
        <v>45</v>
      </c>
    </row>
    <row r="302" spans="1:22" x14ac:dyDescent="0.3">
      <c r="A302" s="5" t="s">
        <v>755</v>
      </c>
      <c r="B302" s="6">
        <v>46150</v>
      </c>
      <c r="C302" s="5" t="s">
        <v>756</v>
      </c>
      <c r="D302" s="5" t="s">
        <v>151</v>
      </c>
      <c r="E302" s="5" t="s">
        <v>25</v>
      </c>
      <c r="F302" s="5" t="s">
        <v>26</v>
      </c>
      <c r="G302" s="5" t="s">
        <v>27</v>
      </c>
      <c r="H302" s="5" t="s">
        <v>176</v>
      </c>
      <c r="I302" s="5" t="s">
        <v>177</v>
      </c>
      <c r="J302" s="5" t="s">
        <v>54</v>
      </c>
      <c r="K302" s="5" t="s">
        <v>97</v>
      </c>
      <c r="L302" s="5">
        <v>3</v>
      </c>
      <c r="M302" s="5">
        <v>7127</v>
      </c>
      <c r="N302" s="5">
        <v>0</v>
      </c>
      <c r="O302" s="5">
        <v>21381</v>
      </c>
      <c r="P302" s="5">
        <v>16902.48</v>
      </c>
      <c r="Q302" s="5">
        <v>4478.5200000000004</v>
      </c>
      <c r="R302" s="5" t="s">
        <v>44</v>
      </c>
      <c r="S302" s="5" t="s">
        <v>33</v>
      </c>
      <c r="T302" s="5" t="s">
        <v>73</v>
      </c>
      <c r="U302" s="5">
        <v>4</v>
      </c>
      <c r="V302" s="5" t="s">
        <v>35</v>
      </c>
    </row>
    <row r="303" spans="1:22" x14ac:dyDescent="0.3">
      <c r="A303" s="5" t="s">
        <v>757</v>
      </c>
      <c r="B303" s="6">
        <v>46070</v>
      </c>
      <c r="C303" s="5" t="s">
        <v>410</v>
      </c>
      <c r="D303" s="5" t="s">
        <v>117</v>
      </c>
      <c r="E303" s="5" t="s">
        <v>25</v>
      </c>
      <c r="F303" s="5" t="s">
        <v>26</v>
      </c>
      <c r="G303" s="5" t="s">
        <v>27</v>
      </c>
      <c r="H303" s="5" t="s">
        <v>717</v>
      </c>
      <c r="I303" s="5" t="s">
        <v>718</v>
      </c>
      <c r="J303" s="5" t="s">
        <v>102</v>
      </c>
      <c r="K303" s="5" t="s">
        <v>103</v>
      </c>
      <c r="L303" s="5">
        <v>3</v>
      </c>
      <c r="M303" s="5">
        <v>10465</v>
      </c>
      <c r="N303" s="5">
        <v>5</v>
      </c>
      <c r="O303" s="5">
        <v>29825.25</v>
      </c>
      <c r="P303" s="5">
        <v>23991.49</v>
      </c>
      <c r="Q303" s="5">
        <v>5833.76</v>
      </c>
      <c r="R303" s="5" t="s">
        <v>32</v>
      </c>
      <c r="S303" s="5" t="s">
        <v>33</v>
      </c>
      <c r="T303" s="5" t="s">
        <v>73</v>
      </c>
      <c r="U303" s="5">
        <v>5</v>
      </c>
      <c r="V303" s="5" t="s">
        <v>35</v>
      </c>
    </row>
    <row r="304" spans="1:22" x14ac:dyDescent="0.3">
      <c r="A304" s="5" t="s">
        <v>758</v>
      </c>
      <c r="B304" s="6">
        <v>46116</v>
      </c>
      <c r="C304" s="5" t="s">
        <v>332</v>
      </c>
      <c r="D304" s="5" t="s">
        <v>117</v>
      </c>
      <c r="E304" s="5" t="s">
        <v>49</v>
      </c>
      <c r="F304" s="5" t="s">
        <v>50</v>
      </c>
      <c r="G304" s="5" t="s">
        <v>51</v>
      </c>
      <c r="H304" s="5" t="s">
        <v>759</v>
      </c>
      <c r="I304" s="5" t="s">
        <v>760</v>
      </c>
      <c r="J304" s="5" t="s">
        <v>71</v>
      </c>
      <c r="K304" s="5" t="s">
        <v>72</v>
      </c>
      <c r="L304" s="5">
        <v>2</v>
      </c>
      <c r="M304" s="5">
        <v>10548</v>
      </c>
      <c r="N304" s="5">
        <v>5</v>
      </c>
      <c r="O304" s="5">
        <v>20041.2</v>
      </c>
      <c r="P304" s="5">
        <v>14617.46</v>
      </c>
      <c r="Q304" s="5">
        <v>5423.74</v>
      </c>
      <c r="R304" s="5" t="s">
        <v>44</v>
      </c>
      <c r="S304" s="5" t="s">
        <v>33</v>
      </c>
      <c r="T304" s="5" t="s">
        <v>34</v>
      </c>
      <c r="U304" s="5">
        <v>1</v>
      </c>
      <c r="V304" s="5" t="s">
        <v>45</v>
      </c>
    </row>
    <row r="305" spans="1:22" x14ac:dyDescent="0.3">
      <c r="A305" s="5" t="s">
        <v>761</v>
      </c>
      <c r="B305" s="6">
        <v>46044</v>
      </c>
      <c r="C305" s="5" t="s">
        <v>341</v>
      </c>
      <c r="D305" s="5" t="s">
        <v>68</v>
      </c>
      <c r="E305" s="5" t="s">
        <v>94</v>
      </c>
      <c r="F305" s="5" t="s">
        <v>26</v>
      </c>
      <c r="G305" s="5" t="s">
        <v>27</v>
      </c>
      <c r="H305" s="5" t="s">
        <v>762</v>
      </c>
      <c r="I305" s="5" t="s">
        <v>763</v>
      </c>
      <c r="J305" s="5" t="s">
        <v>54</v>
      </c>
      <c r="K305" s="5" t="s">
        <v>55</v>
      </c>
      <c r="L305" s="5">
        <v>5</v>
      </c>
      <c r="M305" s="5">
        <v>18951</v>
      </c>
      <c r="N305" s="5">
        <v>5</v>
      </c>
      <c r="O305" s="5">
        <v>90017.25</v>
      </c>
      <c r="P305" s="5">
        <v>53558.99</v>
      </c>
      <c r="Q305" s="5">
        <v>36458.26</v>
      </c>
      <c r="R305" s="5" t="s">
        <v>64</v>
      </c>
      <c r="S305" s="5" t="s">
        <v>33</v>
      </c>
      <c r="T305" s="5" t="s">
        <v>34</v>
      </c>
      <c r="U305" s="5">
        <v>2</v>
      </c>
      <c r="V305" s="5" t="s">
        <v>45</v>
      </c>
    </row>
    <row r="306" spans="1:22" x14ac:dyDescent="0.3">
      <c r="A306" s="5" t="s">
        <v>764</v>
      </c>
      <c r="B306" s="6">
        <v>46195</v>
      </c>
      <c r="C306" s="5" t="s">
        <v>552</v>
      </c>
      <c r="D306" s="5" t="s">
        <v>117</v>
      </c>
      <c r="E306" s="5" t="s">
        <v>59</v>
      </c>
      <c r="F306" s="5" t="s">
        <v>60</v>
      </c>
      <c r="G306" s="5" t="s">
        <v>61</v>
      </c>
      <c r="H306" s="5" t="s">
        <v>90</v>
      </c>
      <c r="I306" s="5" t="s">
        <v>91</v>
      </c>
      <c r="J306" s="5" t="s">
        <v>71</v>
      </c>
      <c r="K306" s="5" t="s">
        <v>81</v>
      </c>
      <c r="L306" s="5">
        <v>2</v>
      </c>
      <c r="M306" s="5">
        <v>25327</v>
      </c>
      <c r="N306" s="5">
        <v>15</v>
      </c>
      <c r="O306" s="5">
        <v>43055.9</v>
      </c>
      <c r="P306" s="5">
        <v>36234.589999999997</v>
      </c>
      <c r="Q306" s="5">
        <v>6821.31</v>
      </c>
      <c r="R306" s="5" t="s">
        <v>32</v>
      </c>
      <c r="S306" s="5" t="s">
        <v>82</v>
      </c>
      <c r="T306" s="5" t="s">
        <v>73</v>
      </c>
      <c r="U306" s="5">
        <v>3</v>
      </c>
      <c r="V306" s="5" t="s">
        <v>45</v>
      </c>
    </row>
    <row r="307" spans="1:22" x14ac:dyDescent="0.3">
      <c r="A307" s="5" t="s">
        <v>765</v>
      </c>
      <c r="B307" s="6">
        <v>46176</v>
      </c>
      <c r="C307" s="5" t="s">
        <v>538</v>
      </c>
      <c r="D307" s="5" t="s">
        <v>151</v>
      </c>
      <c r="E307" s="5" t="s">
        <v>94</v>
      </c>
      <c r="F307" s="5" t="s">
        <v>26</v>
      </c>
      <c r="G307" s="5" t="s">
        <v>27</v>
      </c>
      <c r="H307" s="5" t="s">
        <v>496</v>
      </c>
      <c r="I307" s="5" t="s">
        <v>497</v>
      </c>
      <c r="J307" s="5" t="s">
        <v>30</v>
      </c>
      <c r="K307" s="5" t="s">
        <v>31</v>
      </c>
      <c r="L307" s="5">
        <v>1</v>
      </c>
      <c r="M307" s="5">
        <v>41415</v>
      </c>
      <c r="N307" s="5">
        <v>10</v>
      </c>
      <c r="O307" s="5">
        <v>37273.5</v>
      </c>
      <c r="P307" s="5">
        <v>33204.67</v>
      </c>
      <c r="Q307" s="5">
        <v>4068.83</v>
      </c>
      <c r="R307" s="5" t="s">
        <v>44</v>
      </c>
      <c r="S307" s="5" t="s">
        <v>82</v>
      </c>
      <c r="T307" s="5" t="s">
        <v>73</v>
      </c>
      <c r="U307" s="5">
        <v>4</v>
      </c>
      <c r="V307" s="5" t="s">
        <v>35</v>
      </c>
    </row>
    <row r="308" spans="1:22" x14ac:dyDescent="0.3">
      <c r="A308" s="5" t="s">
        <v>766</v>
      </c>
      <c r="B308" s="6">
        <v>46083</v>
      </c>
      <c r="C308" s="5" t="s">
        <v>264</v>
      </c>
      <c r="D308" s="5" t="s">
        <v>110</v>
      </c>
      <c r="E308" s="5" t="s">
        <v>94</v>
      </c>
      <c r="F308" s="5" t="s">
        <v>26</v>
      </c>
      <c r="G308" s="5" t="s">
        <v>27</v>
      </c>
      <c r="H308" s="5" t="s">
        <v>193</v>
      </c>
      <c r="I308" s="5" t="s">
        <v>194</v>
      </c>
      <c r="J308" s="5" t="s">
        <v>71</v>
      </c>
      <c r="K308" s="5" t="s">
        <v>72</v>
      </c>
      <c r="L308" s="5">
        <v>3</v>
      </c>
      <c r="M308" s="5">
        <v>22787</v>
      </c>
      <c r="N308" s="5">
        <v>15</v>
      </c>
      <c r="O308" s="5">
        <v>58106.85</v>
      </c>
      <c r="P308" s="5">
        <v>40054.589999999997</v>
      </c>
      <c r="Q308" s="5">
        <v>18052.259999999998</v>
      </c>
      <c r="R308" s="5" t="s">
        <v>64</v>
      </c>
      <c r="S308" s="5" t="s">
        <v>33</v>
      </c>
      <c r="T308" s="5" t="s">
        <v>65</v>
      </c>
      <c r="U308" s="5">
        <v>4</v>
      </c>
      <c r="V308" s="5" t="s">
        <v>45</v>
      </c>
    </row>
    <row r="309" spans="1:22" x14ac:dyDescent="0.3">
      <c r="A309" s="5" t="s">
        <v>767</v>
      </c>
      <c r="B309" s="6">
        <v>46055</v>
      </c>
      <c r="C309" s="5" t="s">
        <v>768</v>
      </c>
      <c r="D309" s="5" t="s">
        <v>48</v>
      </c>
      <c r="E309" s="5" t="s">
        <v>39</v>
      </c>
      <c r="F309" s="5" t="s">
        <v>40</v>
      </c>
      <c r="G309" s="5" t="s">
        <v>41</v>
      </c>
      <c r="H309" s="5" t="s">
        <v>717</v>
      </c>
      <c r="I309" s="5" t="s">
        <v>718</v>
      </c>
      <c r="J309" s="5" t="s">
        <v>102</v>
      </c>
      <c r="K309" s="5" t="s">
        <v>103</v>
      </c>
      <c r="L309" s="5">
        <v>3</v>
      </c>
      <c r="M309" s="5">
        <v>58508</v>
      </c>
      <c r="N309" s="5">
        <v>10</v>
      </c>
      <c r="O309" s="5">
        <v>157971.6</v>
      </c>
      <c r="P309" s="5">
        <v>129954.82</v>
      </c>
      <c r="Q309" s="5">
        <v>28016.78</v>
      </c>
      <c r="R309" s="5" t="s">
        <v>64</v>
      </c>
      <c r="S309" s="5" t="s">
        <v>33</v>
      </c>
      <c r="T309" s="5" t="s">
        <v>73</v>
      </c>
      <c r="U309" s="5">
        <v>4</v>
      </c>
      <c r="V309" s="5" t="s">
        <v>45</v>
      </c>
    </row>
    <row r="310" spans="1:22" x14ac:dyDescent="0.3">
      <c r="A310" s="5" t="s">
        <v>769</v>
      </c>
      <c r="B310" s="6">
        <v>46070</v>
      </c>
      <c r="C310" s="5" t="s">
        <v>770</v>
      </c>
      <c r="D310" s="5" t="s">
        <v>89</v>
      </c>
      <c r="E310" s="5" t="s">
        <v>94</v>
      </c>
      <c r="F310" s="5" t="s">
        <v>26</v>
      </c>
      <c r="G310" s="5" t="s">
        <v>27</v>
      </c>
      <c r="H310" s="5" t="s">
        <v>415</v>
      </c>
      <c r="I310" s="5" t="s">
        <v>416</v>
      </c>
      <c r="J310" s="5" t="s">
        <v>30</v>
      </c>
      <c r="K310" s="5" t="s">
        <v>31</v>
      </c>
      <c r="L310" s="5">
        <v>3</v>
      </c>
      <c r="M310" s="5">
        <v>73264</v>
      </c>
      <c r="N310" s="5">
        <v>15</v>
      </c>
      <c r="O310" s="5">
        <v>186823.2</v>
      </c>
      <c r="P310" s="5">
        <v>130705.04</v>
      </c>
      <c r="Q310" s="5">
        <v>56118.16</v>
      </c>
      <c r="R310" s="5" t="s">
        <v>32</v>
      </c>
      <c r="S310" s="5" t="s">
        <v>33</v>
      </c>
      <c r="T310" s="5" t="s">
        <v>65</v>
      </c>
      <c r="U310" s="5">
        <v>1</v>
      </c>
      <c r="V310" s="5" t="s">
        <v>35</v>
      </c>
    </row>
    <row r="311" spans="1:22" x14ac:dyDescent="0.3">
      <c r="A311" s="5" t="s">
        <v>771</v>
      </c>
      <c r="B311" s="6">
        <v>46188</v>
      </c>
      <c r="C311" s="5" t="s">
        <v>330</v>
      </c>
      <c r="D311" s="5" t="s">
        <v>48</v>
      </c>
      <c r="E311" s="5" t="s">
        <v>59</v>
      </c>
      <c r="F311" s="5" t="s">
        <v>60</v>
      </c>
      <c r="G311" s="5" t="s">
        <v>61</v>
      </c>
      <c r="H311" s="5" t="s">
        <v>342</v>
      </c>
      <c r="I311" s="5" t="s">
        <v>343</v>
      </c>
      <c r="J311" s="5" t="s">
        <v>54</v>
      </c>
      <c r="K311" s="5" t="s">
        <v>97</v>
      </c>
      <c r="L311" s="5">
        <v>2</v>
      </c>
      <c r="M311" s="5">
        <v>55034</v>
      </c>
      <c r="N311" s="5">
        <v>20</v>
      </c>
      <c r="O311" s="5">
        <v>88054.399999999994</v>
      </c>
      <c r="P311" s="5">
        <v>90071.39</v>
      </c>
      <c r="Q311" s="5">
        <v>-2016.99</v>
      </c>
      <c r="R311" s="5" t="s">
        <v>64</v>
      </c>
      <c r="S311" s="5" t="s">
        <v>82</v>
      </c>
      <c r="T311" s="5" t="s">
        <v>73</v>
      </c>
      <c r="U311" s="5">
        <v>1</v>
      </c>
      <c r="V311" s="5" t="s">
        <v>45</v>
      </c>
    </row>
    <row r="312" spans="1:22" x14ac:dyDescent="0.3">
      <c r="A312" s="5" t="s">
        <v>772</v>
      </c>
      <c r="B312" s="6">
        <v>46085</v>
      </c>
      <c r="C312" s="5" t="s">
        <v>410</v>
      </c>
      <c r="D312" s="5" t="s">
        <v>58</v>
      </c>
      <c r="E312" s="5" t="s">
        <v>59</v>
      </c>
      <c r="F312" s="5" t="s">
        <v>60</v>
      </c>
      <c r="G312" s="5" t="s">
        <v>61</v>
      </c>
      <c r="H312" s="5" t="s">
        <v>391</v>
      </c>
      <c r="I312" s="5" t="s">
        <v>392</v>
      </c>
      <c r="J312" s="5" t="s">
        <v>54</v>
      </c>
      <c r="K312" s="5" t="s">
        <v>55</v>
      </c>
      <c r="L312" s="5">
        <v>3</v>
      </c>
      <c r="M312" s="5">
        <v>20521</v>
      </c>
      <c r="N312" s="5">
        <v>10</v>
      </c>
      <c r="O312" s="5">
        <v>55406.7</v>
      </c>
      <c r="P312" s="5">
        <v>42409.97</v>
      </c>
      <c r="Q312" s="5">
        <v>12996.73</v>
      </c>
      <c r="R312" s="5" t="s">
        <v>64</v>
      </c>
      <c r="S312" s="5" t="s">
        <v>82</v>
      </c>
      <c r="T312" s="5" t="s">
        <v>34</v>
      </c>
      <c r="U312" s="5">
        <v>4</v>
      </c>
      <c r="V312" s="5" t="s">
        <v>35</v>
      </c>
    </row>
    <row r="313" spans="1:22" x14ac:dyDescent="0.3">
      <c r="A313" s="5" t="s">
        <v>773</v>
      </c>
      <c r="B313" s="6">
        <v>46182</v>
      </c>
      <c r="C313" s="5" t="s">
        <v>774</v>
      </c>
      <c r="D313" s="5" t="s">
        <v>24</v>
      </c>
      <c r="E313" s="5" t="s">
        <v>126</v>
      </c>
      <c r="F313" s="5" t="s">
        <v>126</v>
      </c>
      <c r="G313" s="5" t="s">
        <v>51</v>
      </c>
      <c r="H313" s="5" t="s">
        <v>387</v>
      </c>
      <c r="I313" s="5" t="s">
        <v>388</v>
      </c>
      <c r="J313" s="5" t="s">
        <v>54</v>
      </c>
      <c r="K313" s="5" t="s">
        <v>97</v>
      </c>
      <c r="L313" s="5">
        <v>5</v>
      </c>
      <c r="M313" s="5">
        <v>11737</v>
      </c>
      <c r="N313" s="5">
        <v>0</v>
      </c>
      <c r="O313" s="5">
        <v>58685</v>
      </c>
      <c r="P313" s="5">
        <v>39584.11</v>
      </c>
      <c r="Q313" s="5">
        <v>19100.89</v>
      </c>
      <c r="R313" s="5" t="s">
        <v>32</v>
      </c>
      <c r="S313" s="5" t="s">
        <v>82</v>
      </c>
      <c r="T313" s="5" t="s">
        <v>34</v>
      </c>
      <c r="U313" s="5">
        <v>1</v>
      </c>
      <c r="V313" s="5" t="s">
        <v>45</v>
      </c>
    </row>
    <row r="314" spans="1:22" x14ac:dyDescent="0.3">
      <c r="A314" s="5" t="s">
        <v>775</v>
      </c>
      <c r="B314" s="6">
        <v>46092</v>
      </c>
      <c r="C314" s="5" t="s">
        <v>490</v>
      </c>
      <c r="D314" s="5" t="s">
        <v>76</v>
      </c>
      <c r="E314" s="5" t="s">
        <v>39</v>
      </c>
      <c r="F314" s="5" t="s">
        <v>40</v>
      </c>
      <c r="G314" s="5" t="s">
        <v>41</v>
      </c>
      <c r="H314" s="5" t="s">
        <v>431</v>
      </c>
      <c r="I314" s="5" t="s">
        <v>432</v>
      </c>
      <c r="J314" s="5" t="s">
        <v>30</v>
      </c>
      <c r="K314" s="5" t="s">
        <v>31</v>
      </c>
      <c r="L314" s="5">
        <v>3</v>
      </c>
      <c r="M314" s="5">
        <v>27769</v>
      </c>
      <c r="N314" s="5">
        <v>15</v>
      </c>
      <c r="O314" s="5">
        <v>70810.95</v>
      </c>
      <c r="P314" s="5">
        <v>58033.93</v>
      </c>
      <c r="Q314" s="5">
        <v>12777.02</v>
      </c>
      <c r="R314" s="5" t="s">
        <v>32</v>
      </c>
      <c r="S314" s="5" t="s">
        <v>33</v>
      </c>
      <c r="T314" s="5" t="s">
        <v>34</v>
      </c>
      <c r="U314" s="5">
        <v>3</v>
      </c>
      <c r="V314" s="5" t="s">
        <v>35</v>
      </c>
    </row>
    <row r="315" spans="1:22" x14ac:dyDescent="0.3">
      <c r="A315" s="5" t="s">
        <v>776</v>
      </c>
      <c r="B315" s="6">
        <v>46051</v>
      </c>
      <c r="C315" s="5" t="s">
        <v>675</v>
      </c>
      <c r="D315" s="5" t="s">
        <v>24</v>
      </c>
      <c r="E315" s="5" t="s">
        <v>94</v>
      </c>
      <c r="F315" s="5" t="s">
        <v>26</v>
      </c>
      <c r="G315" s="5" t="s">
        <v>27</v>
      </c>
      <c r="H315" s="5" t="s">
        <v>541</v>
      </c>
      <c r="I315" s="5" t="s">
        <v>542</v>
      </c>
      <c r="J315" s="5" t="s">
        <v>54</v>
      </c>
      <c r="K315" s="5" t="s">
        <v>55</v>
      </c>
      <c r="L315" s="5">
        <v>3</v>
      </c>
      <c r="M315" s="5">
        <v>30597</v>
      </c>
      <c r="N315" s="5">
        <v>5</v>
      </c>
      <c r="O315" s="5">
        <v>87201.45</v>
      </c>
      <c r="P315" s="5">
        <v>56065.93</v>
      </c>
      <c r="Q315" s="5">
        <v>31135.52</v>
      </c>
      <c r="R315" s="5" t="s">
        <v>64</v>
      </c>
      <c r="S315" s="5" t="s">
        <v>33</v>
      </c>
      <c r="T315" s="5" t="s">
        <v>65</v>
      </c>
      <c r="U315" s="5">
        <v>4</v>
      </c>
      <c r="V315" s="5" t="s">
        <v>35</v>
      </c>
    </row>
    <row r="316" spans="1:22" x14ac:dyDescent="0.3">
      <c r="A316" s="5" t="s">
        <v>777</v>
      </c>
      <c r="B316" s="6">
        <v>46062</v>
      </c>
      <c r="C316" s="5" t="s">
        <v>778</v>
      </c>
      <c r="D316" s="5" t="s">
        <v>38</v>
      </c>
      <c r="E316" s="5" t="s">
        <v>94</v>
      </c>
      <c r="F316" s="5" t="s">
        <v>26</v>
      </c>
      <c r="G316" s="5" t="s">
        <v>27</v>
      </c>
      <c r="H316" s="5" t="s">
        <v>431</v>
      </c>
      <c r="I316" s="5" t="s">
        <v>432</v>
      </c>
      <c r="J316" s="5" t="s">
        <v>30</v>
      </c>
      <c r="K316" s="5" t="s">
        <v>31</v>
      </c>
      <c r="L316" s="5">
        <v>4</v>
      </c>
      <c r="M316" s="5">
        <v>6190</v>
      </c>
      <c r="N316" s="5">
        <v>20</v>
      </c>
      <c r="O316" s="5">
        <v>19808</v>
      </c>
      <c r="P316" s="5">
        <v>20921.47</v>
      </c>
      <c r="Q316" s="5">
        <v>-1113.47</v>
      </c>
      <c r="R316" s="5" t="s">
        <v>32</v>
      </c>
      <c r="S316" s="5" t="s">
        <v>33</v>
      </c>
      <c r="T316" s="5" t="s">
        <v>34</v>
      </c>
      <c r="U316" s="5">
        <v>3</v>
      </c>
      <c r="V316" s="5" t="s">
        <v>45</v>
      </c>
    </row>
    <row r="317" spans="1:22" x14ac:dyDescent="0.3">
      <c r="A317" s="5" t="s">
        <v>779</v>
      </c>
      <c r="B317" s="6">
        <v>46171</v>
      </c>
      <c r="C317" s="5" t="s">
        <v>780</v>
      </c>
      <c r="D317" s="5" t="s">
        <v>48</v>
      </c>
      <c r="E317" s="5" t="s">
        <v>49</v>
      </c>
      <c r="F317" s="5" t="s">
        <v>50</v>
      </c>
      <c r="G317" s="5" t="s">
        <v>51</v>
      </c>
      <c r="H317" s="5" t="s">
        <v>451</v>
      </c>
      <c r="I317" s="5" t="s">
        <v>452</v>
      </c>
      <c r="J317" s="5" t="s">
        <v>30</v>
      </c>
      <c r="K317" s="5" t="s">
        <v>31</v>
      </c>
      <c r="L317" s="5">
        <v>2</v>
      </c>
      <c r="M317" s="5">
        <v>7804</v>
      </c>
      <c r="N317" s="5">
        <v>0</v>
      </c>
      <c r="O317" s="5">
        <v>15608</v>
      </c>
      <c r="P317" s="5">
        <v>8800.39</v>
      </c>
      <c r="Q317" s="5">
        <v>6807.61</v>
      </c>
      <c r="R317" s="5" t="s">
        <v>44</v>
      </c>
      <c r="S317" s="5" t="s">
        <v>33</v>
      </c>
      <c r="T317" s="5" t="s">
        <v>73</v>
      </c>
      <c r="U317" s="5">
        <v>1</v>
      </c>
      <c r="V317" s="5" t="s">
        <v>35</v>
      </c>
    </row>
    <row r="318" spans="1:22" x14ac:dyDescent="0.3">
      <c r="A318" s="5" t="s">
        <v>781</v>
      </c>
      <c r="B318" s="6">
        <v>46061</v>
      </c>
      <c r="C318" s="5" t="s">
        <v>690</v>
      </c>
      <c r="D318" s="5" t="s">
        <v>110</v>
      </c>
      <c r="E318" s="5" t="s">
        <v>39</v>
      </c>
      <c r="F318" s="5" t="s">
        <v>40</v>
      </c>
      <c r="G318" s="5" t="s">
        <v>41</v>
      </c>
      <c r="H318" s="5" t="s">
        <v>557</v>
      </c>
      <c r="I318" s="5" t="s">
        <v>558</v>
      </c>
      <c r="J318" s="5" t="s">
        <v>54</v>
      </c>
      <c r="K318" s="5" t="s">
        <v>97</v>
      </c>
      <c r="L318" s="5">
        <v>3</v>
      </c>
      <c r="M318" s="5">
        <v>51497</v>
      </c>
      <c r="N318" s="5">
        <v>0</v>
      </c>
      <c r="O318" s="5">
        <v>154491</v>
      </c>
      <c r="P318" s="5">
        <v>93546.7</v>
      </c>
      <c r="Q318" s="5">
        <v>60944.3</v>
      </c>
      <c r="R318" s="5" t="s">
        <v>44</v>
      </c>
      <c r="S318" s="5" t="s">
        <v>82</v>
      </c>
      <c r="T318" s="5" t="s">
        <v>34</v>
      </c>
      <c r="U318" s="5">
        <v>3</v>
      </c>
      <c r="V318" s="5" t="s">
        <v>45</v>
      </c>
    </row>
    <row r="319" spans="1:22" x14ac:dyDescent="0.3">
      <c r="A319" s="5" t="s">
        <v>782</v>
      </c>
      <c r="B319" s="6">
        <v>46117</v>
      </c>
      <c r="C319" s="5" t="s">
        <v>783</v>
      </c>
      <c r="D319" s="5" t="s">
        <v>117</v>
      </c>
      <c r="E319" s="5" t="s">
        <v>25</v>
      </c>
      <c r="F319" s="5" t="s">
        <v>26</v>
      </c>
      <c r="G319" s="5" t="s">
        <v>27</v>
      </c>
      <c r="H319" s="5" t="s">
        <v>241</v>
      </c>
      <c r="I319" s="5" t="s">
        <v>242</v>
      </c>
      <c r="J319" s="5" t="s">
        <v>54</v>
      </c>
      <c r="K319" s="5" t="s">
        <v>55</v>
      </c>
      <c r="L319" s="5">
        <v>4</v>
      </c>
      <c r="M319" s="5">
        <v>61245</v>
      </c>
      <c r="N319" s="5">
        <v>15</v>
      </c>
      <c r="O319" s="5">
        <v>208233</v>
      </c>
      <c r="P319" s="5">
        <v>176088.18</v>
      </c>
      <c r="Q319" s="5">
        <v>32144.82</v>
      </c>
      <c r="R319" s="5" t="s">
        <v>44</v>
      </c>
      <c r="S319" s="5" t="s">
        <v>82</v>
      </c>
      <c r="T319" s="5" t="s">
        <v>65</v>
      </c>
      <c r="U319" s="5">
        <v>2</v>
      </c>
      <c r="V319" s="5" t="s">
        <v>45</v>
      </c>
    </row>
    <row r="320" spans="1:22" x14ac:dyDescent="0.3">
      <c r="A320" s="5" t="s">
        <v>784</v>
      </c>
      <c r="B320" s="6">
        <v>46039</v>
      </c>
      <c r="C320" s="5" t="s">
        <v>294</v>
      </c>
      <c r="D320" s="5" t="s">
        <v>117</v>
      </c>
      <c r="E320" s="5" t="s">
        <v>59</v>
      </c>
      <c r="F320" s="5" t="s">
        <v>60</v>
      </c>
      <c r="G320" s="5" t="s">
        <v>61</v>
      </c>
      <c r="H320" s="5" t="s">
        <v>122</v>
      </c>
      <c r="I320" s="5" t="s">
        <v>123</v>
      </c>
      <c r="J320" s="5" t="s">
        <v>30</v>
      </c>
      <c r="K320" s="5" t="s">
        <v>31</v>
      </c>
      <c r="L320" s="5">
        <v>4</v>
      </c>
      <c r="M320" s="5">
        <v>42393</v>
      </c>
      <c r="N320" s="5">
        <v>0</v>
      </c>
      <c r="O320" s="5">
        <v>169572</v>
      </c>
      <c r="P320" s="5">
        <v>93941.63</v>
      </c>
      <c r="Q320" s="5">
        <v>75630.37</v>
      </c>
      <c r="R320" s="5" t="s">
        <v>64</v>
      </c>
      <c r="S320" s="5" t="s">
        <v>33</v>
      </c>
      <c r="T320" s="5" t="s">
        <v>65</v>
      </c>
      <c r="U320" s="5">
        <v>2</v>
      </c>
      <c r="V320" s="5" t="s">
        <v>35</v>
      </c>
    </row>
    <row r="321" spans="1:22" x14ac:dyDescent="0.3">
      <c r="A321" s="5" t="s">
        <v>785</v>
      </c>
      <c r="B321" s="6">
        <v>46083</v>
      </c>
      <c r="C321" s="5" t="s">
        <v>707</v>
      </c>
      <c r="D321" s="5" t="s">
        <v>58</v>
      </c>
      <c r="E321" s="5" t="s">
        <v>49</v>
      </c>
      <c r="F321" s="5" t="s">
        <v>50</v>
      </c>
      <c r="G321" s="5" t="s">
        <v>51</v>
      </c>
      <c r="H321" s="5" t="s">
        <v>176</v>
      </c>
      <c r="I321" s="5" t="s">
        <v>177</v>
      </c>
      <c r="J321" s="5" t="s">
        <v>54</v>
      </c>
      <c r="K321" s="5" t="s">
        <v>97</v>
      </c>
      <c r="L321" s="5">
        <v>2</v>
      </c>
      <c r="M321" s="5">
        <v>24794</v>
      </c>
      <c r="N321" s="5">
        <v>20</v>
      </c>
      <c r="O321" s="5">
        <v>39670.400000000001</v>
      </c>
      <c r="P321" s="5">
        <v>32023.33</v>
      </c>
      <c r="Q321" s="5">
        <v>7647.07</v>
      </c>
      <c r="R321" s="5" t="s">
        <v>64</v>
      </c>
      <c r="S321" s="5" t="s">
        <v>82</v>
      </c>
      <c r="T321" s="5" t="s">
        <v>34</v>
      </c>
      <c r="U321" s="5">
        <v>2</v>
      </c>
      <c r="V321" s="5" t="s">
        <v>35</v>
      </c>
    </row>
    <row r="322" spans="1:22" x14ac:dyDescent="0.3">
      <c r="A322" s="5" t="s">
        <v>786</v>
      </c>
      <c r="B322" s="6">
        <v>46142</v>
      </c>
      <c r="C322" s="5" t="s">
        <v>395</v>
      </c>
      <c r="D322" s="5" t="s">
        <v>48</v>
      </c>
      <c r="E322" s="5" t="s">
        <v>49</v>
      </c>
      <c r="F322" s="5" t="s">
        <v>50</v>
      </c>
      <c r="G322" s="5" t="s">
        <v>51</v>
      </c>
      <c r="H322" s="5" t="s">
        <v>52</v>
      </c>
      <c r="I322" s="5" t="s">
        <v>53</v>
      </c>
      <c r="J322" s="5" t="s">
        <v>54</v>
      </c>
      <c r="K322" s="5" t="s">
        <v>55</v>
      </c>
      <c r="L322" s="5">
        <v>2</v>
      </c>
      <c r="M322" s="5">
        <v>43232</v>
      </c>
      <c r="N322" s="5">
        <v>15</v>
      </c>
      <c r="O322" s="5">
        <v>73494.399999999994</v>
      </c>
      <c r="P322" s="5">
        <v>64679.76</v>
      </c>
      <c r="Q322" s="5">
        <v>8814.64</v>
      </c>
      <c r="R322" s="5" t="s">
        <v>64</v>
      </c>
      <c r="S322" s="5" t="s">
        <v>33</v>
      </c>
      <c r="T322" s="5" t="s">
        <v>73</v>
      </c>
      <c r="U322" s="5">
        <v>1</v>
      </c>
      <c r="V322" s="5" t="s">
        <v>45</v>
      </c>
    </row>
    <row r="323" spans="1:22" x14ac:dyDescent="0.3">
      <c r="A323" s="5" t="s">
        <v>787</v>
      </c>
      <c r="B323" s="6">
        <v>46123</v>
      </c>
      <c r="C323" s="5" t="s">
        <v>597</v>
      </c>
      <c r="D323" s="5" t="s">
        <v>38</v>
      </c>
      <c r="E323" s="5" t="s">
        <v>94</v>
      </c>
      <c r="F323" s="5" t="s">
        <v>26</v>
      </c>
      <c r="G323" s="5" t="s">
        <v>27</v>
      </c>
      <c r="H323" s="5" t="s">
        <v>334</v>
      </c>
      <c r="I323" s="5" t="s">
        <v>335</v>
      </c>
      <c r="J323" s="5" t="s">
        <v>71</v>
      </c>
      <c r="K323" s="5" t="s">
        <v>72</v>
      </c>
      <c r="L323" s="5">
        <v>1</v>
      </c>
      <c r="M323" s="5">
        <v>8242</v>
      </c>
      <c r="N323" s="5">
        <v>15</v>
      </c>
      <c r="O323" s="5">
        <v>7005.7</v>
      </c>
      <c r="P323" s="5">
        <v>5238.6899999999996</v>
      </c>
      <c r="Q323" s="5">
        <v>1767.01</v>
      </c>
      <c r="R323" s="5" t="s">
        <v>44</v>
      </c>
      <c r="S323" s="5" t="s">
        <v>33</v>
      </c>
      <c r="T323" s="5" t="s">
        <v>65</v>
      </c>
      <c r="U323" s="5">
        <v>1</v>
      </c>
      <c r="V323" s="5" t="s">
        <v>45</v>
      </c>
    </row>
    <row r="324" spans="1:22" x14ac:dyDescent="0.3">
      <c r="A324" s="5" t="s">
        <v>788</v>
      </c>
      <c r="B324" s="6">
        <v>46189</v>
      </c>
      <c r="C324" s="5" t="s">
        <v>712</v>
      </c>
      <c r="D324" s="5" t="s">
        <v>89</v>
      </c>
      <c r="E324" s="5" t="s">
        <v>39</v>
      </c>
      <c r="F324" s="5" t="s">
        <v>40</v>
      </c>
      <c r="G324" s="5" t="s">
        <v>41</v>
      </c>
      <c r="H324" s="5" t="s">
        <v>324</v>
      </c>
      <c r="I324" s="5" t="s">
        <v>325</v>
      </c>
      <c r="J324" s="5" t="s">
        <v>54</v>
      </c>
      <c r="K324" s="5" t="s">
        <v>55</v>
      </c>
      <c r="L324" s="5">
        <v>3</v>
      </c>
      <c r="M324" s="5">
        <v>64535</v>
      </c>
      <c r="N324" s="5">
        <v>20</v>
      </c>
      <c r="O324" s="5">
        <v>154884</v>
      </c>
      <c r="P324" s="5">
        <v>132792.71</v>
      </c>
      <c r="Q324" s="5">
        <v>22091.29</v>
      </c>
      <c r="R324" s="5" t="s">
        <v>64</v>
      </c>
      <c r="S324" s="5" t="s">
        <v>82</v>
      </c>
      <c r="T324" s="5" t="s">
        <v>73</v>
      </c>
      <c r="U324" s="5">
        <v>1</v>
      </c>
      <c r="V324" s="5" t="s">
        <v>45</v>
      </c>
    </row>
    <row r="325" spans="1:22" x14ac:dyDescent="0.3">
      <c r="A325" s="5" t="s">
        <v>789</v>
      </c>
      <c r="B325" s="6">
        <v>46063</v>
      </c>
      <c r="C325" s="5" t="s">
        <v>790</v>
      </c>
      <c r="D325" s="5" t="s">
        <v>68</v>
      </c>
      <c r="E325" s="5" t="s">
        <v>49</v>
      </c>
      <c r="F325" s="5" t="s">
        <v>50</v>
      </c>
      <c r="G325" s="5" t="s">
        <v>51</v>
      </c>
      <c r="H325" s="5" t="s">
        <v>147</v>
      </c>
      <c r="I325" s="5" t="s">
        <v>148</v>
      </c>
      <c r="J325" s="5" t="s">
        <v>71</v>
      </c>
      <c r="K325" s="5" t="s">
        <v>81</v>
      </c>
      <c r="L325" s="5">
        <v>4</v>
      </c>
      <c r="M325" s="5">
        <v>24056</v>
      </c>
      <c r="N325" s="5">
        <v>0</v>
      </c>
      <c r="O325" s="5">
        <v>96224</v>
      </c>
      <c r="P325" s="5">
        <v>71746.78</v>
      </c>
      <c r="Q325" s="5">
        <v>24477.22</v>
      </c>
      <c r="R325" s="5" t="s">
        <v>32</v>
      </c>
      <c r="S325" s="5" t="s">
        <v>33</v>
      </c>
      <c r="T325" s="5" t="s">
        <v>65</v>
      </c>
      <c r="U325" s="5">
        <v>5</v>
      </c>
      <c r="V325" s="5" t="s">
        <v>45</v>
      </c>
    </row>
    <row r="326" spans="1:22" x14ac:dyDescent="0.3">
      <c r="A326" s="5" t="s">
        <v>791</v>
      </c>
      <c r="B326" s="6">
        <v>46066</v>
      </c>
      <c r="C326" s="5" t="s">
        <v>501</v>
      </c>
      <c r="D326" s="5" t="s">
        <v>117</v>
      </c>
      <c r="E326" s="5" t="s">
        <v>126</v>
      </c>
      <c r="F326" s="5" t="s">
        <v>126</v>
      </c>
      <c r="G326" s="5" t="s">
        <v>51</v>
      </c>
      <c r="H326" s="5" t="s">
        <v>384</v>
      </c>
      <c r="I326" s="5" t="s">
        <v>385</v>
      </c>
      <c r="J326" s="5" t="s">
        <v>102</v>
      </c>
      <c r="K326" s="5" t="s">
        <v>103</v>
      </c>
      <c r="L326" s="5">
        <v>1</v>
      </c>
      <c r="M326" s="5">
        <v>24215</v>
      </c>
      <c r="N326" s="5">
        <v>0</v>
      </c>
      <c r="O326" s="5">
        <v>24215</v>
      </c>
      <c r="P326" s="5">
        <v>16662.82</v>
      </c>
      <c r="Q326" s="5">
        <v>7552.18</v>
      </c>
      <c r="R326" s="5" t="s">
        <v>32</v>
      </c>
      <c r="S326" s="5" t="s">
        <v>82</v>
      </c>
      <c r="T326" s="5" t="s">
        <v>65</v>
      </c>
      <c r="U326" s="5">
        <v>2</v>
      </c>
      <c r="V326" s="5" t="s">
        <v>45</v>
      </c>
    </row>
    <row r="327" spans="1:22" x14ac:dyDescent="0.3">
      <c r="A327" s="5" t="s">
        <v>792</v>
      </c>
      <c r="B327" s="6">
        <v>46182</v>
      </c>
      <c r="C327" s="5" t="s">
        <v>444</v>
      </c>
      <c r="D327" s="5" t="s">
        <v>110</v>
      </c>
      <c r="E327" s="5" t="s">
        <v>94</v>
      </c>
      <c r="F327" s="5" t="s">
        <v>26</v>
      </c>
      <c r="G327" s="5" t="s">
        <v>27</v>
      </c>
      <c r="H327" s="5" t="s">
        <v>253</v>
      </c>
      <c r="I327" s="5" t="s">
        <v>254</v>
      </c>
      <c r="J327" s="5" t="s">
        <v>54</v>
      </c>
      <c r="K327" s="5" t="s">
        <v>55</v>
      </c>
      <c r="L327" s="5">
        <v>2</v>
      </c>
      <c r="M327" s="5">
        <v>76233</v>
      </c>
      <c r="N327" s="5">
        <v>0</v>
      </c>
      <c r="O327" s="5">
        <v>152466</v>
      </c>
      <c r="P327" s="5">
        <v>126861.28</v>
      </c>
      <c r="Q327" s="5">
        <v>25604.720000000001</v>
      </c>
      <c r="R327" s="5" t="s">
        <v>64</v>
      </c>
      <c r="S327" s="5" t="s">
        <v>82</v>
      </c>
      <c r="T327" s="5" t="s">
        <v>73</v>
      </c>
      <c r="U327" s="5">
        <v>2</v>
      </c>
      <c r="V327" s="5" t="s">
        <v>45</v>
      </c>
    </row>
    <row r="328" spans="1:22" x14ac:dyDescent="0.3">
      <c r="A328" s="5" t="s">
        <v>793</v>
      </c>
      <c r="B328" s="6">
        <v>46172</v>
      </c>
      <c r="C328" s="5" t="s">
        <v>519</v>
      </c>
      <c r="D328" s="5" t="s">
        <v>48</v>
      </c>
      <c r="E328" s="5" t="s">
        <v>49</v>
      </c>
      <c r="F328" s="5" t="s">
        <v>50</v>
      </c>
      <c r="G328" s="5" t="s">
        <v>51</v>
      </c>
      <c r="H328" s="5" t="s">
        <v>261</v>
      </c>
      <c r="I328" s="5" t="s">
        <v>262</v>
      </c>
      <c r="J328" s="5" t="s">
        <v>102</v>
      </c>
      <c r="K328" s="5" t="s">
        <v>103</v>
      </c>
      <c r="L328" s="5">
        <v>4</v>
      </c>
      <c r="M328" s="5">
        <v>58980</v>
      </c>
      <c r="N328" s="5">
        <v>5</v>
      </c>
      <c r="O328" s="5">
        <v>224124</v>
      </c>
      <c r="P328" s="5">
        <v>198179.95</v>
      </c>
      <c r="Q328" s="5">
        <v>25944.05</v>
      </c>
      <c r="R328" s="5" t="s">
        <v>64</v>
      </c>
      <c r="S328" s="5" t="s">
        <v>82</v>
      </c>
      <c r="T328" s="5" t="s">
        <v>65</v>
      </c>
      <c r="U328" s="5">
        <v>4</v>
      </c>
      <c r="V328" s="5" t="s">
        <v>45</v>
      </c>
    </row>
    <row r="329" spans="1:22" x14ac:dyDescent="0.3">
      <c r="A329" s="5" t="s">
        <v>794</v>
      </c>
      <c r="B329" s="6">
        <v>46169</v>
      </c>
      <c r="C329" s="5" t="s">
        <v>477</v>
      </c>
      <c r="D329" s="5" t="s">
        <v>76</v>
      </c>
      <c r="E329" s="5" t="s">
        <v>25</v>
      </c>
      <c r="F329" s="5" t="s">
        <v>26</v>
      </c>
      <c r="G329" s="5" t="s">
        <v>27</v>
      </c>
      <c r="H329" s="5" t="s">
        <v>189</v>
      </c>
      <c r="I329" s="5" t="s">
        <v>190</v>
      </c>
      <c r="J329" s="5" t="s">
        <v>102</v>
      </c>
      <c r="K329" s="5" t="s">
        <v>103</v>
      </c>
      <c r="L329" s="5">
        <v>5</v>
      </c>
      <c r="M329" s="5">
        <v>27237</v>
      </c>
      <c r="N329" s="5">
        <v>0</v>
      </c>
      <c r="O329" s="5">
        <v>136185</v>
      </c>
      <c r="P329" s="5">
        <v>102218.69</v>
      </c>
      <c r="Q329" s="5">
        <v>33966.31</v>
      </c>
      <c r="R329" s="5" t="s">
        <v>64</v>
      </c>
      <c r="S329" s="5" t="s">
        <v>82</v>
      </c>
      <c r="T329" s="5" t="s">
        <v>65</v>
      </c>
      <c r="U329" s="5">
        <v>1</v>
      </c>
      <c r="V329" s="5" t="s">
        <v>35</v>
      </c>
    </row>
    <row r="330" spans="1:22" x14ac:dyDescent="0.3">
      <c r="A330" s="5" t="s">
        <v>795</v>
      </c>
      <c r="B330" s="6">
        <v>46040</v>
      </c>
      <c r="C330" s="5" t="s">
        <v>749</v>
      </c>
      <c r="D330" s="5" t="s">
        <v>38</v>
      </c>
      <c r="E330" s="5" t="s">
        <v>59</v>
      </c>
      <c r="F330" s="5" t="s">
        <v>60</v>
      </c>
      <c r="G330" s="5" t="s">
        <v>61</v>
      </c>
      <c r="H330" s="5" t="s">
        <v>717</v>
      </c>
      <c r="I330" s="5" t="s">
        <v>718</v>
      </c>
      <c r="J330" s="5" t="s">
        <v>102</v>
      </c>
      <c r="K330" s="5" t="s">
        <v>103</v>
      </c>
      <c r="L330" s="5">
        <v>3</v>
      </c>
      <c r="M330" s="5">
        <v>37578</v>
      </c>
      <c r="N330" s="5">
        <v>10</v>
      </c>
      <c r="O330" s="5">
        <v>101460.6</v>
      </c>
      <c r="P330" s="5">
        <v>88646.28</v>
      </c>
      <c r="Q330" s="5">
        <v>12814.32</v>
      </c>
      <c r="R330" s="5" t="s">
        <v>44</v>
      </c>
      <c r="S330" s="5" t="s">
        <v>82</v>
      </c>
      <c r="T330" s="5" t="s">
        <v>65</v>
      </c>
      <c r="U330" s="5">
        <v>5</v>
      </c>
      <c r="V330" s="5" t="s">
        <v>35</v>
      </c>
    </row>
    <row r="331" spans="1:22" x14ac:dyDescent="0.3">
      <c r="A331" s="5" t="s">
        <v>796</v>
      </c>
      <c r="B331" s="6">
        <v>46095</v>
      </c>
      <c r="C331" s="5" t="s">
        <v>797</v>
      </c>
      <c r="D331" s="5" t="s">
        <v>110</v>
      </c>
      <c r="E331" s="5" t="s">
        <v>59</v>
      </c>
      <c r="F331" s="5" t="s">
        <v>60</v>
      </c>
      <c r="G331" s="5" t="s">
        <v>61</v>
      </c>
      <c r="H331" s="5" t="s">
        <v>156</v>
      </c>
      <c r="I331" s="5" t="s">
        <v>157</v>
      </c>
      <c r="J331" s="5" t="s">
        <v>30</v>
      </c>
      <c r="K331" s="5" t="s">
        <v>31</v>
      </c>
      <c r="L331" s="5">
        <v>4</v>
      </c>
      <c r="M331" s="5">
        <v>58183</v>
      </c>
      <c r="N331" s="5">
        <v>10</v>
      </c>
      <c r="O331" s="5">
        <v>209458.8</v>
      </c>
      <c r="P331" s="5">
        <v>174872.05</v>
      </c>
      <c r="Q331" s="5">
        <v>34586.75</v>
      </c>
      <c r="R331" s="5" t="s">
        <v>32</v>
      </c>
      <c r="S331" s="5" t="s">
        <v>33</v>
      </c>
      <c r="T331" s="5" t="s">
        <v>34</v>
      </c>
      <c r="U331" s="5">
        <v>5</v>
      </c>
      <c r="V331" s="5" t="s">
        <v>35</v>
      </c>
    </row>
    <row r="332" spans="1:22" x14ac:dyDescent="0.3">
      <c r="A332" s="5" t="s">
        <v>798</v>
      </c>
      <c r="B332" s="6">
        <v>46137</v>
      </c>
      <c r="C332" s="5" t="s">
        <v>280</v>
      </c>
      <c r="D332" s="5" t="s">
        <v>89</v>
      </c>
      <c r="E332" s="5" t="s">
        <v>49</v>
      </c>
      <c r="F332" s="5" t="s">
        <v>50</v>
      </c>
      <c r="G332" s="5" t="s">
        <v>51</v>
      </c>
      <c r="H332" s="5" t="s">
        <v>401</v>
      </c>
      <c r="I332" s="5" t="s">
        <v>402</v>
      </c>
      <c r="J332" s="5" t="s">
        <v>102</v>
      </c>
      <c r="K332" s="5" t="s">
        <v>103</v>
      </c>
      <c r="L332" s="5">
        <v>4</v>
      </c>
      <c r="M332" s="5">
        <v>1003</v>
      </c>
      <c r="N332" s="5">
        <v>15</v>
      </c>
      <c r="O332" s="5">
        <v>3410.2</v>
      </c>
      <c r="P332" s="5">
        <v>3195.45</v>
      </c>
      <c r="Q332" s="5">
        <v>214.75</v>
      </c>
      <c r="R332" s="5" t="s">
        <v>44</v>
      </c>
      <c r="S332" s="5" t="s">
        <v>33</v>
      </c>
      <c r="T332" s="5" t="s">
        <v>65</v>
      </c>
      <c r="U332" s="5">
        <v>4</v>
      </c>
      <c r="V332" s="5" t="s">
        <v>45</v>
      </c>
    </row>
    <row r="333" spans="1:22" x14ac:dyDescent="0.3">
      <c r="A333" s="5" t="s">
        <v>799</v>
      </c>
      <c r="B333" s="6">
        <v>46030</v>
      </c>
      <c r="C333" s="5" t="s">
        <v>473</v>
      </c>
      <c r="D333" s="5" t="s">
        <v>68</v>
      </c>
      <c r="E333" s="5" t="s">
        <v>59</v>
      </c>
      <c r="F333" s="5" t="s">
        <v>60</v>
      </c>
      <c r="G333" s="5" t="s">
        <v>61</v>
      </c>
      <c r="H333" s="5" t="s">
        <v>415</v>
      </c>
      <c r="I333" s="5" t="s">
        <v>416</v>
      </c>
      <c r="J333" s="5" t="s">
        <v>30</v>
      </c>
      <c r="K333" s="5" t="s">
        <v>31</v>
      </c>
      <c r="L333" s="5">
        <v>5</v>
      </c>
      <c r="M333" s="5">
        <v>76951</v>
      </c>
      <c r="N333" s="5">
        <v>0</v>
      </c>
      <c r="O333" s="5">
        <v>384755</v>
      </c>
      <c r="P333" s="5">
        <v>304602.23</v>
      </c>
      <c r="Q333" s="5">
        <v>80152.77</v>
      </c>
      <c r="R333" s="5" t="s">
        <v>64</v>
      </c>
      <c r="S333" s="5" t="s">
        <v>33</v>
      </c>
      <c r="T333" s="5" t="s">
        <v>65</v>
      </c>
      <c r="U333" s="5">
        <v>2</v>
      </c>
      <c r="V333" s="5" t="s">
        <v>35</v>
      </c>
    </row>
    <row r="334" spans="1:22" x14ac:dyDescent="0.3">
      <c r="A334" s="5" t="s">
        <v>800</v>
      </c>
      <c r="B334" s="6">
        <v>46187</v>
      </c>
      <c r="C334" s="5" t="s">
        <v>302</v>
      </c>
      <c r="D334" s="5" t="s">
        <v>110</v>
      </c>
      <c r="E334" s="5" t="s">
        <v>94</v>
      </c>
      <c r="F334" s="5" t="s">
        <v>26</v>
      </c>
      <c r="G334" s="5" t="s">
        <v>27</v>
      </c>
      <c r="H334" s="5" t="s">
        <v>176</v>
      </c>
      <c r="I334" s="5" t="s">
        <v>177</v>
      </c>
      <c r="J334" s="5" t="s">
        <v>54</v>
      </c>
      <c r="K334" s="5" t="s">
        <v>97</v>
      </c>
      <c r="L334" s="5">
        <v>5</v>
      </c>
      <c r="M334" s="5">
        <v>13779</v>
      </c>
      <c r="N334" s="5">
        <v>0</v>
      </c>
      <c r="O334" s="5">
        <v>68895</v>
      </c>
      <c r="P334" s="5">
        <v>46880.25</v>
      </c>
      <c r="Q334" s="5">
        <v>22014.75</v>
      </c>
      <c r="R334" s="5" t="s">
        <v>64</v>
      </c>
      <c r="S334" s="5" t="s">
        <v>82</v>
      </c>
      <c r="T334" s="5" t="s">
        <v>34</v>
      </c>
      <c r="U334" s="5">
        <v>2</v>
      </c>
      <c r="V334" s="5" t="s">
        <v>45</v>
      </c>
    </row>
    <row r="335" spans="1:22" x14ac:dyDescent="0.3">
      <c r="A335" s="5" t="s">
        <v>801</v>
      </c>
      <c r="B335" s="6">
        <v>46027</v>
      </c>
      <c r="C335" s="5" t="s">
        <v>612</v>
      </c>
      <c r="D335" s="5" t="s">
        <v>58</v>
      </c>
      <c r="E335" s="5" t="s">
        <v>25</v>
      </c>
      <c r="F335" s="5" t="s">
        <v>26</v>
      </c>
      <c r="G335" s="5" t="s">
        <v>27</v>
      </c>
      <c r="H335" s="5" t="s">
        <v>374</v>
      </c>
      <c r="I335" s="5" t="s">
        <v>375</v>
      </c>
      <c r="J335" s="5" t="s">
        <v>54</v>
      </c>
      <c r="K335" s="5" t="s">
        <v>55</v>
      </c>
      <c r="L335" s="5">
        <v>5</v>
      </c>
      <c r="M335" s="5">
        <v>61741</v>
      </c>
      <c r="N335" s="5">
        <v>15</v>
      </c>
      <c r="O335" s="5">
        <v>262399.25</v>
      </c>
      <c r="P335" s="5">
        <v>189301.57</v>
      </c>
      <c r="Q335" s="5">
        <v>73097.679999999993</v>
      </c>
      <c r="R335" s="5" t="s">
        <v>64</v>
      </c>
      <c r="S335" s="5" t="s">
        <v>82</v>
      </c>
      <c r="T335" s="5" t="s">
        <v>73</v>
      </c>
      <c r="U335" s="5">
        <v>3</v>
      </c>
      <c r="V335" s="5" t="s">
        <v>35</v>
      </c>
    </row>
    <row r="336" spans="1:22" x14ac:dyDescent="0.3">
      <c r="A336" s="5" t="s">
        <v>802</v>
      </c>
      <c r="B336" s="6">
        <v>46080</v>
      </c>
      <c r="C336" s="5" t="s">
        <v>134</v>
      </c>
      <c r="D336" s="5" t="s">
        <v>38</v>
      </c>
      <c r="E336" s="5" t="s">
        <v>77</v>
      </c>
      <c r="F336" s="5" t="s">
        <v>78</v>
      </c>
      <c r="G336" s="5" t="s">
        <v>41</v>
      </c>
      <c r="H336" s="5" t="s">
        <v>553</v>
      </c>
      <c r="I336" s="5" t="s">
        <v>554</v>
      </c>
      <c r="J336" s="5" t="s">
        <v>54</v>
      </c>
      <c r="K336" s="5" t="s">
        <v>55</v>
      </c>
      <c r="L336" s="5">
        <v>2</v>
      </c>
      <c r="M336" s="5">
        <v>30928</v>
      </c>
      <c r="N336" s="5">
        <v>20</v>
      </c>
      <c r="O336" s="5">
        <v>49484.800000000003</v>
      </c>
      <c r="P336" s="5">
        <v>50663.97</v>
      </c>
      <c r="Q336" s="5">
        <v>-1179.17</v>
      </c>
      <c r="R336" s="5" t="s">
        <v>44</v>
      </c>
      <c r="S336" s="5" t="s">
        <v>82</v>
      </c>
      <c r="T336" s="5" t="s">
        <v>65</v>
      </c>
      <c r="U336" s="5">
        <v>3</v>
      </c>
      <c r="V336" s="5" t="s">
        <v>35</v>
      </c>
    </row>
    <row r="337" spans="1:22" x14ac:dyDescent="0.3">
      <c r="A337" s="5" t="s">
        <v>803</v>
      </c>
      <c r="B337" s="6">
        <v>46095</v>
      </c>
      <c r="C337" s="5" t="s">
        <v>664</v>
      </c>
      <c r="D337" s="5" t="s">
        <v>89</v>
      </c>
      <c r="E337" s="5" t="s">
        <v>94</v>
      </c>
      <c r="F337" s="5" t="s">
        <v>26</v>
      </c>
      <c r="G337" s="5" t="s">
        <v>27</v>
      </c>
      <c r="H337" s="5" t="s">
        <v>52</v>
      </c>
      <c r="I337" s="5" t="s">
        <v>53</v>
      </c>
      <c r="J337" s="5" t="s">
        <v>54</v>
      </c>
      <c r="K337" s="5" t="s">
        <v>55</v>
      </c>
      <c r="L337" s="5">
        <v>4</v>
      </c>
      <c r="M337" s="5">
        <v>38079</v>
      </c>
      <c r="N337" s="5">
        <v>10</v>
      </c>
      <c r="O337" s="5">
        <v>137084.4</v>
      </c>
      <c r="P337" s="5">
        <v>120554.35</v>
      </c>
      <c r="Q337" s="5">
        <v>16530.05</v>
      </c>
      <c r="R337" s="5" t="s">
        <v>32</v>
      </c>
      <c r="S337" s="5" t="s">
        <v>82</v>
      </c>
      <c r="T337" s="5" t="s">
        <v>73</v>
      </c>
      <c r="U337" s="5">
        <v>2</v>
      </c>
      <c r="V337" s="5" t="s">
        <v>35</v>
      </c>
    </row>
    <row r="338" spans="1:22" x14ac:dyDescent="0.3">
      <c r="A338" s="5" t="s">
        <v>804</v>
      </c>
      <c r="B338" s="6">
        <v>46025</v>
      </c>
      <c r="C338" s="5" t="s">
        <v>438</v>
      </c>
      <c r="D338" s="5" t="s">
        <v>48</v>
      </c>
      <c r="E338" s="5" t="s">
        <v>77</v>
      </c>
      <c r="F338" s="5" t="s">
        <v>78</v>
      </c>
      <c r="G338" s="5" t="s">
        <v>41</v>
      </c>
      <c r="H338" s="5" t="s">
        <v>759</v>
      </c>
      <c r="I338" s="5" t="s">
        <v>760</v>
      </c>
      <c r="J338" s="5" t="s">
        <v>71</v>
      </c>
      <c r="K338" s="5" t="s">
        <v>72</v>
      </c>
      <c r="L338" s="5">
        <v>2</v>
      </c>
      <c r="M338" s="5">
        <v>19212</v>
      </c>
      <c r="N338" s="5">
        <v>20</v>
      </c>
      <c r="O338" s="5">
        <v>30739.200000000001</v>
      </c>
      <c r="P338" s="5">
        <v>26325.75</v>
      </c>
      <c r="Q338" s="5">
        <v>4413.45</v>
      </c>
      <c r="R338" s="5" t="s">
        <v>64</v>
      </c>
      <c r="S338" s="5" t="s">
        <v>33</v>
      </c>
      <c r="T338" s="5" t="s">
        <v>65</v>
      </c>
      <c r="U338" s="5">
        <v>3</v>
      </c>
      <c r="V338" s="5" t="s">
        <v>45</v>
      </c>
    </row>
    <row r="339" spans="1:22" x14ac:dyDescent="0.3">
      <c r="A339" s="5" t="s">
        <v>805</v>
      </c>
      <c r="B339" s="6">
        <v>46119</v>
      </c>
      <c r="C339" s="5" t="s">
        <v>179</v>
      </c>
      <c r="D339" s="5" t="s">
        <v>110</v>
      </c>
      <c r="E339" s="5" t="s">
        <v>94</v>
      </c>
      <c r="F339" s="5" t="s">
        <v>26</v>
      </c>
      <c r="G339" s="5" t="s">
        <v>27</v>
      </c>
      <c r="H339" s="5" t="s">
        <v>269</v>
      </c>
      <c r="I339" s="5" t="s">
        <v>270</v>
      </c>
      <c r="J339" s="5" t="s">
        <v>71</v>
      </c>
      <c r="K339" s="5" t="s">
        <v>72</v>
      </c>
      <c r="L339" s="5">
        <v>2</v>
      </c>
      <c r="M339" s="5">
        <v>44203</v>
      </c>
      <c r="N339" s="5">
        <v>0</v>
      </c>
      <c r="O339" s="5">
        <v>88406</v>
      </c>
      <c r="P339" s="5">
        <v>67512.09</v>
      </c>
      <c r="Q339" s="5">
        <v>20893.91</v>
      </c>
      <c r="R339" s="5" t="s">
        <v>64</v>
      </c>
      <c r="S339" s="5" t="s">
        <v>33</v>
      </c>
      <c r="T339" s="5" t="s">
        <v>73</v>
      </c>
      <c r="U339" s="5">
        <v>1</v>
      </c>
      <c r="V339" s="5" t="s">
        <v>35</v>
      </c>
    </row>
    <row r="340" spans="1:22" x14ac:dyDescent="0.3">
      <c r="A340" s="5" t="s">
        <v>806</v>
      </c>
      <c r="B340" s="6">
        <v>46191</v>
      </c>
      <c r="C340" s="5" t="s">
        <v>807</v>
      </c>
      <c r="D340" s="5" t="s">
        <v>68</v>
      </c>
      <c r="E340" s="5" t="s">
        <v>39</v>
      </c>
      <c r="F340" s="5" t="s">
        <v>40</v>
      </c>
      <c r="G340" s="5" t="s">
        <v>41</v>
      </c>
      <c r="H340" s="5" t="s">
        <v>238</v>
      </c>
      <c r="I340" s="5" t="s">
        <v>239</v>
      </c>
      <c r="J340" s="5" t="s">
        <v>71</v>
      </c>
      <c r="K340" s="5" t="s">
        <v>81</v>
      </c>
      <c r="L340" s="5">
        <v>2</v>
      </c>
      <c r="M340" s="5">
        <v>35145</v>
      </c>
      <c r="N340" s="5">
        <v>15</v>
      </c>
      <c r="O340" s="5">
        <v>59746.5</v>
      </c>
      <c r="P340" s="5">
        <v>52637.760000000002</v>
      </c>
      <c r="Q340" s="5">
        <v>7108.74</v>
      </c>
      <c r="R340" s="5" t="s">
        <v>44</v>
      </c>
      <c r="S340" s="5" t="s">
        <v>33</v>
      </c>
      <c r="T340" s="5" t="s">
        <v>73</v>
      </c>
      <c r="U340" s="5">
        <v>1</v>
      </c>
      <c r="V340" s="5" t="s">
        <v>35</v>
      </c>
    </row>
    <row r="341" spans="1:22" x14ac:dyDescent="0.3">
      <c r="A341" s="5" t="s">
        <v>808</v>
      </c>
      <c r="B341" s="6">
        <v>46125</v>
      </c>
      <c r="C341" s="5" t="s">
        <v>809</v>
      </c>
      <c r="D341" s="5" t="s">
        <v>89</v>
      </c>
      <c r="E341" s="5" t="s">
        <v>94</v>
      </c>
      <c r="F341" s="5" t="s">
        <v>26</v>
      </c>
      <c r="G341" s="5" t="s">
        <v>27</v>
      </c>
      <c r="H341" s="5" t="s">
        <v>172</v>
      </c>
      <c r="I341" s="5" t="s">
        <v>173</v>
      </c>
      <c r="J341" s="5" t="s">
        <v>54</v>
      </c>
      <c r="K341" s="5" t="s">
        <v>97</v>
      </c>
      <c r="L341" s="5">
        <v>5</v>
      </c>
      <c r="M341" s="5">
        <v>30707</v>
      </c>
      <c r="N341" s="5">
        <v>5</v>
      </c>
      <c r="O341" s="5">
        <v>145858.25</v>
      </c>
      <c r="P341" s="5">
        <v>98013.85</v>
      </c>
      <c r="Q341" s="5">
        <v>47844.4</v>
      </c>
      <c r="R341" s="5" t="s">
        <v>64</v>
      </c>
      <c r="S341" s="5" t="s">
        <v>33</v>
      </c>
      <c r="T341" s="5" t="s">
        <v>73</v>
      </c>
      <c r="U341" s="5">
        <v>2</v>
      </c>
      <c r="V341" s="5" t="s">
        <v>45</v>
      </c>
    </row>
    <row r="342" spans="1:22" x14ac:dyDescent="0.3">
      <c r="A342" s="5" t="s">
        <v>810</v>
      </c>
      <c r="B342" s="6">
        <v>46054</v>
      </c>
      <c r="C342" s="5" t="s">
        <v>811</v>
      </c>
      <c r="D342" s="5" t="s">
        <v>76</v>
      </c>
      <c r="E342" s="5" t="s">
        <v>39</v>
      </c>
      <c r="F342" s="5" t="s">
        <v>40</v>
      </c>
      <c r="G342" s="5" t="s">
        <v>41</v>
      </c>
      <c r="H342" s="5" t="s">
        <v>440</v>
      </c>
      <c r="I342" s="5" t="s">
        <v>441</v>
      </c>
      <c r="J342" s="5" t="s">
        <v>30</v>
      </c>
      <c r="K342" s="5" t="s">
        <v>31</v>
      </c>
      <c r="L342" s="5">
        <v>3</v>
      </c>
      <c r="M342" s="5">
        <v>49766</v>
      </c>
      <c r="N342" s="5">
        <v>20</v>
      </c>
      <c r="O342" s="5">
        <v>119438.39999999999</v>
      </c>
      <c r="P342" s="5">
        <v>100512.41</v>
      </c>
      <c r="Q342" s="5">
        <v>18925.990000000002</v>
      </c>
      <c r="R342" s="5" t="s">
        <v>32</v>
      </c>
      <c r="S342" s="5" t="s">
        <v>82</v>
      </c>
      <c r="T342" s="5" t="s">
        <v>34</v>
      </c>
      <c r="U342" s="5">
        <v>3</v>
      </c>
      <c r="V342" s="5" t="s">
        <v>35</v>
      </c>
    </row>
    <row r="343" spans="1:22" x14ac:dyDescent="0.3">
      <c r="A343" s="5" t="s">
        <v>812</v>
      </c>
      <c r="B343" s="6">
        <v>46202</v>
      </c>
      <c r="C343" s="5" t="s">
        <v>192</v>
      </c>
      <c r="D343" s="5" t="s">
        <v>24</v>
      </c>
      <c r="E343" s="5" t="s">
        <v>77</v>
      </c>
      <c r="F343" s="5" t="s">
        <v>78</v>
      </c>
      <c r="G343" s="5" t="s">
        <v>41</v>
      </c>
      <c r="H343" s="5" t="s">
        <v>334</v>
      </c>
      <c r="I343" s="5" t="s">
        <v>335</v>
      </c>
      <c r="J343" s="5" t="s">
        <v>71</v>
      </c>
      <c r="K343" s="5" t="s">
        <v>72</v>
      </c>
      <c r="L343" s="5">
        <v>4</v>
      </c>
      <c r="M343" s="5">
        <v>38830</v>
      </c>
      <c r="N343" s="5">
        <v>20</v>
      </c>
      <c r="O343" s="5">
        <v>124256</v>
      </c>
      <c r="P343" s="5">
        <v>123481.66</v>
      </c>
      <c r="Q343" s="5">
        <v>774.34</v>
      </c>
      <c r="R343" s="5" t="s">
        <v>32</v>
      </c>
      <c r="S343" s="5" t="s">
        <v>33</v>
      </c>
      <c r="T343" s="5" t="s">
        <v>65</v>
      </c>
      <c r="U343" s="5">
        <v>3</v>
      </c>
      <c r="V343" s="5" t="s">
        <v>35</v>
      </c>
    </row>
    <row r="344" spans="1:22" x14ac:dyDescent="0.3">
      <c r="A344" s="5" t="s">
        <v>813</v>
      </c>
      <c r="B344" s="6">
        <v>46065</v>
      </c>
      <c r="C344" s="5" t="s">
        <v>112</v>
      </c>
      <c r="D344" s="5" t="s">
        <v>24</v>
      </c>
      <c r="E344" s="5" t="s">
        <v>126</v>
      </c>
      <c r="F344" s="5" t="s">
        <v>126</v>
      </c>
      <c r="G344" s="5" t="s">
        <v>51</v>
      </c>
      <c r="H344" s="5" t="s">
        <v>164</v>
      </c>
      <c r="I344" s="5" t="s">
        <v>165</v>
      </c>
      <c r="J344" s="5" t="s">
        <v>102</v>
      </c>
      <c r="K344" s="5" t="s">
        <v>103</v>
      </c>
      <c r="L344" s="5">
        <v>1</v>
      </c>
      <c r="M344" s="5">
        <v>56303</v>
      </c>
      <c r="N344" s="5">
        <v>15</v>
      </c>
      <c r="O344" s="5">
        <v>47857.55</v>
      </c>
      <c r="P344" s="5">
        <v>41846.879999999997</v>
      </c>
      <c r="Q344" s="5">
        <v>6010.67</v>
      </c>
      <c r="R344" s="5" t="s">
        <v>32</v>
      </c>
      <c r="S344" s="5" t="s">
        <v>33</v>
      </c>
      <c r="T344" s="5" t="s">
        <v>65</v>
      </c>
      <c r="U344" s="5">
        <v>3</v>
      </c>
      <c r="V344" s="5" t="s">
        <v>45</v>
      </c>
    </row>
    <row r="345" spans="1:22" x14ac:dyDescent="0.3">
      <c r="A345" s="5" t="s">
        <v>814</v>
      </c>
      <c r="B345" s="6">
        <v>46059</v>
      </c>
      <c r="C345" s="5" t="s">
        <v>815</v>
      </c>
      <c r="D345" s="5" t="s">
        <v>38</v>
      </c>
      <c r="E345" s="5" t="s">
        <v>49</v>
      </c>
      <c r="F345" s="5" t="s">
        <v>50</v>
      </c>
      <c r="G345" s="5" t="s">
        <v>51</v>
      </c>
      <c r="H345" s="5" t="s">
        <v>816</v>
      </c>
      <c r="I345" s="5" t="s">
        <v>817</v>
      </c>
      <c r="J345" s="5" t="s">
        <v>54</v>
      </c>
      <c r="K345" s="5" t="s">
        <v>97</v>
      </c>
      <c r="L345" s="5">
        <v>5</v>
      </c>
      <c r="M345" s="5">
        <v>47221</v>
      </c>
      <c r="N345" s="5">
        <v>5</v>
      </c>
      <c r="O345" s="5">
        <v>224299.75</v>
      </c>
      <c r="P345" s="5">
        <v>133688.69</v>
      </c>
      <c r="Q345" s="5">
        <v>90611.06</v>
      </c>
      <c r="R345" s="5" t="s">
        <v>64</v>
      </c>
      <c r="S345" s="5" t="s">
        <v>82</v>
      </c>
      <c r="T345" s="5" t="s">
        <v>34</v>
      </c>
      <c r="U345" s="5">
        <v>3</v>
      </c>
      <c r="V345" s="5" t="s">
        <v>35</v>
      </c>
    </row>
    <row r="346" spans="1:22" x14ac:dyDescent="0.3">
      <c r="A346" s="5" t="s">
        <v>818</v>
      </c>
      <c r="B346" s="6">
        <v>46088</v>
      </c>
      <c r="C346" s="5" t="s">
        <v>687</v>
      </c>
      <c r="D346" s="5" t="s">
        <v>68</v>
      </c>
      <c r="E346" s="5" t="s">
        <v>77</v>
      </c>
      <c r="F346" s="5" t="s">
        <v>78</v>
      </c>
      <c r="G346" s="5" t="s">
        <v>41</v>
      </c>
      <c r="H346" s="5" t="s">
        <v>184</v>
      </c>
      <c r="I346" s="5" t="s">
        <v>185</v>
      </c>
      <c r="J346" s="5" t="s">
        <v>102</v>
      </c>
      <c r="K346" s="5" t="s">
        <v>103</v>
      </c>
      <c r="L346" s="5">
        <v>4</v>
      </c>
      <c r="M346" s="5">
        <v>13519</v>
      </c>
      <c r="N346" s="5">
        <v>10</v>
      </c>
      <c r="O346" s="5">
        <v>48668.4</v>
      </c>
      <c r="P346" s="5">
        <v>42258.13</v>
      </c>
      <c r="Q346" s="5">
        <v>6410.27</v>
      </c>
      <c r="R346" s="5" t="s">
        <v>44</v>
      </c>
      <c r="S346" s="5" t="s">
        <v>82</v>
      </c>
      <c r="T346" s="5" t="s">
        <v>73</v>
      </c>
      <c r="U346" s="5">
        <v>2</v>
      </c>
      <c r="V346" s="5" t="s">
        <v>45</v>
      </c>
    </row>
    <row r="347" spans="1:22" x14ac:dyDescent="0.3">
      <c r="A347" s="5" t="s">
        <v>819</v>
      </c>
      <c r="B347" s="6">
        <v>46072</v>
      </c>
      <c r="C347" s="5" t="s">
        <v>687</v>
      </c>
      <c r="D347" s="5" t="s">
        <v>89</v>
      </c>
      <c r="E347" s="5" t="s">
        <v>39</v>
      </c>
      <c r="F347" s="5" t="s">
        <v>40</v>
      </c>
      <c r="G347" s="5" t="s">
        <v>41</v>
      </c>
      <c r="H347" s="5" t="s">
        <v>387</v>
      </c>
      <c r="I347" s="5" t="s">
        <v>388</v>
      </c>
      <c r="J347" s="5" t="s">
        <v>54</v>
      </c>
      <c r="K347" s="5" t="s">
        <v>97</v>
      </c>
      <c r="L347" s="5">
        <v>5</v>
      </c>
      <c r="M347" s="5">
        <v>33112</v>
      </c>
      <c r="N347" s="5">
        <v>15</v>
      </c>
      <c r="O347" s="5">
        <v>140726</v>
      </c>
      <c r="P347" s="5">
        <v>132078.24</v>
      </c>
      <c r="Q347" s="5">
        <v>8647.76</v>
      </c>
      <c r="R347" s="5" t="s">
        <v>44</v>
      </c>
      <c r="S347" s="5" t="s">
        <v>82</v>
      </c>
      <c r="T347" s="5" t="s">
        <v>73</v>
      </c>
      <c r="U347" s="5">
        <v>2</v>
      </c>
      <c r="V347" s="5" t="s">
        <v>35</v>
      </c>
    </row>
    <row r="348" spans="1:22" x14ac:dyDescent="0.3">
      <c r="A348" s="5" t="s">
        <v>820</v>
      </c>
      <c r="B348" s="6">
        <v>46137</v>
      </c>
      <c r="C348" s="5" t="s">
        <v>390</v>
      </c>
      <c r="D348" s="5" t="s">
        <v>58</v>
      </c>
      <c r="E348" s="5" t="s">
        <v>25</v>
      </c>
      <c r="F348" s="5" t="s">
        <v>26</v>
      </c>
      <c r="G348" s="5" t="s">
        <v>27</v>
      </c>
      <c r="H348" s="5" t="s">
        <v>387</v>
      </c>
      <c r="I348" s="5" t="s">
        <v>388</v>
      </c>
      <c r="J348" s="5" t="s">
        <v>54</v>
      </c>
      <c r="K348" s="5" t="s">
        <v>97</v>
      </c>
      <c r="L348" s="5">
        <v>2</v>
      </c>
      <c r="M348" s="5">
        <v>36092</v>
      </c>
      <c r="N348" s="5">
        <v>20</v>
      </c>
      <c r="O348" s="5">
        <v>57747.199999999997</v>
      </c>
      <c r="P348" s="5">
        <v>48760.42</v>
      </c>
      <c r="Q348" s="5">
        <v>8986.7800000000007</v>
      </c>
      <c r="R348" s="5" t="s">
        <v>32</v>
      </c>
      <c r="S348" s="5" t="s">
        <v>82</v>
      </c>
      <c r="T348" s="5" t="s">
        <v>73</v>
      </c>
      <c r="U348" s="5">
        <v>1</v>
      </c>
      <c r="V348" s="5" t="s">
        <v>45</v>
      </c>
    </row>
    <row r="349" spans="1:22" x14ac:dyDescent="0.3">
      <c r="A349" s="5" t="s">
        <v>821</v>
      </c>
      <c r="B349" s="6">
        <v>46196</v>
      </c>
      <c r="C349" s="5" t="s">
        <v>614</v>
      </c>
      <c r="D349" s="5" t="s">
        <v>58</v>
      </c>
      <c r="E349" s="5" t="s">
        <v>77</v>
      </c>
      <c r="F349" s="5" t="s">
        <v>78</v>
      </c>
      <c r="G349" s="5" t="s">
        <v>41</v>
      </c>
      <c r="H349" s="5" t="s">
        <v>363</v>
      </c>
      <c r="I349" s="5" t="s">
        <v>364</v>
      </c>
      <c r="J349" s="5" t="s">
        <v>54</v>
      </c>
      <c r="K349" s="5" t="s">
        <v>55</v>
      </c>
      <c r="L349" s="5">
        <v>5</v>
      </c>
      <c r="M349" s="5">
        <v>36255</v>
      </c>
      <c r="N349" s="5">
        <v>10</v>
      </c>
      <c r="O349" s="5">
        <v>163147.5</v>
      </c>
      <c r="P349" s="5">
        <v>152325.43</v>
      </c>
      <c r="Q349" s="5">
        <v>10822.07</v>
      </c>
      <c r="R349" s="5" t="s">
        <v>44</v>
      </c>
      <c r="S349" s="5" t="s">
        <v>82</v>
      </c>
      <c r="T349" s="5" t="s">
        <v>34</v>
      </c>
      <c r="U349" s="5">
        <v>4</v>
      </c>
      <c r="V349" s="5" t="s">
        <v>35</v>
      </c>
    </row>
    <row r="350" spans="1:22" x14ac:dyDescent="0.3">
      <c r="A350" s="5" t="s">
        <v>822</v>
      </c>
      <c r="B350" s="6">
        <v>46203</v>
      </c>
      <c r="C350" s="5" t="s">
        <v>823</v>
      </c>
      <c r="D350" s="5" t="s">
        <v>24</v>
      </c>
      <c r="E350" s="5" t="s">
        <v>25</v>
      </c>
      <c r="F350" s="5" t="s">
        <v>26</v>
      </c>
      <c r="G350" s="5" t="s">
        <v>27</v>
      </c>
      <c r="H350" s="5" t="s">
        <v>824</v>
      </c>
      <c r="I350" s="5" t="s">
        <v>825</v>
      </c>
      <c r="J350" s="5" t="s">
        <v>71</v>
      </c>
      <c r="K350" s="5" t="s">
        <v>81</v>
      </c>
      <c r="L350" s="5">
        <v>2</v>
      </c>
      <c r="M350" s="5">
        <v>1871</v>
      </c>
      <c r="N350" s="5">
        <v>15</v>
      </c>
      <c r="O350" s="5">
        <v>3180.7</v>
      </c>
      <c r="P350" s="5">
        <v>2976.04</v>
      </c>
      <c r="Q350" s="5">
        <v>204.66</v>
      </c>
      <c r="R350" s="5" t="s">
        <v>32</v>
      </c>
      <c r="S350" s="5" t="s">
        <v>82</v>
      </c>
      <c r="T350" s="5" t="s">
        <v>65</v>
      </c>
      <c r="U350" s="5">
        <v>5</v>
      </c>
      <c r="V350" s="5" t="s">
        <v>35</v>
      </c>
    </row>
    <row r="351" spans="1:22" x14ac:dyDescent="0.3">
      <c r="A351" s="5" t="s">
        <v>826</v>
      </c>
      <c r="B351" s="6">
        <v>46159</v>
      </c>
      <c r="C351" s="5" t="s">
        <v>268</v>
      </c>
      <c r="D351" s="5" t="s">
        <v>48</v>
      </c>
      <c r="E351" s="5" t="s">
        <v>126</v>
      </c>
      <c r="F351" s="5" t="s">
        <v>126</v>
      </c>
      <c r="G351" s="5" t="s">
        <v>51</v>
      </c>
      <c r="H351" s="5" t="s">
        <v>147</v>
      </c>
      <c r="I351" s="5" t="s">
        <v>148</v>
      </c>
      <c r="J351" s="5" t="s">
        <v>71</v>
      </c>
      <c r="K351" s="5" t="s">
        <v>81</v>
      </c>
      <c r="L351" s="5">
        <v>2</v>
      </c>
      <c r="M351" s="5">
        <v>33761</v>
      </c>
      <c r="N351" s="5">
        <v>5</v>
      </c>
      <c r="O351" s="5">
        <v>64145.9</v>
      </c>
      <c r="P351" s="5">
        <v>50393.3</v>
      </c>
      <c r="Q351" s="5">
        <v>13752.6</v>
      </c>
      <c r="R351" s="5" t="s">
        <v>64</v>
      </c>
      <c r="S351" s="5" t="s">
        <v>33</v>
      </c>
      <c r="T351" s="5" t="s">
        <v>65</v>
      </c>
      <c r="U351" s="5">
        <v>3</v>
      </c>
      <c r="V351" s="5" t="s">
        <v>35</v>
      </c>
    </row>
    <row r="352" spans="1:22" x14ac:dyDescent="0.3">
      <c r="A352" s="5" t="s">
        <v>827</v>
      </c>
      <c r="B352" s="6">
        <v>46152</v>
      </c>
      <c r="C352" s="5" t="s">
        <v>345</v>
      </c>
      <c r="D352" s="5" t="s">
        <v>68</v>
      </c>
      <c r="E352" s="5" t="s">
        <v>25</v>
      </c>
      <c r="F352" s="5" t="s">
        <v>26</v>
      </c>
      <c r="G352" s="5" t="s">
        <v>27</v>
      </c>
      <c r="H352" s="5" t="s">
        <v>95</v>
      </c>
      <c r="I352" s="5" t="s">
        <v>96</v>
      </c>
      <c r="J352" s="5" t="s">
        <v>54</v>
      </c>
      <c r="K352" s="5" t="s">
        <v>97</v>
      </c>
      <c r="L352" s="5">
        <v>2</v>
      </c>
      <c r="M352" s="5">
        <v>66729</v>
      </c>
      <c r="N352" s="5">
        <v>10</v>
      </c>
      <c r="O352" s="5">
        <v>120112.2</v>
      </c>
      <c r="P352" s="5">
        <v>91957.17</v>
      </c>
      <c r="Q352" s="5">
        <v>28155.03</v>
      </c>
      <c r="R352" s="5" t="s">
        <v>64</v>
      </c>
      <c r="S352" s="5" t="s">
        <v>33</v>
      </c>
      <c r="T352" s="5" t="s">
        <v>73</v>
      </c>
      <c r="U352" s="5">
        <v>5</v>
      </c>
      <c r="V352" s="5" t="s">
        <v>35</v>
      </c>
    </row>
    <row r="353" spans="1:22" x14ac:dyDescent="0.3">
      <c r="A353" s="5" t="s">
        <v>828</v>
      </c>
      <c r="B353" s="6">
        <v>46063</v>
      </c>
      <c r="C353" s="5" t="s">
        <v>829</v>
      </c>
      <c r="D353" s="5" t="s">
        <v>110</v>
      </c>
      <c r="E353" s="5" t="s">
        <v>39</v>
      </c>
      <c r="F353" s="5" t="s">
        <v>40</v>
      </c>
      <c r="G353" s="5" t="s">
        <v>41</v>
      </c>
      <c r="H353" s="5" t="s">
        <v>90</v>
      </c>
      <c r="I353" s="5" t="s">
        <v>91</v>
      </c>
      <c r="J353" s="5" t="s">
        <v>71</v>
      </c>
      <c r="K353" s="5" t="s">
        <v>81</v>
      </c>
      <c r="L353" s="5">
        <v>4</v>
      </c>
      <c r="M353" s="5">
        <v>27828</v>
      </c>
      <c r="N353" s="5">
        <v>20</v>
      </c>
      <c r="O353" s="5">
        <v>89049.600000000006</v>
      </c>
      <c r="P353" s="5">
        <v>62012.03</v>
      </c>
      <c r="Q353" s="5">
        <v>27037.57</v>
      </c>
      <c r="R353" s="5" t="s">
        <v>44</v>
      </c>
      <c r="S353" s="5" t="s">
        <v>33</v>
      </c>
      <c r="T353" s="5" t="s">
        <v>34</v>
      </c>
      <c r="U353" s="5">
        <v>3</v>
      </c>
      <c r="V353" s="5" t="s">
        <v>45</v>
      </c>
    </row>
    <row r="354" spans="1:22" x14ac:dyDescent="0.3">
      <c r="A354" s="5" t="s">
        <v>830</v>
      </c>
      <c r="B354" s="6">
        <v>46081</v>
      </c>
      <c r="C354" s="5" t="s">
        <v>656</v>
      </c>
      <c r="D354" s="5" t="s">
        <v>58</v>
      </c>
      <c r="E354" s="5" t="s">
        <v>39</v>
      </c>
      <c r="F354" s="5" t="s">
        <v>40</v>
      </c>
      <c r="G354" s="5" t="s">
        <v>41</v>
      </c>
      <c r="H354" s="5" t="s">
        <v>62</v>
      </c>
      <c r="I354" s="5" t="s">
        <v>63</v>
      </c>
      <c r="J354" s="5" t="s">
        <v>54</v>
      </c>
      <c r="K354" s="5" t="s">
        <v>55</v>
      </c>
      <c r="L354" s="5">
        <v>2</v>
      </c>
      <c r="M354" s="5">
        <v>76363</v>
      </c>
      <c r="N354" s="5">
        <v>15</v>
      </c>
      <c r="O354" s="5">
        <v>129817.1</v>
      </c>
      <c r="P354" s="5">
        <v>120048.99</v>
      </c>
      <c r="Q354" s="5">
        <v>9768.11</v>
      </c>
      <c r="R354" s="5" t="s">
        <v>44</v>
      </c>
      <c r="S354" s="5" t="s">
        <v>82</v>
      </c>
      <c r="T354" s="5" t="s">
        <v>73</v>
      </c>
      <c r="U354" s="5">
        <v>1</v>
      </c>
      <c r="V354" s="5" t="s">
        <v>35</v>
      </c>
    </row>
    <row r="355" spans="1:22" x14ac:dyDescent="0.3">
      <c r="A355" s="5" t="s">
        <v>831</v>
      </c>
      <c r="B355" s="6">
        <v>46070</v>
      </c>
      <c r="C355" s="5" t="s">
        <v>434</v>
      </c>
      <c r="D355" s="5" t="s">
        <v>48</v>
      </c>
      <c r="E355" s="5" t="s">
        <v>77</v>
      </c>
      <c r="F355" s="5" t="s">
        <v>78</v>
      </c>
      <c r="G355" s="5" t="s">
        <v>41</v>
      </c>
      <c r="H355" s="5" t="s">
        <v>440</v>
      </c>
      <c r="I355" s="5" t="s">
        <v>441</v>
      </c>
      <c r="J355" s="5" t="s">
        <v>30</v>
      </c>
      <c r="K355" s="5" t="s">
        <v>31</v>
      </c>
      <c r="L355" s="5">
        <v>4</v>
      </c>
      <c r="M355" s="5">
        <v>14590</v>
      </c>
      <c r="N355" s="5">
        <v>15</v>
      </c>
      <c r="O355" s="5">
        <v>49606</v>
      </c>
      <c r="P355" s="5">
        <v>47896.14</v>
      </c>
      <c r="Q355" s="5">
        <v>1709.86</v>
      </c>
      <c r="R355" s="5" t="s">
        <v>32</v>
      </c>
      <c r="S355" s="5" t="s">
        <v>82</v>
      </c>
      <c r="T355" s="5" t="s">
        <v>73</v>
      </c>
      <c r="U355" s="5">
        <v>5</v>
      </c>
      <c r="V355" s="5" t="s">
        <v>45</v>
      </c>
    </row>
    <row r="356" spans="1:22" x14ac:dyDescent="0.3">
      <c r="A356" s="5" t="s">
        <v>832</v>
      </c>
      <c r="B356" s="6">
        <v>46198</v>
      </c>
      <c r="C356" s="5" t="s">
        <v>351</v>
      </c>
      <c r="D356" s="5" t="s">
        <v>68</v>
      </c>
      <c r="E356" s="5" t="s">
        <v>25</v>
      </c>
      <c r="F356" s="5" t="s">
        <v>26</v>
      </c>
      <c r="G356" s="5" t="s">
        <v>27</v>
      </c>
      <c r="H356" s="5" t="s">
        <v>640</v>
      </c>
      <c r="I356" s="5" t="s">
        <v>641</v>
      </c>
      <c r="J356" s="5" t="s">
        <v>54</v>
      </c>
      <c r="K356" s="5" t="s">
        <v>97</v>
      </c>
      <c r="L356" s="5">
        <v>4</v>
      </c>
      <c r="M356" s="5">
        <v>28951</v>
      </c>
      <c r="N356" s="5">
        <v>15</v>
      </c>
      <c r="O356" s="5">
        <v>98433.4</v>
      </c>
      <c r="P356" s="5">
        <v>73398.259999999995</v>
      </c>
      <c r="Q356" s="5">
        <v>25035.14</v>
      </c>
      <c r="R356" s="5" t="s">
        <v>44</v>
      </c>
      <c r="S356" s="5" t="s">
        <v>33</v>
      </c>
      <c r="T356" s="5" t="s">
        <v>73</v>
      </c>
      <c r="U356" s="5">
        <v>3</v>
      </c>
      <c r="V356" s="5" t="s">
        <v>35</v>
      </c>
    </row>
    <row r="357" spans="1:22" x14ac:dyDescent="0.3">
      <c r="A357" s="5" t="s">
        <v>833</v>
      </c>
      <c r="B357" s="6">
        <v>46084</v>
      </c>
      <c r="C357" s="5" t="s">
        <v>552</v>
      </c>
      <c r="D357" s="5" t="s">
        <v>110</v>
      </c>
      <c r="E357" s="5" t="s">
        <v>59</v>
      </c>
      <c r="F357" s="5" t="s">
        <v>60</v>
      </c>
      <c r="G357" s="5" t="s">
        <v>61</v>
      </c>
      <c r="H357" s="5" t="s">
        <v>486</v>
      </c>
      <c r="I357" s="5" t="s">
        <v>487</v>
      </c>
      <c r="J357" s="5" t="s">
        <v>71</v>
      </c>
      <c r="K357" s="5" t="s">
        <v>81</v>
      </c>
      <c r="L357" s="5">
        <v>1</v>
      </c>
      <c r="M357" s="5">
        <v>78267</v>
      </c>
      <c r="N357" s="5">
        <v>15</v>
      </c>
      <c r="O357" s="5">
        <v>66526.95</v>
      </c>
      <c r="P357" s="5">
        <v>62936.22</v>
      </c>
      <c r="Q357" s="5">
        <v>3590.73</v>
      </c>
      <c r="R357" s="5" t="s">
        <v>64</v>
      </c>
      <c r="S357" s="5" t="s">
        <v>33</v>
      </c>
      <c r="T357" s="5" t="s">
        <v>34</v>
      </c>
      <c r="U357" s="5">
        <v>1</v>
      </c>
      <c r="V357" s="5" t="s">
        <v>35</v>
      </c>
    </row>
    <row r="358" spans="1:22" x14ac:dyDescent="0.3">
      <c r="A358" s="5" t="s">
        <v>834</v>
      </c>
      <c r="B358" s="6">
        <v>46158</v>
      </c>
      <c r="C358" s="5" t="s">
        <v>150</v>
      </c>
      <c r="D358" s="5" t="s">
        <v>38</v>
      </c>
      <c r="E358" s="5" t="s">
        <v>39</v>
      </c>
      <c r="F358" s="5" t="s">
        <v>40</v>
      </c>
      <c r="G358" s="5" t="s">
        <v>41</v>
      </c>
      <c r="H358" s="5" t="s">
        <v>118</v>
      </c>
      <c r="I358" s="5" t="s">
        <v>119</v>
      </c>
      <c r="J358" s="5" t="s">
        <v>54</v>
      </c>
      <c r="K358" s="5" t="s">
        <v>97</v>
      </c>
      <c r="L358" s="5">
        <v>3</v>
      </c>
      <c r="M358" s="5">
        <v>19793</v>
      </c>
      <c r="N358" s="5">
        <v>10</v>
      </c>
      <c r="O358" s="5">
        <v>53441.1</v>
      </c>
      <c r="P358" s="5">
        <v>45045.5</v>
      </c>
      <c r="Q358" s="5">
        <v>8395.6</v>
      </c>
      <c r="R358" s="5" t="s">
        <v>44</v>
      </c>
      <c r="S358" s="5" t="s">
        <v>33</v>
      </c>
      <c r="T358" s="5" t="s">
        <v>34</v>
      </c>
      <c r="U358" s="5">
        <v>5</v>
      </c>
      <c r="V358" s="5" t="s">
        <v>45</v>
      </c>
    </row>
    <row r="359" spans="1:22" x14ac:dyDescent="0.3">
      <c r="A359" s="5" t="s">
        <v>835</v>
      </c>
      <c r="B359" s="6">
        <v>46089</v>
      </c>
      <c r="C359" s="5" t="s">
        <v>304</v>
      </c>
      <c r="D359" s="5" t="s">
        <v>38</v>
      </c>
      <c r="E359" s="5" t="s">
        <v>25</v>
      </c>
      <c r="F359" s="5" t="s">
        <v>26</v>
      </c>
      <c r="G359" s="5" t="s">
        <v>27</v>
      </c>
      <c r="H359" s="5" t="s">
        <v>299</v>
      </c>
      <c r="I359" s="5" t="s">
        <v>300</v>
      </c>
      <c r="J359" s="5" t="s">
        <v>71</v>
      </c>
      <c r="K359" s="5" t="s">
        <v>72</v>
      </c>
      <c r="L359" s="5">
        <v>2</v>
      </c>
      <c r="M359" s="5">
        <v>13444</v>
      </c>
      <c r="N359" s="5">
        <v>15</v>
      </c>
      <c r="O359" s="5">
        <v>22854.799999999999</v>
      </c>
      <c r="P359" s="5">
        <v>22447.439999999999</v>
      </c>
      <c r="Q359" s="5">
        <v>407.36</v>
      </c>
      <c r="R359" s="5" t="s">
        <v>44</v>
      </c>
      <c r="S359" s="5" t="s">
        <v>82</v>
      </c>
      <c r="T359" s="5" t="s">
        <v>65</v>
      </c>
      <c r="U359" s="5">
        <v>1</v>
      </c>
      <c r="V359" s="5" t="s">
        <v>35</v>
      </c>
    </row>
    <row r="360" spans="1:22" x14ac:dyDescent="0.3">
      <c r="A360" s="5" t="s">
        <v>836</v>
      </c>
      <c r="B360" s="6">
        <v>46082</v>
      </c>
      <c r="C360" s="5" t="s">
        <v>837</v>
      </c>
      <c r="D360" s="5" t="s">
        <v>58</v>
      </c>
      <c r="E360" s="5" t="s">
        <v>39</v>
      </c>
      <c r="F360" s="5" t="s">
        <v>40</v>
      </c>
      <c r="G360" s="5" t="s">
        <v>41</v>
      </c>
      <c r="H360" s="5" t="s">
        <v>213</v>
      </c>
      <c r="I360" s="5" t="s">
        <v>214</v>
      </c>
      <c r="J360" s="5" t="s">
        <v>54</v>
      </c>
      <c r="K360" s="5" t="s">
        <v>97</v>
      </c>
      <c r="L360" s="5">
        <v>4</v>
      </c>
      <c r="M360" s="5">
        <v>31281</v>
      </c>
      <c r="N360" s="5">
        <v>10</v>
      </c>
      <c r="O360" s="5">
        <v>112611.6</v>
      </c>
      <c r="P360" s="5">
        <v>95108.55</v>
      </c>
      <c r="Q360" s="5">
        <v>17503.05</v>
      </c>
      <c r="R360" s="5" t="s">
        <v>32</v>
      </c>
      <c r="S360" s="5" t="s">
        <v>33</v>
      </c>
      <c r="T360" s="5" t="s">
        <v>34</v>
      </c>
      <c r="U360" s="5">
        <v>1</v>
      </c>
      <c r="V360" s="5" t="s">
        <v>35</v>
      </c>
    </row>
    <row r="361" spans="1:22" x14ac:dyDescent="0.3">
      <c r="A361" s="5" t="s">
        <v>838</v>
      </c>
      <c r="B361" s="6">
        <v>46046</v>
      </c>
      <c r="C361" s="5" t="s">
        <v>623</v>
      </c>
      <c r="D361" s="5" t="s">
        <v>151</v>
      </c>
      <c r="E361" s="5" t="s">
        <v>39</v>
      </c>
      <c r="F361" s="5" t="s">
        <v>40</v>
      </c>
      <c r="G361" s="5" t="s">
        <v>41</v>
      </c>
      <c r="H361" s="5" t="s">
        <v>717</v>
      </c>
      <c r="I361" s="5" t="s">
        <v>718</v>
      </c>
      <c r="J361" s="5" t="s">
        <v>102</v>
      </c>
      <c r="K361" s="5" t="s">
        <v>103</v>
      </c>
      <c r="L361" s="5">
        <v>3</v>
      </c>
      <c r="M361" s="5">
        <v>19362</v>
      </c>
      <c r="N361" s="5">
        <v>20</v>
      </c>
      <c r="O361" s="5">
        <v>46468.800000000003</v>
      </c>
      <c r="P361" s="5">
        <v>46684.73</v>
      </c>
      <c r="Q361" s="5">
        <v>-215.93</v>
      </c>
      <c r="R361" s="5" t="s">
        <v>64</v>
      </c>
      <c r="S361" s="5" t="s">
        <v>82</v>
      </c>
      <c r="T361" s="5" t="s">
        <v>34</v>
      </c>
      <c r="U361" s="5">
        <v>4</v>
      </c>
      <c r="V361" s="5" t="s">
        <v>45</v>
      </c>
    </row>
    <row r="362" spans="1:22" x14ac:dyDescent="0.3">
      <c r="A362" s="5" t="s">
        <v>839</v>
      </c>
      <c r="B362" s="6">
        <v>46111</v>
      </c>
      <c r="C362" s="5" t="s">
        <v>840</v>
      </c>
      <c r="D362" s="5" t="s">
        <v>151</v>
      </c>
      <c r="E362" s="5" t="s">
        <v>25</v>
      </c>
      <c r="F362" s="5" t="s">
        <v>26</v>
      </c>
      <c r="G362" s="5" t="s">
        <v>27</v>
      </c>
      <c r="H362" s="5" t="s">
        <v>90</v>
      </c>
      <c r="I362" s="5" t="s">
        <v>91</v>
      </c>
      <c r="J362" s="5" t="s">
        <v>71</v>
      </c>
      <c r="K362" s="5" t="s">
        <v>81</v>
      </c>
      <c r="L362" s="5">
        <v>1</v>
      </c>
      <c r="M362" s="5">
        <v>44125</v>
      </c>
      <c r="N362" s="5">
        <v>5</v>
      </c>
      <c r="O362" s="5">
        <v>41918.75</v>
      </c>
      <c r="P362" s="5">
        <v>25504.51</v>
      </c>
      <c r="Q362" s="5">
        <v>16414.240000000002</v>
      </c>
      <c r="R362" s="5" t="s">
        <v>44</v>
      </c>
      <c r="S362" s="5" t="s">
        <v>33</v>
      </c>
      <c r="T362" s="5" t="s">
        <v>65</v>
      </c>
      <c r="U362" s="5">
        <v>1</v>
      </c>
      <c r="V362" s="5" t="s">
        <v>35</v>
      </c>
    </row>
    <row r="363" spans="1:22" x14ac:dyDescent="0.3">
      <c r="A363" s="5" t="s">
        <v>841</v>
      </c>
      <c r="B363" s="6">
        <v>46147</v>
      </c>
      <c r="C363" s="5" t="s">
        <v>75</v>
      </c>
      <c r="D363" s="5" t="s">
        <v>76</v>
      </c>
      <c r="E363" s="5" t="s">
        <v>49</v>
      </c>
      <c r="F363" s="5" t="s">
        <v>50</v>
      </c>
      <c r="G363" s="5" t="s">
        <v>51</v>
      </c>
      <c r="H363" s="5" t="s">
        <v>100</v>
      </c>
      <c r="I363" s="5" t="s">
        <v>101</v>
      </c>
      <c r="J363" s="5" t="s">
        <v>102</v>
      </c>
      <c r="K363" s="5" t="s">
        <v>103</v>
      </c>
      <c r="L363" s="5">
        <v>5</v>
      </c>
      <c r="M363" s="5">
        <v>14549</v>
      </c>
      <c r="N363" s="5">
        <v>15</v>
      </c>
      <c r="O363" s="5">
        <v>61833.25</v>
      </c>
      <c r="P363" s="5">
        <v>55040.639999999999</v>
      </c>
      <c r="Q363" s="5">
        <v>6792.61</v>
      </c>
      <c r="R363" s="5" t="s">
        <v>32</v>
      </c>
      <c r="S363" s="5" t="s">
        <v>33</v>
      </c>
      <c r="T363" s="5" t="s">
        <v>73</v>
      </c>
      <c r="U363" s="5">
        <v>4</v>
      </c>
      <c r="V363" s="5" t="s">
        <v>45</v>
      </c>
    </row>
    <row r="364" spans="1:22" x14ac:dyDescent="0.3">
      <c r="A364" s="5" t="s">
        <v>842</v>
      </c>
      <c r="B364" s="6">
        <v>46165</v>
      </c>
      <c r="C364" s="5" t="s">
        <v>536</v>
      </c>
      <c r="D364" s="5" t="s">
        <v>38</v>
      </c>
      <c r="E364" s="5" t="s">
        <v>94</v>
      </c>
      <c r="F364" s="5" t="s">
        <v>26</v>
      </c>
      <c r="G364" s="5" t="s">
        <v>27</v>
      </c>
      <c r="H364" s="5" t="s">
        <v>824</v>
      </c>
      <c r="I364" s="5" t="s">
        <v>825</v>
      </c>
      <c r="J364" s="5" t="s">
        <v>71</v>
      </c>
      <c r="K364" s="5" t="s">
        <v>81</v>
      </c>
      <c r="L364" s="5">
        <v>1</v>
      </c>
      <c r="M364" s="5">
        <v>10261</v>
      </c>
      <c r="N364" s="5">
        <v>0</v>
      </c>
      <c r="O364" s="5">
        <v>10261</v>
      </c>
      <c r="P364" s="5">
        <v>7177.6</v>
      </c>
      <c r="Q364" s="5">
        <v>3083.4</v>
      </c>
      <c r="R364" s="5" t="s">
        <v>44</v>
      </c>
      <c r="S364" s="5" t="s">
        <v>82</v>
      </c>
      <c r="T364" s="5" t="s">
        <v>73</v>
      </c>
      <c r="U364" s="5">
        <v>3</v>
      </c>
      <c r="V364" s="5" t="s">
        <v>45</v>
      </c>
    </row>
    <row r="365" spans="1:22" x14ac:dyDescent="0.3">
      <c r="A365" s="5" t="s">
        <v>843</v>
      </c>
      <c r="B365" s="6">
        <v>46027</v>
      </c>
      <c r="C365" s="5" t="s">
        <v>562</v>
      </c>
      <c r="D365" s="5" t="s">
        <v>24</v>
      </c>
      <c r="E365" s="5" t="s">
        <v>49</v>
      </c>
      <c r="F365" s="5" t="s">
        <v>50</v>
      </c>
      <c r="G365" s="5" t="s">
        <v>51</v>
      </c>
      <c r="H365" s="5" t="s">
        <v>231</v>
      </c>
      <c r="I365" s="5" t="s">
        <v>232</v>
      </c>
      <c r="J365" s="5" t="s">
        <v>54</v>
      </c>
      <c r="K365" s="5" t="s">
        <v>97</v>
      </c>
      <c r="L365" s="5">
        <v>4</v>
      </c>
      <c r="M365" s="5">
        <v>31714</v>
      </c>
      <c r="N365" s="5">
        <v>10</v>
      </c>
      <c r="O365" s="5">
        <v>114170.4</v>
      </c>
      <c r="P365" s="5">
        <v>101881.14</v>
      </c>
      <c r="Q365" s="5">
        <v>12289.26</v>
      </c>
      <c r="R365" s="5" t="s">
        <v>32</v>
      </c>
      <c r="S365" s="5" t="s">
        <v>33</v>
      </c>
      <c r="T365" s="5" t="s">
        <v>65</v>
      </c>
      <c r="U365" s="5">
        <v>1</v>
      </c>
      <c r="V365" s="5" t="s">
        <v>45</v>
      </c>
    </row>
    <row r="366" spans="1:22" x14ac:dyDescent="0.3">
      <c r="A366" s="5" t="s">
        <v>844</v>
      </c>
      <c r="B366" s="6">
        <v>46201</v>
      </c>
      <c r="C366" s="5" t="s">
        <v>109</v>
      </c>
      <c r="D366" s="5" t="s">
        <v>48</v>
      </c>
      <c r="E366" s="5" t="s">
        <v>39</v>
      </c>
      <c r="F366" s="5" t="s">
        <v>40</v>
      </c>
      <c r="G366" s="5" t="s">
        <v>41</v>
      </c>
      <c r="H366" s="5" t="s">
        <v>203</v>
      </c>
      <c r="I366" s="5" t="s">
        <v>204</v>
      </c>
      <c r="J366" s="5" t="s">
        <v>71</v>
      </c>
      <c r="K366" s="5" t="s">
        <v>81</v>
      </c>
      <c r="L366" s="5">
        <v>4</v>
      </c>
      <c r="M366" s="5">
        <v>6823</v>
      </c>
      <c r="N366" s="5">
        <v>0</v>
      </c>
      <c r="O366" s="5">
        <v>27292</v>
      </c>
      <c r="P366" s="5">
        <v>22718.65</v>
      </c>
      <c r="Q366" s="5">
        <v>4573.3500000000004</v>
      </c>
      <c r="R366" s="5" t="s">
        <v>44</v>
      </c>
      <c r="S366" s="5" t="s">
        <v>33</v>
      </c>
      <c r="T366" s="5" t="s">
        <v>34</v>
      </c>
      <c r="U366" s="5">
        <v>4</v>
      </c>
      <c r="V366" s="5" t="s">
        <v>35</v>
      </c>
    </row>
    <row r="367" spans="1:22" x14ac:dyDescent="0.3">
      <c r="A367" s="5" t="s">
        <v>845</v>
      </c>
      <c r="B367" s="6">
        <v>46077</v>
      </c>
      <c r="C367" s="5" t="s">
        <v>846</v>
      </c>
      <c r="D367" s="5" t="s">
        <v>76</v>
      </c>
      <c r="E367" s="5" t="s">
        <v>39</v>
      </c>
      <c r="F367" s="5" t="s">
        <v>40</v>
      </c>
      <c r="G367" s="5" t="s">
        <v>41</v>
      </c>
      <c r="H367" s="5" t="s">
        <v>541</v>
      </c>
      <c r="I367" s="5" t="s">
        <v>542</v>
      </c>
      <c r="J367" s="5" t="s">
        <v>54</v>
      </c>
      <c r="K367" s="5" t="s">
        <v>55</v>
      </c>
      <c r="L367" s="5">
        <v>3</v>
      </c>
      <c r="M367" s="5">
        <v>59303</v>
      </c>
      <c r="N367" s="5">
        <v>20</v>
      </c>
      <c r="O367" s="5">
        <v>142327.20000000001</v>
      </c>
      <c r="P367" s="5">
        <v>104464.02</v>
      </c>
      <c r="Q367" s="5">
        <v>37863.18</v>
      </c>
      <c r="R367" s="5" t="s">
        <v>44</v>
      </c>
      <c r="S367" s="5" t="s">
        <v>33</v>
      </c>
      <c r="T367" s="5" t="s">
        <v>65</v>
      </c>
      <c r="U367" s="5">
        <v>5</v>
      </c>
      <c r="V367" s="5" t="s">
        <v>45</v>
      </c>
    </row>
    <row r="368" spans="1:22" x14ac:dyDescent="0.3">
      <c r="A368" s="5" t="s">
        <v>847</v>
      </c>
      <c r="B368" s="6">
        <v>46084</v>
      </c>
      <c r="C368" s="5" t="s">
        <v>116</v>
      </c>
      <c r="D368" s="5" t="s">
        <v>110</v>
      </c>
      <c r="E368" s="5" t="s">
        <v>94</v>
      </c>
      <c r="F368" s="5" t="s">
        <v>26</v>
      </c>
      <c r="G368" s="5" t="s">
        <v>27</v>
      </c>
      <c r="H368" s="5" t="s">
        <v>261</v>
      </c>
      <c r="I368" s="5" t="s">
        <v>262</v>
      </c>
      <c r="J368" s="5" t="s">
        <v>102</v>
      </c>
      <c r="K368" s="5" t="s">
        <v>103</v>
      </c>
      <c r="L368" s="5">
        <v>3</v>
      </c>
      <c r="M368" s="5">
        <v>9032</v>
      </c>
      <c r="N368" s="5">
        <v>0</v>
      </c>
      <c r="O368" s="5">
        <v>27096</v>
      </c>
      <c r="P368" s="5">
        <v>17885.39</v>
      </c>
      <c r="Q368" s="5">
        <v>9210.61</v>
      </c>
      <c r="R368" s="5" t="s">
        <v>64</v>
      </c>
      <c r="S368" s="5" t="s">
        <v>82</v>
      </c>
      <c r="T368" s="5" t="s">
        <v>73</v>
      </c>
      <c r="U368" s="5">
        <v>4</v>
      </c>
      <c r="V368" s="5" t="s">
        <v>45</v>
      </c>
    </row>
    <row r="369" spans="1:22" x14ac:dyDescent="0.3">
      <c r="A369" s="5" t="s">
        <v>848</v>
      </c>
      <c r="B369" s="6">
        <v>46157</v>
      </c>
      <c r="C369" s="5" t="s">
        <v>200</v>
      </c>
      <c r="D369" s="5" t="s">
        <v>89</v>
      </c>
      <c r="E369" s="5" t="s">
        <v>25</v>
      </c>
      <c r="F369" s="5" t="s">
        <v>26</v>
      </c>
      <c r="G369" s="5" t="s">
        <v>27</v>
      </c>
      <c r="H369" s="5" t="s">
        <v>281</v>
      </c>
      <c r="I369" s="5" t="s">
        <v>282</v>
      </c>
      <c r="J369" s="5" t="s">
        <v>30</v>
      </c>
      <c r="K369" s="5" t="s">
        <v>31</v>
      </c>
      <c r="L369" s="5">
        <v>3</v>
      </c>
      <c r="M369" s="5">
        <v>3317</v>
      </c>
      <c r="N369" s="5">
        <v>10</v>
      </c>
      <c r="O369" s="5">
        <v>8955.9</v>
      </c>
      <c r="P369" s="5">
        <v>5808.39</v>
      </c>
      <c r="Q369" s="5">
        <v>3147.51</v>
      </c>
      <c r="R369" s="5" t="s">
        <v>64</v>
      </c>
      <c r="S369" s="5" t="s">
        <v>82</v>
      </c>
      <c r="T369" s="5" t="s">
        <v>65</v>
      </c>
      <c r="U369" s="5">
        <v>1</v>
      </c>
      <c r="V369" s="5" t="s">
        <v>45</v>
      </c>
    </row>
    <row r="370" spans="1:22" x14ac:dyDescent="0.3">
      <c r="A370" s="5" t="s">
        <v>849</v>
      </c>
      <c r="B370" s="6">
        <v>46080</v>
      </c>
      <c r="C370" s="5" t="s">
        <v>494</v>
      </c>
      <c r="D370" s="5" t="s">
        <v>48</v>
      </c>
      <c r="E370" s="5" t="s">
        <v>77</v>
      </c>
      <c r="F370" s="5" t="s">
        <v>78</v>
      </c>
      <c r="G370" s="5" t="s">
        <v>41</v>
      </c>
      <c r="H370" s="5" t="s">
        <v>241</v>
      </c>
      <c r="I370" s="5" t="s">
        <v>242</v>
      </c>
      <c r="J370" s="5" t="s">
        <v>54</v>
      </c>
      <c r="K370" s="5" t="s">
        <v>55</v>
      </c>
      <c r="L370" s="5">
        <v>1</v>
      </c>
      <c r="M370" s="5">
        <v>67915</v>
      </c>
      <c r="N370" s="5">
        <v>5</v>
      </c>
      <c r="O370" s="5">
        <v>64519.25</v>
      </c>
      <c r="P370" s="5">
        <v>44174.59</v>
      </c>
      <c r="Q370" s="5">
        <v>20344.66</v>
      </c>
      <c r="R370" s="5" t="s">
        <v>64</v>
      </c>
      <c r="S370" s="5" t="s">
        <v>82</v>
      </c>
      <c r="T370" s="5" t="s">
        <v>65</v>
      </c>
      <c r="U370" s="5">
        <v>2</v>
      </c>
      <c r="V370" s="5" t="s">
        <v>45</v>
      </c>
    </row>
    <row r="371" spans="1:22" x14ac:dyDescent="0.3">
      <c r="A371" s="5" t="s">
        <v>850</v>
      </c>
      <c r="B371" s="6">
        <v>46048</v>
      </c>
      <c r="C371" s="5" t="s">
        <v>347</v>
      </c>
      <c r="D371" s="5" t="s">
        <v>151</v>
      </c>
      <c r="E371" s="5" t="s">
        <v>126</v>
      </c>
      <c r="F371" s="5" t="s">
        <v>126</v>
      </c>
      <c r="G371" s="5" t="s">
        <v>51</v>
      </c>
      <c r="H371" s="5" t="s">
        <v>541</v>
      </c>
      <c r="I371" s="5" t="s">
        <v>542</v>
      </c>
      <c r="J371" s="5" t="s">
        <v>54</v>
      </c>
      <c r="K371" s="5" t="s">
        <v>55</v>
      </c>
      <c r="L371" s="5">
        <v>1</v>
      </c>
      <c r="M371" s="5">
        <v>41479</v>
      </c>
      <c r="N371" s="5">
        <v>0</v>
      </c>
      <c r="O371" s="5">
        <v>41479</v>
      </c>
      <c r="P371" s="5">
        <v>31225.5</v>
      </c>
      <c r="Q371" s="5">
        <v>10253.5</v>
      </c>
      <c r="R371" s="5" t="s">
        <v>32</v>
      </c>
      <c r="S371" s="5" t="s">
        <v>82</v>
      </c>
      <c r="T371" s="5" t="s">
        <v>34</v>
      </c>
      <c r="U371" s="5">
        <v>1</v>
      </c>
      <c r="V371" s="5" t="s">
        <v>35</v>
      </c>
    </row>
    <row r="372" spans="1:22" x14ac:dyDescent="0.3">
      <c r="A372" s="5" t="s">
        <v>851</v>
      </c>
      <c r="B372" s="6">
        <v>46164</v>
      </c>
      <c r="C372" s="5" t="s">
        <v>268</v>
      </c>
      <c r="D372" s="5" t="s">
        <v>48</v>
      </c>
      <c r="E372" s="5" t="s">
        <v>49</v>
      </c>
      <c r="F372" s="5" t="s">
        <v>50</v>
      </c>
      <c r="G372" s="5" t="s">
        <v>51</v>
      </c>
      <c r="H372" s="5" t="s">
        <v>203</v>
      </c>
      <c r="I372" s="5" t="s">
        <v>204</v>
      </c>
      <c r="J372" s="5" t="s">
        <v>71</v>
      </c>
      <c r="K372" s="5" t="s">
        <v>81</v>
      </c>
      <c r="L372" s="5">
        <v>4</v>
      </c>
      <c r="M372" s="5">
        <v>27505</v>
      </c>
      <c r="N372" s="5">
        <v>20</v>
      </c>
      <c r="O372" s="5">
        <v>88016</v>
      </c>
      <c r="P372" s="5">
        <v>62083.93</v>
      </c>
      <c r="Q372" s="5">
        <v>25932.07</v>
      </c>
      <c r="R372" s="5" t="s">
        <v>44</v>
      </c>
      <c r="S372" s="5" t="s">
        <v>82</v>
      </c>
      <c r="T372" s="5" t="s">
        <v>73</v>
      </c>
      <c r="U372" s="5">
        <v>2</v>
      </c>
      <c r="V372" s="5" t="s">
        <v>45</v>
      </c>
    </row>
    <row r="373" spans="1:22" x14ac:dyDescent="0.3">
      <c r="A373" s="5" t="s">
        <v>852</v>
      </c>
      <c r="B373" s="6">
        <v>46057</v>
      </c>
      <c r="C373" s="5" t="s">
        <v>695</v>
      </c>
      <c r="D373" s="5" t="s">
        <v>76</v>
      </c>
      <c r="E373" s="5" t="s">
        <v>25</v>
      </c>
      <c r="F373" s="5" t="s">
        <v>26</v>
      </c>
      <c r="G373" s="5" t="s">
        <v>27</v>
      </c>
      <c r="H373" s="5" t="s">
        <v>762</v>
      </c>
      <c r="I373" s="5" t="s">
        <v>763</v>
      </c>
      <c r="J373" s="5" t="s">
        <v>54</v>
      </c>
      <c r="K373" s="5" t="s">
        <v>55</v>
      </c>
      <c r="L373" s="5">
        <v>3</v>
      </c>
      <c r="M373" s="5">
        <v>10646</v>
      </c>
      <c r="N373" s="5">
        <v>10</v>
      </c>
      <c r="O373" s="5">
        <v>28744.2</v>
      </c>
      <c r="P373" s="5">
        <v>20195.490000000002</v>
      </c>
      <c r="Q373" s="5">
        <v>8548.7099999999991</v>
      </c>
      <c r="R373" s="5" t="s">
        <v>64</v>
      </c>
      <c r="S373" s="5" t="s">
        <v>82</v>
      </c>
      <c r="T373" s="5" t="s">
        <v>73</v>
      </c>
      <c r="U373" s="5">
        <v>3</v>
      </c>
      <c r="V373" s="5" t="s">
        <v>45</v>
      </c>
    </row>
    <row r="374" spans="1:22" x14ac:dyDescent="0.3">
      <c r="A374" s="5" t="s">
        <v>853</v>
      </c>
      <c r="B374" s="6">
        <v>46138</v>
      </c>
      <c r="C374" s="5" t="s">
        <v>381</v>
      </c>
      <c r="D374" s="5" t="s">
        <v>110</v>
      </c>
      <c r="E374" s="5" t="s">
        <v>49</v>
      </c>
      <c r="F374" s="5" t="s">
        <v>50</v>
      </c>
      <c r="G374" s="5" t="s">
        <v>51</v>
      </c>
      <c r="H374" s="5" t="s">
        <v>306</v>
      </c>
      <c r="I374" s="5" t="s">
        <v>307</v>
      </c>
      <c r="J374" s="5" t="s">
        <v>71</v>
      </c>
      <c r="K374" s="5" t="s">
        <v>81</v>
      </c>
      <c r="L374" s="5">
        <v>4</v>
      </c>
      <c r="M374" s="5">
        <v>5984</v>
      </c>
      <c r="N374" s="5">
        <v>10</v>
      </c>
      <c r="O374" s="5">
        <v>21542.400000000001</v>
      </c>
      <c r="P374" s="5">
        <v>17651.04</v>
      </c>
      <c r="Q374" s="5">
        <v>3891.36</v>
      </c>
      <c r="R374" s="5" t="s">
        <v>44</v>
      </c>
      <c r="S374" s="5" t="s">
        <v>82</v>
      </c>
      <c r="T374" s="5" t="s">
        <v>34</v>
      </c>
      <c r="U374" s="5">
        <v>3</v>
      </c>
      <c r="V374" s="5" t="s">
        <v>45</v>
      </c>
    </row>
    <row r="375" spans="1:22" x14ac:dyDescent="0.3">
      <c r="A375" s="5" t="s">
        <v>854</v>
      </c>
      <c r="B375" s="6">
        <v>46081</v>
      </c>
      <c r="C375" s="5" t="s">
        <v>454</v>
      </c>
      <c r="D375" s="5" t="s">
        <v>24</v>
      </c>
      <c r="E375" s="5" t="s">
        <v>49</v>
      </c>
      <c r="F375" s="5" t="s">
        <v>50</v>
      </c>
      <c r="G375" s="5" t="s">
        <v>51</v>
      </c>
      <c r="H375" s="5" t="s">
        <v>90</v>
      </c>
      <c r="I375" s="5" t="s">
        <v>91</v>
      </c>
      <c r="J375" s="5" t="s">
        <v>71</v>
      </c>
      <c r="K375" s="5" t="s">
        <v>81</v>
      </c>
      <c r="L375" s="5">
        <v>2</v>
      </c>
      <c r="M375" s="5">
        <v>61313</v>
      </c>
      <c r="N375" s="5">
        <v>10</v>
      </c>
      <c r="O375" s="5">
        <v>110363.4</v>
      </c>
      <c r="P375" s="5">
        <v>91631.55</v>
      </c>
      <c r="Q375" s="5">
        <v>18731.849999999999</v>
      </c>
      <c r="R375" s="5" t="s">
        <v>44</v>
      </c>
      <c r="S375" s="5" t="s">
        <v>33</v>
      </c>
      <c r="T375" s="5" t="s">
        <v>65</v>
      </c>
      <c r="U375" s="5">
        <v>1</v>
      </c>
      <c r="V375" s="5" t="s">
        <v>35</v>
      </c>
    </row>
    <row r="376" spans="1:22" x14ac:dyDescent="0.3">
      <c r="A376" s="5" t="s">
        <v>855</v>
      </c>
      <c r="B376" s="6">
        <v>46053</v>
      </c>
      <c r="C376" s="5" t="s">
        <v>57</v>
      </c>
      <c r="D376" s="5" t="s">
        <v>24</v>
      </c>
      <c r="E376" s="5" t="s">
        <v>77</v>
      </c>
      <c r="F376" s="5" t="s">
        <v>78</v>
      </c>
      <c r="G376" s="5" t="s">
        <v>41</v>
      </c>
      <c r="H376" s="5" t="s">
        <v>257</v>
      </c>
      <c r="I376" s="5" t="s">
        <v>258</v>
      </c>
      <c r="J376" s="5" t="s">
        <v>71</v>
      </c>
      <c r="K376" s="5" t="s">
        <v>81</v>
      </c>
      <c r="L376" s="5">
        <v>1</v>
      </c>
      <c r="M376" s="5">
        <v>39872</v>
      </c>
      <c r="N376" s="5">
        <v>15</v>
      </c>
      <c r="O376" s="5">
        <v>33891.199999999997</v>
      </c>
      <c r="P376" s="5">
        <v>27906.27</v>
      </c>
      <c r="Q376" s="5">
        <v>5984.93</v>
      </c>
      <c r="R376" s="5" t="s">
        <v>64</v>
      </c>
      <c r="S376" s="5" t="s">
        <v>33</v>
      </c>
      <c r="T376" s="5" t="s">
        <v>34</v>
      </c>
      <c r="U376" s="5">
        <v>3</v>
      </c>
      <c r="V376" s="5" t="s">
        <v>45</v>
      </c>
    </row>
    <row r="377" spans="1:22" x14ac:dyDescent="0.3">
      <c r="A377" s="5" t="s">
        <v>856</v>
      </c>
      <c r="B377" s="6">
        <v>46088</v>
      </c>
      <c r="C377" s="5" t="s">
        <v>857</v>
      </c>
      <c r="D377" s="5" t="s">
        <v>24</v>
      </c>
      <c r="E377" s="5" t="s">
        <v>59</v>
      </c>
      <c r="F377" s="5" t="s">
        <v>60</v>
      </c>
      <c r="G377" s="5" t="s">
        <v>61</v>
      </c>
      <c r="H377" s="5" t="s">
        <v>566</v>
      </c>
      <c r="I377" s="5" t="s">
        <v>567</v>
      </c>
      <c r="J377" s="5" t="s">
        <v>54</v>
      </c>
      <c r="K377" s="5" t="s">
        <v>55</v>
      </c>
      <c r="L377" s="5">
        <v>4</v>
      </c>
      <c r="M377" s="5">
        <v>62775</v>
      </c>
      <c r="N377" s="5">
        <v>10</v>
      </c>
      <c r="O377" s="5">
        <v>225990</v>
      </c>
      <c r="P377" s="5">
        <v>145560.21</v>
      </c>
      <c r="Q377" s="5">
        <v>80429.789999999994</v>
      </c>
      <c r="R377" s="5" t="s">
        <v>64</v>
      </c>
      <c r="S377" s="5" t="s">
        <v>33</v>
      </c>
      <c r="T377" s="5" t="s">
        <v>65</v>
      </c>
      <c r="U377" s="5">
        <v>3</v>
      </c>
      <c r="V377" s="5" t="s">
        <v>35</v>
      </c>
    </row>
    <row r="378" spans="1:22" x14ac:dyDescent="0.3">
      <c r="A378" s="5" t="s">
        <v>858</v>
      </c>
      <c r="B378" s="6">
        <v>46071</v>
      </c>
      <c r="C378" s="5" t="s">
        <v>859</v>
      </c>
      <c r="D378" s="5" t="s">
        <v>151</v>
      </c>
      <c r="E378" s="5" t="s">
        <v>39</v>
      </c>
      <c r="F378" s="5" t="s">
        <v>40</v>
      </c>
      <c r="G378" s="5" t="s">
        <v>41</v>
      </c>
      <c r="H378" s="5" t="s">
        <v>759</v>
      </c>
      <c r="I378" s="5" t="s">
        <v>760</v>
      </c>
      <c r="J378" s="5" t="s">
        <v>71</v>
      </c>
      <c r="K378" s="5" t="s">
        <v>72</v>
      </c>
      <c r="L378" s="5">
        <v>3</v>
      </c>
      <c r="M378" s="5">
        <v>44546</v>
      </c>
      <c r="N378" s="5">
        <v>10</v>
      </c>
      <c r="O378" s="5">
        <v>120274.2</v>
      </c>
      <c r="P378" s="5">
        <v>75809.919999999998</v>
      </c>
      <c r="Q378" s="5">
        <v>44464.28</v>
      </c>
      <c r="R378" s="5" t="s">
        <v>44</v>
      </c>
      <c r="S378" s="5" t="s">
        <v>33</v>
      </c>
      <c r="T378" s="5" t="s">
        <v>34</v>
      </c>
      <c r="U378" s="5">
        <v>2</v>
      </c>
      <c r="V378" s="5" t="s">
        <v>45</v>
      </c>
    </row>
    <row r="379" spans="1:22" x14ac:dyDescent="0.3">
      <c r="A379" s="5" t="s">
        <v>860</v>
      </c>
      <c r="B379" s="6">
        <v>46120</v>
      </c>
      <c r="C379" s="5" t="s">
        <v>861</v>
      </c>
      <c r="D379" s="5" t="s">
        <v>24</v>
      </c>
      <c r="E379" s="5" t="s">
        <v>25</v>
      </c>
      <c r="F379" s="5" t="s">
        <v>26</v>
      </c>
      <c r="G379" s="5" t="s">
        <v>27</v>
      </c>
      <c r="H379" s="5" t="s">
        <v>541</v>
      </c>
      <c r="I379" s="5" t="s">
        <v>542</v>
      </c>
      <c r="J379" s="5" t="s">
        <v>54</v>
      </c>
      <c r="K379" s="5" t="s">
        <v>55</v>
      </c>
      <c r="L379" s="5">
        <v>5</v>
      </c>
      <c r="M379" s="5">
        <v>27491</v>
      </c>
      <c r="N379" s="5">
        <v>20</v>
      </c>
      <c r="O379" s="5">
        <v>109964</v>
      </c>
      <c r="P379" s="5">
        <v>90965.6</v>
      </c>
      <c r="Q379" s="5">
        <v>18998.400000000001</v>
      </c>
      <c r="R379" s="5" t="s">
        <v>32</v>
      </c>
      <c r="S379" s="5" t="s">
        <v>33</v>
      </c>
      <c r="T379" s="5" t="s">
        <v>73</v>
      </c>
      <c r="U379" s="5">
        <v>4</v>
      </c>
      <c r="V379" s="5" t="s">
        <v>35</v>
      </c>
    </row>
    <row r="380" spans="1:22" x14ac:dyDescent="0.3">
      <c r="A380" s="5" t="s">
        <v>862</v>
      </c>
      <c r="B380" s="6">
        <v>46050</v>
      </c>
      <c r="C380" s="5" t="s">
        <v>464</v>
      </c>
      <c r="D380" s="5" t="s">
        <v>117</v>
      </c>
      <c r="E380" s="5" t="s">
        <v>49</v>
      </c>
      <c r="F380" s="5" t="s">
        <v>50</v>
      </c>
      <c r="G380" s="5" t="s">
        <v>51</v>
      </c>
      <c r="H380" s="5" t="s">
        <v>334</v>
      </c>
      <c r="I380" s="5" t="s">
        <v>335</v>
      </c>
      <c r="J380" s="5" t="s">
        <v>71</v>
      </c>
      <c r="K380" s="5" t="s">
        <v>72</v>
      </c>
      <c r="L380" s="5">
        <v>5</v>
      </c>
      <c r="M380" s="5">
        <v>45437</v>
      </c>
      <c r="N380" s="5">
        <v>15</v>
      </c>
      <c r="O380" s="5">
        <v>193107.25</v>
      </c>
      <c r="P380" s="5">
        <v>164438.07</v>
      </c>
      <c r="Q380" s="5">
        <v>28669.18</v>
      </c>
      <c r="R380" s="5" t="s">
        <v>32</v>
      </c>
      <c r="S380" s="5" t="s">
        <v>82</v>
      </c>
      <c r="T380" s="5" t="s">
        <v>34</v>
      </c>
      <c r="U380" s="5">
        <v>4</v>
      </c>
      <c r="V380" s="5" t="s">
        <v>45</v>
      </c>
    </row>
    <row r="381" spans="1:22" x14ac:dyDescent="0.3">
      <c r="A381" s="5" t="s">
        <v>863</v>
      </c>
      <c r="B381" s="6">
        <v>46196</v>
      </c>
      <c r="C381" s="5" t="s">
        <v>507</v>
      </c>
      <c r="D381" s="5" t="s">
        <v>24</v>
      </c>
      <c r="E381" s="5" t="s">
        <v>126</v>
      </c>
      <c r="F381" s="5" t="s">
        <v>126</v>
      </c>
      <c r="G381" s="5" t="s">
        <v>51</v>
      </c>
      <c r="H381" s="5" t="s">
        <v>334</v>
      </c>
      <c r="I381" s="5" t="s">
        <v>335</v>
      </c>
      <c r="J381" s="5" t="s">
        <v>71</v>
      </c>
      <c r="K381" s="5" t="s">
        <v>72</v>
      </c>
      <c r="L381" s="5">
        <v>5</v>
      </c>
      <c r="M381" s="5">
        <v>27883</v>
      </c>
      <c r="N381" s="5">
        <v>10</v>
      </c>
      <c r="O381" s="5">
        <v>125473.5</v>
      </c>
      <c r="P381" s="5">
        <v>79153.009999999995</v>
      </c>
      <c r="Q381" s="5">
        <v>46320.49</v>
      </c>
      <c r="R381" s="5" t="s">
        <v>32</v>
      </c>
      <c r="S381" s="5" t="s">
        <v>82</v>
      </c>
      <c r="T381" s="5" t="s">
        <v>34</v>
      </c>
      <c r="U381" s="5">
        <v>1</v>
      </c>
      <c r="V381" s="5" t="s">
        <v>45</v>
      </c>
    </row>
    <row r="382" spans="1:22" x14ac:dyDescent="0.3">
      <c r="A382" s="5" t="s">
        <v>864</v>
      </c>
      <c r="B382" s="6">
        <v>46167</v>
      </c>
      <c r="C382" s="5" t="s">
        <v>846</v>
      </c>
      <c r="D382" s="5" t="s">
        <v>58</v>
      </c>
      <c r="E382" s="5" t="s">
        <v>25</v>
      </c>
      <c r="F382" s="5" t="s">
        <v>26</v>
      </c>
      <c r="G382" s="5" t="s">
        <v>27</v>
      </c>
      <c r="H382" s="5" t="s">
        <v>172</v>
      </c>
      <c r="I382" s="5" t="s">
        <v>173</v>
      </c>
      <c r="J382" s="5" t="s">
        <v>54</v>
      </c>
      <c r="K382" s="5" t="s">
        <v>97</v>
      </c>
      <c r="L382" s="5">
        <v>2</v>
      </c>
      <c r="M382" s="5">
        <v>25639</v>
      </c>
      <c r="N382" s="5">
        <v>15</v>
      </c>
      <c r="O382" s="5">
        <v>43586.3</v>
      </c>
      <c r="P382" s="5">
        <v>42534.63</v>
      </c>
      <c r="Q382" s="5">
        <v>1051.67</v>
      </c>
      <c r="R382" s="5" t="s">
        <v>64</v>
      </c>
      <c r="S382" s="5" t="s">
        <v>82</v>
      </c>
      <c r="T382" s="5" t="s">
        <v>73</v>
      </c>
      <c r="U382" s="5">
        <v>5</v>
      </c>
      <c r="V382" s="5" t="s">
        <v>35</v>
      </c>
    </row>
    <row r="383" spans="1:22" x14ac:dyDescent="0.3">
      <c r="A383" s="5" t="s">
        <v>865</v>
      </c>
      <c r="B383" s="6">
        <v>46039</v>
      </c>
      <c r="C383" s="5" t="s">
        <v>866</v>
      </c>
      <c r="D383" s="5" t="s">
        <v>110</v>
      </c>
      <c r="E383" s="5" t="s">
        <v>94</v>
      </c>
      <c r="F383" s="5" t="s">
        <v>26</v>
      </c>
      <c r="G383" s="5" t="s">
        <v>27</v>
      </c>
      <c r="H383" s="5" t="s">
        <v>253</v>
      </c>
      <c r="I383" s="5" t="s">
        <v>254</v>
      </c>
      <c r="J383" s="5" t="s">
        <v>54</v>
      </c>
      <c r="K383" s="5" t="s">
        <v>55</v>
      </c>
      <c r="L383" s="5">
        <v>3</v>
      </c>
      <c r="M383" s="5">
        <v>2059</v>
      </c>
      <c r="N383" s="5">
        <v>5</v>
      </c>
      <c r="O383" s="5">
        <v>5868.15</v>
      </c>
      <c r="P383" s="5">
        <v>4475.82</v>
      </c>
      <c r="Q383" s="5">
        <v>1392.33</v>
      </c>
      <c r="R383" s="5" t="s">
        <v>64</v>
      </c>
      <c r="S383" s="5" t="s">
        <v>82</v>
      </c>
      <c r="T383" s="5" t="s">
        <v>34</v>
      </c>
      <c r="U383" s="5">
        <v>1</v>
      </c>
      <c r="V383" s="5" t="s">
        <v>45</v>
      </c>
    </row>
    <row r="384" spans="1:22" x14ac:dyDescent="0.3">
      <c r="A384" s="5" t="s">
        <v>867</v>
      </c>
      <c r="B384" s="6">
        <v>46192</v>
      </c>
      <c r="C384" s="5" t="s">
        <v>332</v>
      </c>
      <c r="D384" s="5" t="s">
        <v>48</v>
      </c>
      <c r="E384" s="5" t="s">
        <v>77</v>
      </c>
      <c r="F384" s="5" t="s">
        <v>78</v>
      </c>
      <c r="G384" s="5" t="s">
        <v>41</v>
      </c>
      <c r="H384" s="5" t="s">
        <v>306</v>
      </c>
      <c r="I384" s="5" t="s">
        <v>307</v>
      </c>
      <c r="J384" s="5" t="s">
        <v>71</v>
      </c>
      <c r="K384" s="5" t="s">
        <v>81</v>
      </c>
      <c r="L384" s="5">
        <v>2</v>
      </c>
      <c r="M384" s="5">
        <v>72610</v>
      </c>
      <c r="N384" s="5">
        <v>10</v>
      </c>
      <c r="O384" s="5">
        <v>130698</v>
      </c>
      <c r="P384" s="5">
        <v>112784.09</v>
      </c>
      <c r="Q384" s="5">
        <v>17913.91</v>
      </c>
      <c r="R384" s="5" t="s">
        <v>64</v>
      </c>
      <c r="S384" s="5" t="s">
        <v>33</v>
      </c>
      <c r="T384" s="5" t="s">
        <v>34</v>
      </c>
      <c r="U384" s="5">
        <v>3</v>
      </c>
      <c r="V384" s="5" t="s">
        <v>35</v>
      </c>
    </row>
    <row r="385" spans="1:22" x14ac:dyDescent="0.3">
      <c r="A385" s="5" t="s">
        <v>868</v>
      </c>
      <c r="B385" s="6">
        <v>46092</v>
      </c>
      <c r="C385" s="5" t="s">
        <v>471</v>
      </c>
      <c r="D385" s="5" t="s">
        <v>58</v>
      </c>
      <c r="E385" s="5" t="s">
        <v>94</v>
      </c>
      <c r="F385" s="5" t="s">
        <v>26</v>
      </c>
      <c r="G385" s="5" t="s">
        <v>27</v>
      </c>
      <c r="H385" s="5" t="s">
        <v>759</v>
      </c>
      <c r="I385" s="5" t="s">
        <v>760</v>
      </c>
      <c r="J385" s="5" t="s">
        <v>71</v>
      </c>
      <c r="K385" s="5" t="s">
        <v>72</v>
      </c>
      <c r="L385" s="5">
        <v>3</v>
      </c>
      <c r="M385" s="5">
        <v>12677</v>
      </c>
      <c r="N385" s="5">
        <v>15</v>
      </c>
      <c r="O385" s="5">
        <v>32326.35</v>
      </c>
      <c r="P385" s="5">
        <v>24464.959999999999</v>
      </c>
      <c r="Q385" s="5">
        <v>7861.39</v>
      </c>
      <c r="R385" s="5" t="s">
        <v>32</v>
      </c>
      <c r="S385" s="5" t="s">
        <v>82</v>
      </c>
      <c r="T385" s="5" t="s">
        <v>73</v>
      </c>
      <c r="U385" s="5">
        <v>4</v>
      </c>
      <c r="V385" s="5" t="s">
        <v>35</v>
      </c>
    </row>
    <row r="386" spans="1:22" x14ac:dyDescent="0.3">
      <c r="A386" s="5" t="s">
        <v>869</v>
      </c>
      <c r="B386" s="6">
        <v>46136</v>
      </c>
      <c r="C386" s="5" t="s">
        <v>652</v>
      </c>
      <c r="D386" s="5" t="s">
        <v>89</v>
      </c>
      <c r="E386" s="5" t="s">
        <v>94</v>
      </c>
      <c r="F386" s="5" t="s">
        <v>26</v>
      </c>
      <c r="G386" s="5" t="s">
        <v>27</v>
      </c>
      <c r="H386" s="5" t="s">
        <v>180</v>
      </c>
      <c r="I386" s="5" t="s">
        <v>181</v>
      </c>
      <c r="J386" s="5" t="s">
        <v>54</v>
      </c>
      <c r="K386" s="5" t="s">
        <v>55</v>
      </c>
      <c r="L386" s="5">
        <v>1</v>
      </c>
      <c r="M386" s="5">
        <v>64918</v>
      </c>
      <c r="N386" s="5">
        <v>20</v>
      </c>
      <c r="O386" s="5">
        <v>51934.400000000001</v>
      </c>
      <c r="P386" s="5">
        <v>40309.370000000003</v>
      </c>
      <c r="Q386" s="5">
        <v>11625.03</v>
      </c>
      <c r="R386" s="5" t="s">
        <v>44</v>
      </c>
      <c r="S386" s="5" t="s">
        <v>82</v>
      </c>
      <c r="T386" s="5" t="s">
        <v>73</v>
      </c>
      <c r="U386" s="5">
        <v>5</v>
      </c>
      <c r="V386" s="5" t="s">
        <v>45</v>
      </c>
    </row>
    <row r="387" spans="1:22" x14ac:dyDescent="0.3">
      <c r="A387" s="5" t="s">
        <v>870</v>
      </c>
      <c r="B387" s="6">
        <v>46110</v>
      </c>
      <c r="C387" s="5" t="s">
        <v>383</v>
      </c>
      <c r="D387" s="5" t="s">
        <v>24</v>
      </c>
      <c r="E387" s="5" t="s">
        <v>59</v>
      </c>
      <c r="F387" s="5" t="s">
        <v>60</v>
      </c>
      <c r="G387" s="5" t="s">
        <v>61</v>
      </c>
      <c r="H387" s="5" t="s">
        <v>678</v>
      </c>
      <c r="I387" s="5" t="s">
        <v>679</v>
      </c>
      <c r="J387" s="5" t="s">
        <v>54</v>
      </c>
      <c r="K387" s="5" t="s">
        <v>55</v>
      </c>
      <c r="L387" s="5">
        <v>3</v>
      </c>
      <c r="M387" s="5">
        <v>57842</v>
      </c>
      <c r="N387" s="5">
        <v>5</v>
      </c>
      <c r="O387" s="5">
        <v>164849.70000000001</v>
      </c>
      <c r="P387" s="5">
        <v>105375.18</v>
      </c>
      <c r="Q387" s="5">
        <v>59474.52</v>
      </c>
      <c r="R387" s="5" t="s">
        <v>44</v>
      </c>
      <c r="S387" s="5" t="s">
        <v>82</v>
      </c>
      <c r="T387" s="5" t="s">
        <v>34</v>
      </c>
      <c r="U387" s="5">
        <v>3</v>
      </c>
      <c r="V387" s="5" t="s">
        <v>45</v>
      </c>
    </row>
    <row r="388" spans="1:22" x14ac:dyDescent="0.3">
      <c r="A388" s="5" t="s">
        <v>871</v>
      </c>
      <c r="B388" s="6">
        <v>46137</v>
      </c>
      <c r="C388" s="5" t="s">
        <v>768</v>
      </c>
      <c r="D388" s="5" t="s">
        <v>151</v>
      </c>
      <c r="E388" s="5" t="s">
        <v>59</v>
      </c>
      <c r="F388" s="5" t="s">
        <v>60</v>
      </c>
      <c r="G388" s="5" t="s">
        <v>61</v>
      </c>
      <c r="H388" s="5" t="s">
        <v>371</v>
      </c>
      <c r="I388" s="5" t="s">
        <v>372</v>
      </c>
      <c r="J388" s="5" t="s">
        <v>71</v>
      </c>
      <c r="K388" s="5" t="s">
        <v>72</v>
      </c>
      <c r="L388" s="5">
        <v>5</v>
      </c>
      <c r="M388" s="5">
        <v>78695</v>
      </c>
      <c r="N388" s="5">
        <v>15</v>
      </c>
      <c r="O388" s="5">
        <v>334453.75</v>
      </c>
      <c r="P388" s="5">
        <v>247330.75</v>
      </c>
      <c r="Q388" s="5">
        <v>87123</v>
      </c>
      <c r="R388" s="5" t="s">
        <v>44</v>
      </c>
      <c r="S388" s="5" t="s">
        <v>82</v>
      </c>
      <c r="T388" s="5" t="s">
        <v>73</v>
      </c>
      <c r="U388" s="5">
        <v>5</v>
      </c>
      <c r="V388" s="5" t="s">
        <v>45</v>
      </c>
    </row>
    <row r="389" spans="1:22" x14ac:dyDescent="0.3">
      <c r="A389" s="5" t="s">
        <v>872</v>
      </c>
      <c r="B389" s="6">
        <v>46055</v>
      </c>
      <c r="C389" s="5" t="s">
        <v>351</v>
      </c>
      <c r="D389" s="5" t="s">
        <v>48</v>
      </c>
      <c r="E389" s="5" t="s">
        <v>94</v>
      </c>
      <c r="F389" s="5" t="s">
        <v>26</v>
      </c>
      <c r="G389" s="5" t="s">
        <v>27</v>
      </c>
      <c r="H389" s="5" t="s">
        <v>541</v>
      </c>
      <c r="I389" s="5" t="s">
        <v>542</v>
      </c>
      <c r="J389" s="5" t="s">
        <v>54</v>
      </c>
      <c r="K389" s="5" t="s">
        <v>55</v>
      </c>
      <c r="L389" s="5">
        <v>3</v>
      </c>
      <c r="M389" s="5">
        <v>47168</v>
      </c>
      <c r="N389" s="5">
        <v>0</v>
      </c>
      <c r="O389" s="5">
        <v>141504</v>
      </c>
      <c r="P389" s="5">
        <v>98793.279999999999</v>
      </c>
      <c r="Q389" s="5">
        <v>42710.720000000001</v>
      </c>
      <c r="R389" s="5" t="s">
        <v>64</v>
      </c>
      <c r="S389" s="5" t="s">
        <v>33</v>
      </c>
      <c r="T389" s="5" t="s">
        <v>65</v>
      </c>
      <c r="U389" s="5">
        <v>3</v>
      </c>
      <c r="V389" s="5" t="s">
        <v>35</v>
      </c>
    </row>
    <row r="390" spans="1:22" x14ac:dyDescent="0.3">
      <c r="A390" s="5" t="s">
        <v>873</v>
      </c>
      <c r="B390" s="6">
        <v>46194</v>
      </c>
      <c r="C390" s="5" t="s">
        <v>654</v>
      </c>
      <c r="D390" s="5" t="s">
        <v>117</v>
      </c>
      <c r="E390" s="5" t="s">
        <v>77</v>
      </c>
      <c r="F390" s="5" t="s">
        <v>78</v>
      </c>
      <c r="G390" s="5" t="s">
        <v>41</v>
      </c>
      <c r="H390" s="5" t="s">
        <v>213</v>
      </c>
      <c r="I390" s="5" t="s">
        <v>214</v>
      </c>
      <c r="J390" s="5" t="s">
        <v>54</v>
      </c>
      <c r="K390" s="5" t="s">
        <v>97</v>
      </c>
      <c r="L390" s="5">
        <v>5</v>
      </c>
      <c r="M390" s="5">
        <v>54062</v>
      </c>
      <c r="N390" s="5">
        <v>20</v>
      </c>
      <c r="O390" s="5">
        <v>216248</v>
      </c>
      <c r="P390" s="5">
        <v>228710.35</v>
      </c>
      <c r="Q390" s="5">
        <v>-12462.35</v>
      </c>
      <c r="R390" s="5" t="s">
        <v>32</v>
      </c>
      <c r="S390" s="5" t="s">
        <v>33</v>
      </c>
      <c r="T390" s="5" t="s">
        <v>65</v>
      </c>
      <c r="U390" s="5">
        <v>5</v>
      </c>
      <c r="V390" s="5" t="s">
        <v>45</v>
      </c>
    </row>
    <row r="391" spans="1:22" x14ac:dyDescent="0.3">
      <c r="A391" s="5" t="s">
        <v>874</v>
      </c>
      <c r="B391" s="6">
        <v>46135</v>
      </c>
      <c r="C391" s="5" t="s">
        <v>429</v>
      </c>
      <c r="D391" s="5" t="s">
        <v>24</v>
      </c>
      <c r="E391" s="5" t="s">
        <v>126</v>
      </c>
      <c r="F391" s="5" t="s">
        <v>126</v>
      </c>
      <c r="G391" s="5" t="s">
        <v>51</v>
      </c>
      <c r="H391" s="5" t="s">
        <v>735</v>
      </c>
      <c r="I391" s="5" t="s">
        <v>736</v>
      </c>
      <c r="J391" s="5" t="s">
        <v>54</v>
      </c>
      <c r="K391" s="5" t="s">
        <v>97</v>
      </c>
      <c r="L391" s="5">
        <v>4</v>
      </c>
      <c r="M391" s="5">
        <v>5963</v>
      </c>
      <c r="N391" s="5">
        <v>15</v>
      </c>
      <c r="O391" s="5">
        <v>20274.2</v>
      </c>
      <c r="P391" s="5">
        <v>17536.349999999999</v>
      </c>
      <c r="Q391" s="5">
        <v>2737.85</v>
      </c>
      <c r="R391" s="5" t="s">
        <v>64</v>
      </c>
      <c r="S391" s="5" t="s">
        <v>33</v>
      </c>
      <c r="T391" s="5" t="s">
        <v>73</v>
      </c>
      <c r="U391" s="5">
        <v>5</v>
      </c>
      <c r="V391" s="5" t="s">
        <v>45</v>
      </c>
    </row>
    <row r="392" spans="1:22" x14ac:dyDescent="0.3">
      <c r="A392" s="5" t="s">
        <v>875</v>
      </c>
      <c r="B392" s="6">
        <v>46158</v>
      </c>
      <c r="C392" s="5" t="s">
        <v>337</v>
      </c>
      <c r="D392" s="5" t="s">
        <v>48</v>
      </c>
      <c r="E392" s="5" t="s">
        <v>49</v>
      </c>
      <c r="F392" s="5" t="s">
        <v>50</v>
      </c>
      <c r="G392" s="5" t="s">
        <v>51</v>
      </c>
      <c r="H392" s="5" t="s">
        <v>213</v>
      </c>
      <c r="I392" s="5" t="s">
        <v>214</v>
      </c>
      <c r="J392" s="5" t="s">
        <v>54</v>
      </c>
      <c r="K392" s="5" t="s">
        <v>97</v>
      </c>
      <c r="L392" s="5">
        <v>3</v>
      </c>
      <c r="M392" s="5">
        <v>30096</v>
      </c>
      <c r="N392" s="5">
        <v>5</v>
      </c>
      <c r="O392" s="5">
        <v>85773.6</v>
      </c>
      <c r="P392" s="5">
        <v>53431.26</v>
      </c>
      <c r="Q392" s="5">
        <v>32342.34</v>
      </c>
      <c r="R392" s="5" t="s">
        <v>44</v>
      </c>
      <c r="S392" s="5" t="s">
        <v>33</v>
      </c>
      <c r="T392" s="5" t="s">
        <v>65</v>
      </c>
      <c r="U392" s="5">
        <v>4</v>
      </c>
      <c r="V392" s="5" t="s">
        <v>45</v>
      </c>
    </row>
    <row r="393" spans="1:22" x14ac:dyDescent="0.3">
      <c r="A393" s="5" t="s">
        <v>876</v>
      </c>
      <c r="B393" s="6">
        <v>46133</v>
      </c>
      <c r="C393" s="5" t="s">
        <v>877</v>
      </c>
      <c r="D393" s="5" t="s">
        <v>48</v>
      </c>
      <c r="E393" s="5" t="s">
        <v>59</v>
      </c>
      <c r="F393" s="5" t="s">
        <v>60</v>
      </c>
      <c r="G393" s="5" t="s">
        <v>61</v>
      </c>
      <c r="H393" s="5" t="s">
        <v>127</v>
      </c>
      <c r="I393" s="5" t="s">
        <v>128</v>
      </c>
      <c r="J393" s="5" t="s">
        <v>102</v>
      </c>
      <c r="K393" s="5" t="s">
        <v>103</v>
      </c>
      <c r="L393" s="5">
        <v>2</v>
      </c>
      <c r="M393" s="5">
        <v>35824</v>
      </c>
      <c r="N393" s="5">
        <v>0</v>
      </c>
      <c r="O393" s="5">
        <v>71648</v>
      </c>
      <c r="P393" s="5">
        <v>46582.13</v>
      </c>
      <c r="Q393" s="5">
        <v>25065.87</v>
      </c>
      <c r="R393" s="5" t="s">
        <v>64</v>
      </c>
      <c r="S393" s="5" t="s">
        <v>82</v>
      </c>
      <c r="T393" s="5" t="s">
        <v>65</v>
      </c>
      <c r="U393" s="5">
        <v>3</v>
      </c>
      <c r="V393" s="5" t="s">
        <v>45</v>
      </c>
    </row>
    <row r="394" spans="1:22" x14ac:dyDescent="0.3">
      <c r="A394" s="5" t="s">
        <v>878</v>
      </c>
      <c r="B394" s="6">
        <v>46062</v>
      </c>
      <c r="C394" s="5" t="s">
        <v>643</v>
      </c>
      <c r="D394" s="5" t="s">
        <v>48</v>
      </c>
      <c r="E394" s="5" t="s">
        <v>49</v>
      </c>
      <c r="F394" s="5" t="s">
        <v>50</v>
      </c>
      <c r="G394" s="5" t="s">
        <v>51</v>
      </c>
      <c r="H394" s="5" t="s">
        <v>168</v>
      </c>
      <c r="I394" s="5" t="s">
        <v>169</v>
      </c>
      <c r="J394" s="5" t="s">
        <v>102</v>
      </c>
      <c r="K394" s="5" t="s">
        <v>103</v>
      </c>
      <c r="L394" s="5">
        <v>3</v>
      </c>
      <c r="M394" s="5">
        <v>63683</v>
      </c>
      <c r="N394" s="5">
        <v>0</v>
      </c>
      <c r="O394" s="5">
        <v>191049</v>
      </c>
      <c r="P394" s="5">
        <v>113720.91</v>
      </c>
      <c r="Q394" s="5">
        <v>77328.09</v>
      </c>
      <c r="R394" s="5" t="s">
        <v>64</v>
      </c>
      <c r="S394" s="5" t="s">
        <v>33</v>
      </c>
      <c r="T394" s="5" t="s">
        <v>73</v>
      </c>
      <c r="U394" s="5">
        <v>5</v>
      </c>
      <c r="V394" s="5" t="s">
        <v>45</v>
      </c>
    </row>
    <row r="395" spans="1:22" x14ac:dyDescent="0.3">
      <c r="A395" s="5" t="s">
        <v>879</v>
      </c>
      <c r="B395" s="6">
        <v>46097</v>
      </c>
      <c r="C395" s="5" t="s">
        <v>880</v>
      </c>
      <c r="D395" s="5" t="s">
        <v>76</v>
      </c>
      <c r="E395" s="5" t="s">
        <v>49</v>
      </c>
      <c r="F395" s="5" t="s">
        <v>50</v>
      </c>
      <c r="G395" s="5" t="s">
        <v>51</v>
      </c>
      <c r="H395" s="5" t="s">
        <v>358</v>
      </c>
      <c r="I395" s="5" t="s">
        <v>359</v>
      </c>
      <c r="J395" s="5" t="s">
        <v>102</v>
      </c>
      <c r="K395" s="5" t="s">
        <v>103</v>
      </c>
      <c r="L395" s="5">
        <v>5</v>
      </c>
      <c r="M395" s="5">
        <v>76342</v>
      </c>
      <c r="N395" s="5">
        <v>20</v>
      </c>
      <c r="O395" s="5">
        <v>305368</v>
      </c>
      <c r="P395" s="5">
        <v>246751.15</v>
      </c>
      <c r="Q395" s="5">
        <v>58616.85</v>
      </c>
      <c r="R395" s="5" t="s">
        <v>32</v>
      </c>
      <c r="S395" s="5" t="s">
        <v>33</v>
      </c>
      <c r="T395" s="5" t="s">
        <v>73</v>
      </c>
      <c r="U395" s="5">
        <v>5</v>
      </c>
      <c r="V395" s="5" t="s">
        <v>45</v>
      </c>
    </row>
    <row r="396" spans="1:22" x14ac:dyDescent="0.3">
      <c r="A396" s="5" t="s">
        <v>881</v>
      </c>
      <c r="B396" s="6">
        <v>46087</v>
      </c>
      <c r="C396" s="5" t="s">
        <v>699</v>
      </c>
      <c r="D396" s="5" t="s">
        <v>151</v>
      </c>
      <c r="E396" s="5" t="s">
        <v>77</v>
      </c>
      <c r="F396" s="5" t="s">
        <v>78</v>
      </c>
      <c r="G396" s="5" t="s">
        <v>41</v>
      </c>
      <c r="H396" s="5" t="s">
        <v>324</v>
      </c>
      <c r="I396" s="5" t="s">
        <v>325</v>
      </c>
      <c r="J396" s="5" t="s">
        <v>54</v>
      </c>
      <c r="K396" s="5" t="s">
        <v>55</v>
      </c>
      <c r="L396" s="5">
        <v>5</v>
      </c>
      <c r="M396" s="5">
        <v>13670</v>
      </c>
      <c r="N396" s="5">
        <v>0</v>
      </c>
      <c r="O396" s="5">
        <v>68350</v>
      </c>
      <c r="P396" s="5">
        <v>55572.84</v>
      </c>
      <c r="Q396" s="5">
        <v>12777.16</v>
      </c>
      <c r="R396" s="5" t="s">
        <v>64</v>
      </c>
      <c r="S396" s="5" t="s">
        <v>33</v>
      </c>
      <c r="T396" s="5" t="s">
        <v>65</v>
      </c>
      <c r="U396" s="5">
        <v>4</v>
      </c>
      <c r="V396" s="5" t="s">
        <v>35</v>
      </c>
    </row>
    <row r="397" spans="1:22" x14ac:dyDescent="0.3">
      <c r="A397" s="5" t="s">
        <v>882</v>
      </c>
      <c r="B397" s="6">
        <v>46158</v>
      </c>
      <c r="C397" s="5" t="s">
        <v>883</v>
      </c>
      <c r="D397" s="5" t="s">
        <v>68</v>
      </c>
      <c r="E397" s="5" t="s">
        <v>59</v>
      </c>
      <c r="F397" s="5" t="s">
        <v>60</v>
      </c>
      <c r="G397" s="5" t="s">
        <v>61</v>
      </c>
      <c r="H397" s="5" t="s">
        <v>203</v>
      </c>
      <c r="I397" s="5" t="s">
        <v>204</v>
      </c>
      <c r="J397" s="5" t="s">
        <v>71</v>
      </c>
      <c r="K397" s="5" t="s">
        <v>81</v>
      </c>
      <c r="L397" s="5">
        <v>1</v>
      </c>
      <c r="M397" s="5">
        <v>5509</v>
      </c>
      <c r="N397" s="5">
        <v>15</v>
      </c>
      <c r="O397" s="5">
        <v>4682.6499999999996</v>
      </c>
      <c r="P397" s="5">
        <v>3698.35</v>
      </c>
      <c r="Q397" s="5">
        <v>984.3</v>
      </c>
      <c r="R397" s="5" t="s">
        <v>32</v>
      </c>
      <c r="S397" s="5" t="s">
        <v>33</v>
      </c>
      <c r="T397" s="5" t="s">
        <v>34</v>
      </c>
      <c r="U397" s="5">
        <v>4</v>
      </c>
      <c r="V397" s="5" t="s">
        <v>35</v>
      </c>
    </row>
    <row r="398" spans="1:22" x14ac:dyDescent="0.3">
      <c r="A398" s="5" t="s">
        <v>884</v>
      </c>
      <c r="B398" s="6">
        <v>46115</v>
      </c>
      <c r="C398" s="5" t="s">
        <v>837</v>
      </c>
      <c r="D398" s="5" t="s">
        <v>110</v>
      </c>
      <c r="E398" s="5" t="s">
        <v>49</v>
      </c>
      <c r="F398" s="5" t="s">
        <v>50</v>
      </c>
      <c r="G398" s="5" t="s">
        <v>51</v>
      </c>
      <c r="H398" s="5" t="s">
        <v>324</v>
      </c>
      <c r="I398" s="5" t="s">
        <v>325</v>
      </c>
      <c r="J398" s="5" t="s">
        <v>54</v>
      </c>
      <c r="K398" s="5" t="s">
        <v>55</v>
      </c>
      <c r="L398" s="5">
        <v>4</v>
      </c>
      <c r="M398" s="5">
        <v>64834</v>
      </c>
      <c r="N398" s="5">
        <v>5</v>
      </c>
      <c r="O398" s="5">
        <v>246369.2</v>
      </c>
      <c r="P398" s="5">
        <v>209485.91</v>
      </c>
      <c r="Q398" s="5">
        <v>36883.29</v>
      </c>
      <c r="R398" s="5" t="s">
        <v>32</v>
      </c>
      <c r="S398" s="5" t="s">
        <v>33</v>
      </c>
      <c r="T398" s="5" t="s">
        <v>73</v>
      </c>
      <c r="U398" s="5">
        <v>5</v>
      </c>
      <c r="V398" s="5" t="s">
        <v>35</v>
      </c>
    </row>
    <row r="399" spans="1:22" x14ac:dyDescent="0.3">
      <c r="A399" s="5" t="s">
        <v>885</v>
      </c>
      <c r="B399" s="6">
        <v>46166</v>
      </c>
      <c r="C399" s="5" t="s">
        <v>573</v>
      </c>
      <c r="D399" s="5" t="s">
        <v>38</v>
      </c>
      <c r="E399" s="5" t="s">
        <v>94</v>
      </c>
      <c r="F399" s="5" t="s">
        <v>26</v>
      </c>
      <c r="G399" s="5" t="s">
        <v>27</v>
      </c>
      <c r="H399" s="5" t="s">
        <v>131</v>
      </c>
      <c r="I399" s="5" t="s">
        <v>132</v>
      </c>
      <c r="J399" s="5" t="s">
        <v>71</v>
      </c>
      <c r="K399" s="5" t="s">
        <v>81</v>
      </c>
      <c r="L399" s="5">
        <v>2</v>
      </c>
      <c r="M399" s="5">
        <v>3270</v>
      </c>
      <c r="N399" s="5">
        <v>5</v>
      </c>
      <c r="O399" s="5">
        <v>6213</v>
      </c>
      <c r="P399" s="5">
        <v>5042.0600000000004</v>
      </c>
      <c r="Q399" s="5">
        <v>1170.94</v>
      </c>
      <c r="R399" s="5" t="s">
        <v>32</v>
      </c>
      <c r="S399" s="5" t="s">
        <v>82</v>
      </c>
      <c r="T399" s="5" t="s">
        <v>65</v>
      </c>
      <c r="U399" s="5">
        <v>5</v>
      </c>
      <c r="V399" s="5" t="s">
        <v>35</v>
      </c>
    </row>
    <row r="400" spans="1:22" x14ac:dyDescent="0.3">
      <c r="A400" s="5" t="s">
        <v>886</v>
      </c>
      <c r="B400" s="6">
        <v>46061</v>
      </c>
      <c r="C400" s="5" t="s">
        <v>837</v>
      </c>
      <c r="D400" s="5" t="s">
        <v>38</v>
      </c>
      <c r="E400" s="5" t="s">
        <v>59</v>
      </c>
      <c r="F400" s="5" t="s">
        <v>60</v>
      </c>
      <c r="G400" s="5" t="s">
        <v>61</v>
      </c>
      <c r="H400" s="5" t="s">
        <v>85</v>
      </c>
      <c r="I400" s="5" t="s">
        <v>86</v>
      </c>
      <c r="J400" s="5" t="s">
        <v>71</v>
      </c>
      <c r="K400" s="5" t="s">
        <v>72</v>
      </c>
      <c r="L400" s="5">
        <v>1</v>
      </c>
      <c r="M400" s="5">
        <v>40420</v>
      </c>
      <c r="N400" s="5">
        <v>10</v>
      </c>
      <c r="O400" s="5">
        <v>36378</v>
      </c>
      <c r="P400" s="5">
        <v>25091.7</v>
      </c>
      <c r="Q400" s="5">
        <v>11286.3</v>
      </c>
      <c r="R400" s="5" t="s">
        <v>44</v>
      </c>
      <c r="S400" s="5" t="s">
        <v>82</v>
      </c>
      <c r="T400" s="5" t="s">
        <v>73</v>
      </c>
      <c r="U400" s="5">
        <v>2</v>
      </c>
      <c r="V400" s="5" t="s">
        <v>35</v>
      </c>
    </row>
    <row r="401" spans="1:22" x14ac:dyDescent="0.3">
      <c r="A401" s="5" t="s">
        <v>887</v>
      </c>
      <c r="B401" s="6">
        <v>46081</v>
      </c>
      <c r="C401" s="5" t="s">
        <v>209</v>
      </c>
      <c r="D401" s="5" t="s">
        <v>58</v>
      </c>
      <c r="E401" s="5" t="s">
        <v>49</v>
      </c>
      <c r="F401" s="5" t="s">
        <v>50</v>
      </c>
      <c r="G401" s="5" t="s">
        <v>51</v>
      </c>
      <c r="H401" s="5" t="s">
        <v>557</v>
      </c>
      <c r="I401" s="5" t="s">
        <v>558</v>
      </c>
      <c r="J401" s="5" t="s">
        <v>54</v>
      </c>
      <c r="K401" s="5" t="s">
        <v>97</v>
      </c>
      <c r="L401" s="5">
        <v>3</v>
      </c>
      <c r="M401" s="5">
        <v>42590</v>
      </c>
      <c r="N401" s="5">
        <v>20</v>
      </c>
      <c r="O401" s="5">
        <v>102216</v>
      </c>
      <c r="P401" s="5">
        <v>74458.070000000007</v>
      </c>
      <c r="Q401" s="5">
        <v>27757.93</v>
      </c>
      <c r="R401" s="5" t="s">
        <v>44</v>
      </c>
      <c r="S401" s="5" t="s">
        <v>82</v>
      </c>
      <c r="T401" s="5" t="s">
        <v>34</v>
      </c>
      <c r="U401" s="5">
        <v>2</v>
      </c>
      <c r="V401" s="5" t="s">
        <v>35</v>
      </c>
    </row>
    <row r="402" spans="1:22" x14ac:dyDescent="0.3">
      <c r="A402" s="5" t="s">
        <v>888</v>
      </c>
      <c r="B402" s="6">
        <v>46045</v>
      </c>
      <c r="C402" s="5" t="s">
        <v>429</v>
      </c>
      <c r="D402" s="5" t="s">
        <v>58</v>
      </c>
      <c r="E402" s="5" t="s">
        <v>25</v>
      </c>
      <c r="F402" s="5" t="s">
        <v>26</v>
      </c>
      <c r="G402" s="5" t="s">
        <v>27</v>
      </c>
      <c r="H402" s="5" t="s">
        <v>156</v>
      </c>
      <c r="I402" s="5" t="s">
        <v>157</v>
      </c>
      <c r="J402" s="5" t="s">
        <v>30</v>
      </c>
      <c r="K402" s="5" t="s">
        <v>31</v>
      </c>
      <c r="L402" s="5">
        <v>5</v>
      </c>
      <c r="M402" s="5">
        <v>13432</v>
      </c>
      <c r="N402" s="5">
        <v>10</v>
      </c>
      <c r="O402" s="5">
        <v>60444</v>
      </c>
      <c r="P402" s="5">
        <v>49171.21</v>
      </c>
      <c r="Q402" s="5">
        <v>11272.79</v>
      </c>
      <c r="R402" s="5" t="s">
        <v>64</v>
      </c>
      <c r="S402" s="5" t="s">
        <v>82</v>
      </c>
      <c r="T402" s="5" t="s">
        <v>65</v>
      </c>
      <c r="U402" s="5">
        <v>2</v>
      </c>
      <c r="V402" s="5" t="s">
        <v>45</v>
      </c>
    </row>
    <row r="403" spans="1:22" x14ac:dyDescent="0.3">
      <c r="A403" s="5" t="s">
        <v>889</v>
      </c>
      <c r="B403" s="6">
        <v>46025</v>
      </c>
      <c r="C403" s="5" t="s">
        <v>683</v>
      </c>
      <c r="D403" s="5" t="s">
        <v>38</v>
      </c>
      <c r="E403" s="5" t="s">
        <v>49</v>
      </c>
      <c r="F403" s="5" t="s">
        <v>50</v>
      </c>
      <c r="G403" s="5" t="s">
        <v>51</v>
      </c>
      <c r="H403" s="5" t="s">
        <v>486</v>
      </c>
      <c r="I403" s="5" t="s">
        <v>487</v>
      </c>
      <c r="J403" s="5" t="s">
        <v>71</v>
      </c>
      <c r="K403" s="5" t="s">
        <v>81</v>
      </c>
      <c r="L403" s="5">
        <v>4</v>
      </c>
      <c r="M403" s="5">
        <v>8897</v>
      </c>
      <c r="N403" s="5">
        <v>5</v>
      </c>
      <c r="O403" s="5">
        <v>33808.6</v>
      </c>
      <c r="P403" s="5">
        <v>21568.87</v>
      </c>
      <c r="Q403" s="5">
        <v>12239.73</v>
      </c>
      <c r="R403" s="5" t="s">
        <v>64</v>
      </c>
      <c r="S403" s="5" t="s">
        <v>82</v>
      </c>
      <c r="T403" s="5" t="s">
        <v>65</v>
      </c>
      <c r="U403" s="5">
        <v>3</v>
      </c>
      <c r="V403" s="5" t="s">
        <v>35</v>
      </c>
    </row>
    <row r="404" spans="1:22" x14ac:dyDescent="0.3">
      <c r="A404" s="5" t="s">
        <v>890</v>
      </c>
      <c r="B404" s="6">
        <v>46160</v>
      </c>
      <c r="C404" s="5" t="s">
        <v>614</v>
      </c>
      <c r="D404" s="5" t="s">
        <v>24</v>
      </c>
      <c r="E404" s="5" t="s">
        <v>94</v>
      </c>
      <c r="F404" s="5" t="s">
        <v>26</v>
      </c>
      <c r="G404" s="5" t="s">
        <v>27</v>
      </c>
      <c r="H404" s="5" t="s">
        <v>100</v>
      </c>
      <c r="I404" s="5" t="s">
        <v>101</v>
      </c>
      <c r="J404" s="5" t="s">
        <v>102</v>
      </c>
      <c r="K404" s="5" t="s">
        <v>103</v>
      </c>
      <c r="L404" s="5">
        <v>1</v>
      </c>
      <c r="M404" s="5">
        <v>21944</v>
      </c>
      <c r="N404" s="5">
        <v>15</v>
      </c>
      <c r="O404" s="5">
        <v>18652.400000000001</v>
      </c>
      <c r="P404" s="5">
        <v>12590.57</v>
      </c>
      <c r="Q404" s="5">
        <v>6061.83</v>
      </c>
      <c r="R404" s="5" t="s">
        <v>64</v>
      </c>
      <c r="S404" s="5" t="s">
        <v>82</v>
      </c>
      <c r="T404" s="5" t="s">
        <v>65</v>
      </c>
      <c r="U404" s="5">
        <v>3</v>
      </c>
      <c r="V404" s="5" t="s">
        <v>35</v>
      </c>
    </row>
    <row r="405" spans="1:22" x14ac:dyDescent="0.3">
      <c r="A405" s="5" t="s">
        <v>891</v>
      </c>
      <c r="B405" s="6">
        <v>46039</v>
      </c>
      <c r="C405" s="5" t="s">
        <v>524</v>
      </c>
      <c r="D405" s="5" t="s">
        <v>151</v>
      </c>
      <c r="E405" s="5" t="s">
        <v>49</v>
      </c>
      <c r="F405" s="5" t="s">
        <v>50</v>
      </c>
      <c r="G405" s="5" t="s">
        <v>51</v>
      </c>
      <c r="H405" s="5" t="s">
        <v>95</v>
      </c>
      <c r="I405" s="5" t="s">
        <v>96</v>
      </c>
      <c r="J405" s="5" t="s">
        <v>54</v>
      </c>
      <c r="K405" s="5" t="s">
        <v>97</v>
      </c>
      <c r="L405" s="5">
        <v>1</v>
      </c>
      <c r="M405" s="5">
        <v>15715</v>
      </c>
      <c r="N405" s="5">
        <v>15</v>
      </c>
      <c r="O405" s="5">
        <v>13357.75</v>
      </c>
      <c r="P405" s="5">
        <v>9947.23</v>
      </c>
      <c r="Q405" s="5">
        <v>3410.52</v>
      </c>
      <c r="R405" s="5" t="s">
        <v>44</v>
      </c>
      <c r="S405" s="5" t="s">
        <v>33</v>
      </c>
      <c r="T405" s="5" t="s">
        <v>73</v>
      </c>
      <c r="U405" s="5">
        <v>2</v>
      </c>
      <c r="V405" s="5" t="s">
        <v>35</v>
      </c>
    </row>
    <row r="406" spans="1:22" x14ac:dyDescent="0.3">
      <c r="A406" s="5" t="s">
        <v>892</v>
      </c>
      <c r="B406" s="6">
        <v>46185</v>
      </c>
      <c r="C406" s="5" t="s">
        <v>667</v>
      </c>
      <c r="D406" s="5" t="s">
        <v>110</v>
      </c>
      <c r="E406" s="5" t="s">
        <v>49</v>
      </c>
      <c r="F406" s="5" t="s">
        <v>50</v>
      </c>
      <c r="G406" s="5" t="s">
        <v>51</v>
      </c>
      <c r="H406" s="5" t="s">
        <v>231</v>
      </c>
      <c r="I406" s="5" t="s">
        <v>232</v>
      </c>
      <c r="J406" s="5" t="s">
        <v>54</v>
      </c>
      <c r="K406" s="5" t="s">
        <v>97</v>
      </c>
      <c r="L406" s="5">
        <v>5</v>
      </c>
      <c r="M406" s="5">
        <v>34959</v>
      </c>
      <c r="N406" s="5">
        <v>15</v>
      </c>
      <c r="O406" s="5">
        <v>148575.75</v>
      </c>
      <c r="P406" s="5">
        <v>101302.11</v>
      </c>
      <c r="Q406" s="5">
        <v>47273.64</v>
      </c>
      <c r="R406" s="5" t="s">
        <v>44</v>
      </c>
      <c r="S406" s="5" t="s">
        <v>33</v>
      </c>
      <c r="T406" s="5" t="s">
        <v>65</v>
      </c>
      <c r="U406" s="5">
        <v>2</v>
      </c>
      <c r="V406" s="5" t="s">
        <v>45</v>
      </c>
    </row>
    <row r="407" spans="1:22" x14ac:dyDescent="0.3">
      <c r="A407" s="5" t="s">
        <v>893</v>
      </c>
      <c r="B407" s="6">
        <v>46082</v>
      </c>
      <c r="C407" s="5" t="s">
        <v>414</v>
      </c>
      <c r="D407" s="5" t="s">
        <v>117</v>
      </c>
      <c r="E407" s="5" t="s">
        <v>39</v>
      </c>
      <c r="F407" s="5" t="s">
        <v>40</v>
      </c>
      <c r="G407" s="5" t="s">
        <v>41</v>
      </c>
      <c r="H407" s="5" t="s">
        <v>574</v>
      </c>
      <c r="I407" s="5" t="s">
        <v>575</v>
      </c>
      <c r="J407" s="5" t="s">
        <v>30</v>
      </c>
      <c r="K407" s="5" t="s">
        <v>31</v>
      </c>
      <c r="L407" s="5">
        <v>4</v>
      </c>
      <c r="M407" s="5">
        <v>58215</v>
      </c>
      <c r="N407" s="5">
        <v>5</v>
      </c>
      <c r="O407" s="5">
        <v>221217</v>
      </c>
      <c r="P407" s="5">
        <v>155897.93</v>
      </c>
      <c r="Q407" s="5">
        <v>65319.07</v>
      </c>
      <c r="R407" s="5" t="s">
        <v>44</v>
      </c>
      <c r="S407" s="5" t="s">
        <v>33</v>
      </c>
      <c r="T407" s="5" t="s">
        <v>73</v>
      </c>
      <c r="U407" s="5">
        <v>5</v>
      </c>
      <c r="V407" s="5" t="s">
        <v>35</v>
      </c>
    </row>
    <row r="408" spans="1:22" x14ac:dyDescent="0.3">
      <c r="A408" s="5" t="s">
        <v>894</v>
      </c>
      <c r="B408" s="6">
        <v>46150</v>
      </c>
      <c r="C408" s="5" t="s">
        <v>846</v>
      </c>
      <c r="D408" s="5" t="s">
        <v>58</v>
      </c>
      <c r="E408" s="5" t="s">
        <v>77</v>
      </c>
      <c r="F408" s="5" t="s">
        <v>78</v>
      </c>
      <c r="G408" s="5" t="s">
        <v>41</v>
      </c>
      <c r="H408" s="5" t="s">
        <v>406</v>
      </c>
      <c r="I408" s="5" t="s">
        <v>407</v>
      </c>
      <c r="J408" s="5" t="s">
        <v>30</v>
      </c>
      <c r="K408" s="5" t="s">
        <v>31</v>
      </c>
      <c r="L408" s="5">
        <v>5</v>
      </c>
      <c r="M408" s="5">
        <v>28889</v>
      </c>
      <c r="N408" s="5">
        <v>20</v>
      </c>
      <c r="O408" s="5">
        <v>115556</v>
      </c>
      <c r="P408" s="5">
        <v>104469.32</v>
      </c>
      <c r="Q408" s="5">
        <v>11086.68</v>
      </c>
      <c r="R408" s="5" t="s">
        <v>32</v>
      </c>
      <c r="S408" s="5" t="s">
        <v>33</v>
      </c>
      <c r="T408" s="5" t="s">
        <v>34</v>
      </c>
      <c r="U408" s="5">
        <v>1</v>
      </c>
      <c r="V408" s="5" t="s">
        <v>45</v>
      </c>
    </row>
    <row r="409" spans="1:22" x14ac:dyDescent="0.3">
      <c r="A409" s="5" t="s">
        <v>895</v>
      </c>
      <c r="B409" s="6">
        <v>46085</v>
      </c>
      <c r="C409" s="5" t="s">
        <v>256</v>
      </c>
      <c r="D409" s="5" t="s">
        <v>24</v>
      </c>
      <c r="E409" s="5" t="s">
        <v>25</v>
      </c>
      <c r="F409" s="5" t="s">
        <v>26</v>
      </c>
      <c r="G409" s="5" t="s">
        <v>27</v>
      </c>
      <c r="H409" s="5" t="s">
        <v>189</v>
      </c>
      <c r="I409" s="5" t="s">
        <v>190</v>
      </c>
      <c r="J409" s="5" t="s">
        <v>102</v>
      </c>
      <c r="K409" s="5" t="s">
        <v>103</v>
      </c>
      <c r="L409" s="5">
        <v>5</v>
      </c>
      <c r="M409" s="5">
        <v>72377</v>
      </c>
      <c r="N409" s="5">
        <v>10</v>
      </c>
      <c r="O409" s="5">
        <v>325696.5</v>
      </c>
      <c r="P409" s="5">
        <v>252773.47</v>
      </c>
      <c r="Q409" s="5">
        <v>72923.03</v>
      </c>
      <c r="R409" s="5" t="s">
        <v>32</v>
      </c>
      <c r="S409" s="5" t="s">
        <v>33</v>
      </c>
      <c r="T409" s="5" t="s">
        <v>65</v>
      </c>
      <c r="U409" s="5">
        <v>4</v>
      </c>
      <c r="V409" s="5" t="s">
        <v>35</v>
      </c>
    </row>
    <row r="410" spans="1:22" x14ac:dyDescent="0.3">
      <c r="A410" s="5" t="s">
        <v>896</v>
      </c>
      <c r="B410" s="6">
        <v>46080</v>
      </c>
      <c r="C410" s="5" t="s">
        <v>337</v>
      </c>
      <c r="D410" s="5" t="s">
        <v>76</v>
      </c>
      <c r="E410" s="5" t="s">
        <v>126</v>
      </c>
      <c r="F410" s="5" t="s">
        <v>126</v>
      </c>
      <c r="G410" s="5" t="s">
        <v>51</v>
      </c>
      <c r="H410" s="5" t="s">
        <v>640</v>
      </c>
      <c r="I410" s="5" t="s">
        <v>641</v>
      </c>
      <c r="J410" s="5" t="s">
        <v>54</v>
      </c>
      <c r="K410" s="5" t="s">
        <v>97</v>
      </c>
      <c r="L410" s="5">
        <v>3</v>
      </c>
      <c r="M410" s="5">
        <v>63063</v>
      </c>
      <c r="N410" s="5">
        <v>10</v>
      </c>
      <c r="O410" s="5">
        <v>170270.1</v>
      </c>
      <c r="P410" s="5">
        <v>139903.47</v>
      </c>
      <c r="Q410" s="5">
        <v>30366.63</v>
      </c>
      <c r="R410" s="5" t="s">
        <v>32</v>
      </c>
      <c r="S410" s="5" t="s">
        <v>33</v>
      </c>
      <c r="T410" s="5" t="s">
        <v>65</v>
      </c>
      <c r="U410" s="5">
        <v>3</v>
      </c>
      <c r="V410" s="5" t="s">
        <v>35</v>
      </c>
    </row>
    <row r="411" spans="1:22" x14ac:dyDescent="0.3">
      <c r="A411" s="5" t="s">
        <v>897</v>
      </c>
      <c r="B411" s="6">
        <v>46134</v>
      </c>
      <c r="C411" s="5" t="s">
        <v>134</v>
      </c>
      <c r="D411" s="5" t="s">
        <v>68</v>
      </c>
      <c r="E411" s="5" t="s">
        <v>25</v>
      </c>
      <c r="F411" s="5" t="s">
        <v>26</v>
      </c>
      <c r="G411" s="5" t="s">
        <v>27</v>
      </c>
      <c r="H411" s="5" t="s">
        <v>541</v>
      </c>
      <c r="I411" s="5" t="s">
        <v>542</v>
      </c>
      <c r="J411" s="5" t="s">
        <v>54</v>
      </c>
      <c r="K411" s="5" t="s">
        <v>55</v>
      </c>
      <c r="L411" s="5">
        <v>5</v>
      </c>
      <c r="M411" s="5">
        <v>69994</v>
      </c>
      <c r="N411" s="5">
        <v>20</v>
      </c>
      <c r="O411" s="5">
        <v>279976</v>
      </c>
      <c r="P411" s="5">
        <v>207584.11</v>
      </c>
      <c r="Q411" s="5">
        <v>72391.89</v>
      </c>
      <c r="R411" s="5" t="s">
        <v>44</v>
      </c>
      <c r="S411" s="5" t="s">
        <v>82</v>
      </c>
      <c r="T411" s="5" t="s">
        <v>34</v>
      </c>
      <c r="U411" s="5">
        <v>1</v>
      </c>
      <c r="V411" s="5" t="s">
        <v>45</v>
      </c>
    </row>
    <row r="412" spans="1:22" x14ac:dyDescent="0.3">
      <c r="A412" s="5" t="s">
        <v>898</v>
      </c>
      <c r="B412" s="6">
        <v>46049</v>
      </c>
      <c r="C412" s="5" t="s">
        <v>811</v>
      </c>
      <c r="D412" s="5" t="s">
        <v>38</v>
      </c>
      <c r="E412" s="5" t="s">
        <v>77</v>
      </c>
      <c r="F412" s="5" t="s">
        <v>78</v>
      </c>
      <c r="G412" s="5" t="s">
        <v>41</v>
      </c>
      <c r="H412" s="5" t="s">
        <v>231</v>
      </c>
      <c r="I412" s="5" t="s">
        <v>232</v>
      </c>
      <c r="J412" s="5" t="s">
        <v>54</v>
      </c>
      <c r="K412" s="5" t="s">
        <v>97</v>
      </c>
      <c r="L412" s="5">
        <v>1</v>
      </c>
      <c r="M412" s="5">
        <v>48238</v>
      </c>
      <c r="N412" s="5">
        <v>5</v>
      </c>
      <c r="O412" s="5">
        <v>45826.1</v>
      </c>
      <c r="P412" s="5">
        <v>32357.64</v>
      </c>
      <c r="Q412" s="5">
        <v>13468.46</v>
      </c>
      <c r="R412" s="5" t="s">
        <v>64</v>
      </c>
      <c r="S412" s="5" t="s">
        <v>82</v>
      </c>
      <c r="T412" s="5" t="s">
        <v>34</v>
      </c>
      <c r="U412" s="5">
        <v>5</v>
      </c>
      <c r="V412" s="5" t="s">
        <v>35</v>
      </c>
    </row>
    <row r="413" spans="1:22" x14ac:dyDescent="0.3">
      <c r="A413" s="5" t="s">
        <v>899</v>
      </c>
      <c r="B413" s="6">
        <v>46077</v>
      </c>
      <c r="C413" s="5" t="s">
        <v>883</v>
      </c>
      <c r="D413" s="5" t="s">
        <v>89</v>
      </c>
      <c r="E413" s="5" t="s">
        <v>94</v>
      </c>
      <c r="F413" s="5" t="s">
        <v>26</v>
      </c>
      <c r="G413" s="5" t="s">
        <v>27</v>
      </c>
      <c r="H413" s="5" t="s">
        <v>387</v>
      </c>
      <c r="I413" s="5" t="s">
        <v>388</v>
      </c>
      <c r="J413" s="5" t="s">
        <v>54</v>
      </c>
      <c r="K413" s="5" t="s">
        <v>97</v>
      </c>
      <c r="L413" s="5">
        <v>5</v>
      </c>
      <c r="M413" s="5">
        <v>8020</v>
      </c>
      <c r="N413" s="5">
        <v>5</v>
      </c>
      <c r="O413" s="5">
        <v>38095</v>
      </c>
      <c r="P413" s="5">
        <v>28662.59</v>
      </c>
      <c r="Q413" s="5">
        <v>9432.41</v>
      </c>
      <c r="R413" s="5" t="s">
        <v>32</v>
      </c>
      <c r="S413" s="5" t="s">
        <v>33</v>
      </c>
      <c r="T413" s="5" t="s">
        <v>73</v>
      </c>
      <c r="U413" s="5">
        <v>2</v>
      </c>
      <c r="V413" s="5" t="s">
        <v>45</v>
      </c>
    </row>
    <row r="414" spans="1:22" x14ac:dyDescent="0.3">
      <c r="A414" s="5" t="s">
        <v>900</v>
      </c>
      <c r="B414" s="6">
        <v>46180</v>
      </c>
      <c r="C414" s="5" t="s">
        <v>516</v>
      </c>
      <c r="D414" s="5" t="s">
        <v>151</v>
      </c>
      <c r="E414" s="5" t="s">
        <v>49</v>
      </c>
      <c r="F414" s="5" t="s">
        <v>50</v>
      </c>
      <c r="G414" s="5" t="s">
        <v>51</v>
      </c>
      <c r="H414" s="5" t="s">
        <v>147</v>
      </c>
      <c r="I414" s="5" t="s">
        <v>148</v>
      </c>
      <c r="J414" s="5" t="s">
        <v>71</v>
      </c>
      <c r="K414" s="5" t="s">
        <v>81</v>
      </c>
      <c r="L414" s="5">
        <v>4</v>
      </c>
      <c r="M414" s="5">
        <v>79306</v>
      </c>
      <c r="N414" s="5">
        <v>15</v>
      </c>
      <c r="O414" s="5">
        <v>269640.40000000002</v>
      </c>
      <c r="P414" s="5">
        <v>207947.92</v>
      </c>
      <c r="Q414" s="5">
        <v>61692.480000000003</v>
      </c>
      <c r="R414" s="5" t="s">
        <v>44</v>
      </c>
      <c r="S414" s="5" t="s">
        <v>33</v>
      </c>
      <c r="T414" s="5" t="s">
        <v>73</v>
      </c>
      <c r="U414" s="5">
        <v>5</v>
      </c>
      <c r="V414" s="5" t="s">
        <v>45</v>
      </c>
    </row>
    <row r="415" spans="1:22" x14ac:dyDescent="0.3">
      <c r="A415" s="5" t="s">
        <v>901</v>
      </c>
      <c r="B415" s="6">
        <v>46128</v>
      </c>
      <c r="C415" s="5" t="s">
        <v>468</v>
      </c>
      <c r="D415" s="5" t="s">
        <v>76</v>
      </c>
      <c r="E415" s="5" t="s">
        <v>94</v>
      </c>
      <c r="F415" s="5" t="s">
        <v>26</v>
      </c>
      <c r="G415" s="5" t="s">
        <v>27</v>
      </c>
      <c r="H415" s="5" t="s">
        <v>717</v>
      </c>
      <c r="I415" s="5" t="s">
        <v>718</v>
      </c>
      <c r="J415" s="5" t="s">
        <v>102</v>
      </c>
      <c r="K415" s="5" t="s">
        <v>103</v>
      </c>
      <c r="L415" s="5">
        <v>3</v>
      </c>
      <c r="M415" s="5">
        <v>74840</v>
      </c>
      <c r="N415" s="5">
        <v>20</v>
      </c>
      <c r="O415" s="5">
        <v>179616</v>
      </c>
      <c r="P415" s="5">
        <v>145602.23000000001</v>
      </c>
      <c r="Q415" s="5">
        <v>34013.769999999997</v>
      </c>
      <c r="R415" s="5" t="s">
        <v>44</v>
      </c>
      <c r="S415" s="5" t="s">
        <v>33</v>
      </c>
      <c r="T415" s="5" t="s">
        <v>34</v>
      </c>
      <c r="U415" s="5">
        <v>1</v>
      </c>
      <c r="V415" s="5" t="s">
        <v>45</v>
      </c>
    </row>
    <row r="416" spans="1:22" x14ac:dyDescent="0.3">
      <c r="A416" s="5" t="s">
        <v>902</v>
      </c>
      <c r="B416" s="6">
        <v>46180</v>
      </c>
      <c r="C416" s="5" t="s">
        <v>647</v>
      </c>
      <c r="D416" s="5" t="s">
        <v>76</v>
      </c>
      <c r="E416" s="5" t="s">
        <v>94</v>
      </c>
      <c r="F416" s="5" t="s">
        <v>26</v>
      </c>
      <c r="G416" s="5" t="s">
        <v>27</v>
      </c>
      <c r="H416" s="5" t="s">
        <v>295</v>
      </c>
      <c r="I416" s="5" t="s">
        <v>296</v>
      </c>
      <c r="J416" s="5" t="s">
        <v>30</v>
      </c>
      <c r="K416" s="5" t="s">
        <v>31</v>
      </c>
      <c r="L416" s="5">
        <v>4</v>
      </c>
      <c r="M416" s="5">
        <v>33085</v>
      </c>
      <c r="N416" s="5">
        <v>0</v>
      </c>
      <c r="O416" s="5">
        <v>132340</v>
      </c>
      <c r="P416" s="5">
        <v>74450.100000000006</v>
      </c>
      <c r="Q416" s="5">
        <v>57889.9</v>
      </c>
      <c r="R416" s="5" t="s">
        <v>32</v>
      </c>
      <c r="S416" s="5" t="s">
        <v>82</v>
      </c>
      <c r="T416" s="5" t="s">
        <v>34</v>
      </c>
      <c r="U416" s="5">
        <v>3</v>
      </c>
      <c r="V416" s="5" t="s">
        <v>35</v>
      </c>
    </row>
    <row r="417" spans="1:22" x14ac:dyDescent="0.3">
      <c r="A417" s="5" t="s">
        <v>903</v>
      </c>
      <c r="B417" s="6">
        <v>46073</v>
      </c>
      <c r="C417" s="5" t="s">
        <v>420</v>
      </c>
      <c r="D417" s="5" t="s">
        <v>58</v>
      </c>
      <c r="E417" s="5" t="s">
        <v>49</v>
      </c>
      <c r="F417" s="5" t="s">
        <v>50</v>
      </c>
      <c r="G417" s="5" t="s">
        <v>51</v>
      </c>
      <c r="H417" s="5" t="s">
        <v>496</v>
      </c>
      <c r="I417" s="5" t="s">
        <v>497</v>
      </c>
      <c r="J417" s="5" t="s">
        <v>30</v>
      </c>
      <c r="K417" s="5" t="s">
        <v>31</v>
      </c>
      <c r="L417" s="5">
        <v>1</v>
      </c>
      <c r="M417" s="5">
        <v>9399</v>
      </c>
      <c r="N417" s="5">
        <v>15</v>
      </c>
      <c r="O417" s="5">
        <v>7989.15</v>
      </c>
      <c r="P417" s="5">
        <v>6209.96</v>
      </c>
      <c r="Q417" s="5">
        <v>1779.19</v>
      </c>
      <c r="R417" s="5" t="s">
        <v>32</v>
      </c>
      <c r="S417" s="5" t="s">
        <v>33</v>
      </c>
      <c r="T417" s="5" t="s">
        <v>73</v>
      </c>
      <c r="U417" s="5">
        <v>2</v>
      </c>
      <c r="V417" s="5" t="s">
        <v>35</v>
      </c>
    </row>
    <row r="418" spans="1:22" x14ac:dyDescent="0.3">
      <c r="A418" s="5" t="s">
        <v>904</v>
      </c>
      <c r="B418" s="6">
        <v>46086</v>
      </c>
      <c r="C418" s="5" t="s">
        <v>319</v>
      </c>
      <c r="D418" s="5" t="s">
        <v>110</v>
      </c>
      <c r="E418" s="5" t="s">
        <v>39</v>
      </c>
      <c r="F418" s="5" t="s">
        <v>40</v>
      </c>
      <c r="G418" s="5" t="s">
        <v>41</v>
      </c>
      <c r="H418" s="5" t="s">
        <v>193</v>
      </c>
      <c r="I418" s="5" t="s">
        <v>194</v>
      </c>
      <c r="J418" s="5" t="s">
        <v>71</v>
      </c>
      <c r="K418" s="5" t="s">
        <v>72</v>
      </c>
      <c r="L418" s="5">
        <v>2</v>
      </c>
      <c r="M418" s="5">
        <v>58849</v>
      </c>
      <c r="N418" s="5">
        <v>20</v>
      </c>
      <c r="O418" s="5">
        <v>94158.399999999994</v>
      </c>
      <c r="P418" s="5">
        <v>65381.96</v>
      </c>
      <c r="Q418" s="5">
        <v>28776.44</v>
      </c>
      <c r="R418" s="5" t="s">
        <v>44</v>
      </c>
      <c r="S418" s="5" t="s">
        <v>82</v>
      </c>
      <c r="T418" s="5" t="s">
        <v>73</v>
      </c>
      <c r="U418" s="5">
        <v>4</v>
      </c>
      <c r="V418" s="5" t="s">
        <v>35</v>
      </c>
    </row>
    <row r="419" spans="1:22" x14ac:dyDescent="0.3">
      <c r="A419" s="5" t="s">
        <v>905</v>
      </c>
      <c r="B419" s="6">
        <v>46054</v>
      </c>
      <c r="C419" s="5" t="s">
        <v>906</v>
      </c>
      <c r="D419" s="5" t="s">
        <v>48</v>
      </c>
      <c r="E419" s="5" t="s">
        <v>49</v>
      </c>
      <c r="F419" s="5" t="s">
        <v>50</v>
      </c>
      <c r="G419" s="5" t="s">
        <v>51</v>
      </c>
      <c r="H419" s="5" t="s">
        <v>269</v>
      </c>
      <c r="I419" s="5" t="s">
        <v>270</v>
      </c>
      <c r="J419" s="5" t="s">
        <v>71</v>
      </c>
      <c r="K419" s="5" t="s">
        <v>72</v>
      </c>
      <c r="L419" s="5">
        <v>5</v>
      </c>
      <c r="M419" s="5">
        <v>22981</v>
      </c>
      <c r="N419" s="5">
        <v>5</v>
      </c>
      <c r="O419" s="5">
        <v>109159.75</v>
      </c>
      <c r="P419" s="5">
        <v>90911.24</v>
      </c>
      <c r="Q419" s="5">
        <v>18248.509999999998</v>
      </c>
      <c r="R419" s="5" t="s">
        <v>44</v>
      </c>
      <c r="S419" s="5" t="s">
        <v>82</v>
      </c>
      <c r="T419" s="5" t="s">
        <v>73</v>
      </c>
      <c r="U419" s="5">
        <v>4</v>
      </c>
      <c r="V419" s="5" t="s">
        <v>35</v>
      </c>
    </row>
    <row r="420" spans="1:22" x14ac:dyDescent="0.3">
      <c r="A420" s="5" t="s">
        <v>907</v>
      </c>
      <c r="B420" s="6">
        <v>46108</v>
      </c>
      <c r="C420" s="5" t="s">
        <v>175</v>
      </c>
      <c r="D420" s="5" t="s">
        <v>68</v>
      </c>
      <c r="E420" s="5" t="s">
        <v>59</v>
      </c>
      <c r="F420" s="5" t="s">
        <v>60</v>
      </c>
      <c r="G420" s="5" t="s">
        <v>61</v>
      </c>
      <c r="H420" s="5" t="s">
        <v>197</v>
      </c>
      <c r="I420" s="5" t="s">
        <v>198</v>
      </c>
      <c r="J420" s="5" t="s">
        <v>30</v>
      </c>
      <c r="K420" s="5" t="s">
        <v>31</v>
      </c>
      <c r="L420" s="5">
        <v>5</v>
      </c>
      <c r="M420" s="5">
        <v>53342</v>
      </c>
      <c r="N420" s="5">
        <v>5</v>
      </c>
      <c r="O420" s="5">
        <v>253374.5</v>
      </c>
      <c r="P420" s="5">
        <v>200328.73</v>
      </c>
      <c r="Q420" s="5">
        <v>53045.77</v>
      </c>
      <c r="R420" s="5" t="s">
        <v>44</v>
      </c>
      <c r="S420" s="5" t="s">
        <v>82</v>
      </c>
      <c r="T420" s="5" t="s">
        <v>34</v>
      </c>
      <c r="U420" s="5">
        <v>3</v>
      </c>
      <c r="V420" s="5" t="s">
        <v>45</v>
      </c>
    </row>
    <row r="421" spans="1:22" x14ac:dyDescent="0.3">
      <c r="A421" s="5" t="s">
        <v>908</v>
      </c>
      <c r="B421" s="6">
        <v>46155</v>
      </c>
      <c r="C421" s="5" t="s">
        <v>292</v>
      </c>
      <c r="D421" s="5" t="s">
        <v>117</v>
      </c>
      <c r="E421" s="5" t="s">
        <v>49</v>
      </c>
      <c r="F421" s="5" t="s">
        <v>50</v>
      </c>
      <c r="G421" s="5" t="s">
        <v>51</v>
      </c>
      <c r="H421" s="5" t="s">
        <v>411</v>
      </c>
      <c r="I421" s="5" t="s">
        <v>412</v>
      </c>
      <c r="J421" s="5" t="s">
        <v>54</v>
      </c>
      <c r="K421" s="5" t="s">
        <v>97</v>
      </c>
      <c r="L421" s="5">
        <v>2</v>
      </c>
      <c r="M421" s="5">
        <v>33314</v>
      </c>
      <c r="N421" s="5">
        <v>15</v>
      </c>
      <c r="O421" s="5">
        <v>56633.8</v>
      </c>
      <c r="P421" s="5">
        <v>38451.22</v>
      </c>
      <c r="Q421" s="5">
        <v>18182.580000000002</v>
      </c>
      <c r="R421" s="5" t="s">
        <v>44</v>
      </c>
      <c r="S421" s="5" t="s">
        <v>33</v>
      </c>
      <c r="T421" s="5" t="s">
        <v>73</v>
      </c>
      <c r="U421" s="5">
        <v>4</v>
      </c>
      <c r="V421" s="5" t="s">
        <v>35</v>
      </c>
    </row>
    <row r="422" spans="1:22" x14ac:dyDescent="0.3">
      <c r="A422" s="5" t="s">
        <v>909</v>
      </c>
      <c r="B422" s="6">
        <v>46141</v>
      </c>
      <c r="C422" s="5" t="s">
        <v>687</v>
      </c>
      <c r="D422" s="5" t="s">
        <v>110</v>
      </c>
      <c r="E422" s="5" t="s">
        <v>77</v>
      </c>
      <c r="F422" s="5" t="s">
        <v>78</v>
      </c>
      <c r="G422" s="5" t="s">
        <v>41</v>
      </c>
      <c r="H422" s="5" t="s">
        <v>180</v>
      </c>
      <c r="I422" s="5" t="s">
        <v>181</v>
      </c>
      <c r="J422" s="5" t="s">
        <v>54</v>
      </c>
      <c r="K422" s="5" t="s">
        <v>55</v>
      </c>
      <c r="L422" s="5">
        <v>1</v>
      </c>
      <c r="M422" s="5">
        <v>4682</v>
      </c>
      <c r="N422" s="5">
        <v>10</v>
      </c>
      <c r="O422" s="5">
        <v>4213.8</v>
      </c>
      <c r="P422" s="5">
        <v>2863.9</v>
      </c>
      <c r="Q422" s="5">
        <v>1349.9</v>
      </c>
      <c r="R422" s="5" t="s">
        <v>64</v>
      </c>
      <c r="S422" s="5" t="s">
        <v>33</v>
      </c>
      <c r="T422" s="5" t="s">
        <v>73</v>
      </c>
      <c r="U422" s="5">
        <v>4</v>
      </c>
      <c r="V422" s="5" t="s">
        <v>45</v>
      </c>
    </row>
    <row r="423" spans="1:22" x14ac:dyDescent="0.3">
      <c r="A423" s="5" t="s">
        <v>910</v>
      </c>
      <c r="B423" s="6">
        <v>46039</v>
      </c>
      <c r="C423" s="5" t="s">
        <v>661</v>
      </c>
      <c r="D423" s="5" t="s">
        <v>151</v>
      </c>
      <c r="E423" s="5" t="s">
        <v>49</v>
      </c>
      <c r="F423" s="5" t="s">
        <v>50</v>
      </c>
      <c r="G423" s="5" t="s">
        <v>51</v>
      </c>
      <c r="H423" s="5" t="s">
        <v>265</v>
      </c>
      <c r="I423" s="5" t="s">
        <v>266</v>
      </c>
      <c r="J423" s="5" t="s">
        <v>71</v>
      </c>
      <c r="K423" s="5" t="s">
        <v>81</v>
      </c>
      <c r="L423" s="5">
        <v>5</v>
      </c>
      <c r="M423" s="5">
        <v>1783</v>
      </c>
      <c r="N423" s="5">
        <v>20</v>
      </c>
      <c r="O423" s="5">
        <v>7132</v>
      </c>
      <c r="P423" s="5">
        <v>7395.18</v>
      </c>
      <c r="Q423" s="5">
        <v>-263.18</v>
      </c>
      <c r="R423" s="5" t="s">
        <v>44</v>
      </c>
      <c r="S423" s="5" t="s">
        <v>33</v>
      </c>
      <c r="T423" s="5" t="s">
        <v>34</v>
      </c>
      <c r="U423" s="5">
        <v>3</v>
      </c>
      <c r="V423" s="5" t="s">
        <v>45</v>
      </c>
    </row>
    <row r="424" spans="1:22" x14ac:dyDescent="0.3">
      <c r="A424" s="5" t="s">
        <v>911</v>
      </c>
      <c r="B424" s="6">
        <v>46057</v>
      </c>
      <c r="C424" s="5" t="s">
        <v>912</v>
      </c>
      <c r="D424" s="5" t="s">
        <v>24</v>
      </c>
      <c r="E424" s="5" t="s">
        <v>25</v>
      </c>
      <c r="F424" s="5" t="s">
        <v>26</v>
      </c>
      <c r="G424" s="5" t="s">
        <v>27</v>
      </c>
      <c r="H424" s="5" t="s">
        <v>411</v>
      </c>
      <c r="I424" s="5" t="s">
        <v>412</v>
      </c>
      <c r="J424" s="5" t="s">
        <v>54</v>
      </c>
      <c r="K424" s="5" t="s">
        <v>97</v>
      </c>
      <c r="L424" s="5">
        <v>3</v>
      </c>
      <c r="M424" s="5">
        <v>18410</v>
      </c>
      <c r="N424" s="5">
        <v>0</v>
      </c>
      <c r="O424" s="5">
        <v>55230</v>
      </c>
      <c r="P424" s="5">
        <v>44834.45</v>
      </c>
      <c r="Q424" s="5">
        <v>10395.549999999999</v>
      </c>
      <c r="R424" s="5" t="s">
        <v>44</v>
      </c>
      <c r="S424" s="5" t="s">
        <v>33</v>
      </c>
      <c r="T424" s="5" t="s">
        <v>73</v>
      </c>
      <c r="U424" s="5">
        <v>4</v>
      </c>
      <c r="V424" s="5" t="s">
        <v>45</v>
      </c>
    </row>
    <row r="425" spans="1:22" x14ac:dyDescent="0.3">
      <c r="A425" s="5" t="s">
        <v>913</v>
      </c>
      <c r="B425" s="6">
        <v>46108</v>
      </c>
      <c r="C425" s="5" t="s">
        <v>914</v>
      </c>
      <c r="D425" s="5" t="s">
        <v>24</v>
      </c>
      <c r="E425" s="5" t="s">
        <v>49</v>
      </c>
      <c r="F425" s="5" t="s">
        <v>50</v>
      </c>
      <c r="G425" s="5" t="s">
        <v>51</v>
      </c>
      <c r="H425" s="5" t="s">
        <v>447</v>
      </c>
      <c r="I425" s="5" t="s">
        <v>448</v>
      </c>
      <c r="J425" s="5" t="s">
        <v>71</v>
      </c>
      <c r="K425" s="5" t="s">
        <v>72</v>
      </c>
      <c r="L425" s="5">
        <v>4</v>
      </c>
      <c r="M425" s="5">
        <v>538</v>
      </c>
      <c r="N425" s="5">
        <v>15</v>
      </c>
      <c r="O425" s="5">
        <v>1829.2</v>
      </c>
      <c r="P425" s="5">
        <v>1332.78</v>
      </c>
      <c r="Q425" s="5">
        <v>496.42</v>
      </c>
      <c r="R425" s="5" t="s">
        <v>32</v>
      </c>
      <c r="S425" s="5" t="s">
        <v>33</v>
      </c>
      <c r="T425" s="5" t="s">
        <v>34</v>
      </c>
      <c r="U425" s="5">
        <v>5</v>
      </c>
      <c r="V425" s="5" t="s">
        <v>45</v>
      </c>
    </row>
    <row r="426" spans="1:22" x14ac:dyDescent="0.3">
      <c r="A426" s="5" t="s">
        <v>915</v>
      </c>
      <c r="B426" s="6">
        <v>46061</v>
      </c>
      <c r="C426" s="5" t="s">
        <v>167</v>
      </c>
      <c r="D426" s="5" t="s">
        <v>48</v>
      </c>
      <c r="E426" s="5" t="s">
        <v>94</v>
      </c>
      <c r="F426" s="5" t="s">
        <v>26</v>
      </c>
      <c r="G426" s="5" t="s">
        <v>27</v>
      </c>
      <c r="H426" s="5" t="s">
        <v>217</v>
      </c>
      <c r="I426" s="5" t="s">
        <v>218</v>
      </c>
      <c r="J426" s="5" t="s">
        <v>54</v>
      </c>
      <c r="K426" s="5" t="s">
        <v>97</v>
      </c>
      <c r="L426" s="5">
        <v>1</v>
      </c>
      <c r="M426" s="5">
        <v>8480</v>
      </c>
      <c r="N426" s="5">
        <v>5</v>
      </c>
      <c r="O426" s="5">
        <v>8056</v>
      </c>
      <c r="P426" s="5">
        <v>5881.62</v>
      </c>
      <c r="Q426" s="5">
        <v>2174.38</v>
      </c>
      <c r="R426" s="5" t="s">
        <v>32</v>
      </c>
      <c r="S426" s="5" t="s">
        <v>82</v>
      </c>
      <c r="T426" s="5" t="s">
        <v>65</v>
      </c>
      <c r="U426" s="5">
        <v>4</v>
      </c>
      <c r="V426" s="5" t="s">
        <v>35</v>
      </c>
    </row>
    <row r="427" spans="1:22" x14ac:dyDescent="0.3">
      <c r="A427" s="5" t="s">
        <v>916</v>
      </c>
      <c r="B427" s="6">
        <v>46131</v>
      </c>
      <c r="C427" s="5" t="s">
        <v>917</v>
      </c>
      <c r="D427" s="5" t="s">
        <v>48</v>
      </c>
      <c r="E427" s="5" t="s">
        <v>126</v>
      </c>
      <c r="F427" s="5" t="s">
        <v>126</v>
      </c>
      <c r="G427" s="5" t="s">
        <v>51</v>
      </c>
      <c r="H427" s="5" t="s">
        <v>312</v>
      </c>
      <c r="I427" s="5" t="s">
        <v>313</v>
      </c>
      <c r="J427" s="5" t="s">
        <v>54</v>
      </c>
      <c r="K427" s="5" t="s">
        <v>97</v>
      </c>
      <c r="L427" s="5">
        <v>1</v>
      </c>
      <c r="M427" s="5">
        <v>74002</v>
      </c>
      <c r="N427" s="5">
        <v>20</v>
      </c>
      <c r="O427" s="5">
        <v>59201.599999999999</v>
      </c>
      <c r="P427" s="5">
        <v>54049.84</v>
      </c>
      <c r="Q427" s="5">
        <v>5151.76</v>
      </c>
      <c r="R427" s="5" t="s">
        <v>44</v>
      </c>
      <c r="S427" s="5" t="s">
        <v>82</v>
      </c>
      <c r="T427" s="5" t="s">
        <v>73</v>
      </c>
      <c r="U427" s="5">
        <v>5</v>
      </c>
      <c r="V427" s="5" t="s">
        <v>45</v>
      </c>
    </row>
    <row r="428" spans="1:22" x14ac:dyDescent="0.3">
      <c r="A428" s="5" t="s">
        <v>918</v>
      </c>
      <c r="B428" s="6">
        <v>46139</v>
      </c>
      <c r="C428" s="5" t="s">
        <v>919</v>
      </c>
      <c r="D428" s="5" t="s">
        <v>68</v>
      </c>
      <c r="E428" s="5" t="s">
        <v>25</v>
      </c>
      <c r="F428" s="5" t="s">
        <v>26</v>
      </c>
      <c r="G428" s="5" t="s">
        <v>27</v>
      </c>
      <c r="H428" s="5" t="s">
        <v>762</v>
      </c>
      <c r="I428" s="5" t="s">
        <v>763</v>
      </c>
      <c r="J428" s="5" t="s">
        <v>54</v>
      </c>
      <c r="K428" s="5" t="s">
        <v>55</v>
      </c>
      <c r="L428" s="5">
        <v>4</v>
      </c>
      <c r="M428" s="5">
        <v>18839</v>
      </c>
      <c r="N428" s="5">
        <v>15</v>
      </c>
      <c r="O428" s="5">
        <v>64052.6</v>
      </c>
      <c r="P428" s="5">
        <v>55143.56</v>
      </c>
      <c r="Q428" s="5">
        <v>8909.0400000000009</v>
      </c>
      <c r="R428" s="5" t="s">
        <v>64</v>
      </c>
      <c r="S428" s="5" t="s">
        <v>33</v>
      </c>
      <c r="T428" s="5" t="s">
        <v>73</v>
      </c>
      <c r="U428" s="5">
        <v>3</v>
      </c>
      <c r="V428" s="5" t="s">
        <v>35</v>
      </c>
    </row>
    <row r="429" spans="1:22" x14ac:dyDescent="0.3">
      <c r="A429" s="5" t="s">
        <v>920</v>
      </c>
      <c r="B429" s="6">
        <v>46199</v>
      </c>
      <c r="C429" s="5" t="s">
        <v>99</v>
      </c>
      <c r="D429" s="5" t="s">
        <v>58</v>
      </c>
      <c r="E429" s="5" t="s">
        <v>49</v>
      </c>
      <c r="F429" s="5" t="s">
        <v>50</v>
      </c>
      <c r="G429" s="5" t="s">
        <v>51</v>
      </c>
      <c r="H429" s="5" t="s">
        <v>574</v>
      </c>
      <c r="I429" s="5" t="s">
        <v>575</v>
      </c>
      <c r="J429" s="5" t="s">
        <v>30</v>
      </c>
      <c r="K429" s="5" t="s">
        <v>31</v>
      </c>
      <c r="L429" s="5">
        <v>5</v>
      </c>
      <c r="M429" s="5">
        <v>16298</v>
      </c>
      <c r="N429" s="5">
        <v>5</v>
      </c>
      <c r="O429" s="5">
        <v>77415.5</v>
      </c>
      <c r="P429" s="5">
        <v>64185.13</v>
      </c>
      <c r="Q429" s="5">
        <v>13230.37</v>
      </c>
      <c r="R429" s="5" t="s">
        <v>44</v>
      </c>
      <c r="S429" s="5" t="s">
        <v>33</v>
      </c>
      <c r="T429" s="5" t="s">
        <v>73</v>
      </c>
      <c r="U429" s="5">
        <v>3</v>
      </c>
      <c r="V429" s="5" t="s">
        <v>35</v>
      </c>
    </row>
    <row r="430" spans="1:22" x14ac:dyDescent="0.3">
      <c r="A430" s="5" t="s">
        <v>921</v>
      </c>
      <c r="B430" s="6">
        <v>46148</v>
      </c>
      <c r="C430" s="5" t="s">
        <v>914</v>
      </c>
      <c r="D430" s="5" t="s">
        <v>48</v>
      </c>
      <c r="E430" s="5" t="s">
        <v>126</v>
      </c>
      <c r="F430" s="5" t="s">
        <v>126</v>
      </c>
      <c r="G430" s="5" t="s">
        <v>51</v>
      </c>
      <c r="H430" s="5" t="s">
        <v>231</v>
      </c>
      <c r="I430" s="5" t="s">
        <v>232</v>
      </c>
      <c r="J430" s="5" t="s">
        <v>54</v>
      </c>
      <c r="K430" s="5" t="s">
        <v>97</v>
      </c>
      <c r="L430" s="5">
        <v>3</v>
      </c>
      <c r="M430" s="5">
        <v>39113</v>
      </c>
      <c r="N430" s="5">
        <v>10</v>
      </c>
      <c r="O430" s="5">
        <v>105605.1</v>
      </c>
      <c r="P430" s="5">
        <v>95043.74</v>
      </c>
      <c r="Q430" s="5">
        <v>10561.36</v>
      </c>
      <c r="R430" s="5" t="s">
        <v>64</v>
      </c>
      <c r="S430" s="5" t="s">
        <v>82</v>
      </c>
      <c r="T430" s="5" t="s">
        <v>73</v>
      </c>
      <c r="U430" s="5">
        <v>5</v>
      </c>
      <c r="V430" s="5" t="s">
        <v>35</v>
      </c>
    </row>
    <row r="431" spans="1:22" x14ac:dyDescent="0.3">
      <c r="A431" s="5" t="s">
        <v>922</v>
      </c>
      <c r="B431" s="6">
        <v>46105</v>
      </c>
      <c r="C431" s="5" t="s">
        <v>454</v>
      </c>
      <c r="D431" s="5" t="s">
        <v>76</v>
      </c>
      <c r="E431" s="5" t="s">
        <v>126</v>
      </c>
      <c r="F431" s="5" t="s">
        <v>126</v>
      </c>
      <c r="G431" s="5" t="s">
        <v>51</v>
      </c>
      <c r="H431" s="5" t="s">
        <v>168</v>
      </c>
      <c r="I431" s="5" t="s">
        <v>169</v>
      </c>
      <c r="J431" s="5" t="s">
        <v>102</v>
      </c>
      <c r="K431" s="5" t="s">
        <v>103</v>
      </c>
      <c r="L431" s="5">
        <v>1</v>
      </c>
      <c r="M431" s="5">
        <v>57658</v>
      </c>
      <c r="N431" s="5">
        <v>5</v>
      </c>
      <c r="O431" s="5">
        <v>54775.1</v>
      </c>
      <c r="P431" s="5">
        <v>44406.28</v>
      </c>
      <c r="Q431" s="5">
        <v>10368.82</v>
      </c>
      <c r="R431" s="5" t="s">
        <v>44</v>
      </c>
      <c r="S431" s="5" t="s">
        <v>82</v>
      </c>
      <c r="T431" s="5" t="s">
        <v>34</v>
      </c>
      <c r="U431" s="5">
        <v>5</v>
      </c>
      <c r="V431" s="5" t="s">
        <v>45</v>
      </c>
    </row>
    <row r="432" spans="1:22" x14ac:dyDescent="0.3">
      <c r="A432" s="5" t="s">
        <v>923</v>
      </c>
      <c r="B432" s="6">
        <v>46077</v>
      </c>
      <c r="C432" s="5" t="s">
        <v>490</v>
      </c>
      <c r="D432" s="5" t="s">
        <v>68</v>
      </c>
      <c r="E432" s="5" t="s">
        <v>77</v>
      </c>
      <c r="F432" s="5" t="s">
        <v>78</v>
      </c>
      <c r="G432" s="5" t="s">
        <v>41</v>
      </c>
      <c r="H432" s="5" t="s">
        <v>440</v>
      </c>
      <c r="I432" s="5" t="s">
        <v>441</v>
      </c>
      <c r="J432" s="5" t="s">
        <v>30</v>
      </c>
      <c r="K432" s="5" t="s">
        <v>31</v>
      </c>
      <c r="L432" s="5">
        <v>3</v>
      </c>
      <c r="M432" s="5">
        <v>27805</v>
      </c>
      <c r="N432" s="5">
        <v>0</v>
      </c>
      <c r="O432" s="5">
        <v>83415</v>
      </c>
      <c r="P432" s="5">
        <v>47690.27</v>
      </c>
      <c r="Q432" s="5">
        <v>35724.730000000003</v>
      </c>
      <c r="R432" s="5" t="s">
        <v>32</v>
      </c>
      <c r="S432" s="5" t="s">
        <v>33</v>
      </c>
      <c r="T432" s="5" t="s">
        <v>34</v>
      </c>
      <c r="U432" s="5">
        <v>2</v>
      </c>
      <c r="V432" s="5" t="s">
        <v>35</v>
      </c>
    </row>
    <row r="433" spans="1:22" x14ac:dyDescent="0.3">
      <c r="A433" s="5" t="s">
        <v>924</v>
      </c>
      <c r="B433" s="6">
        <v>46133</v>
      </c>
      <c r="C433" s="5" t="s">
        <v>522</v>
      </c>
      <c r="D433" s="5" t="s">
        <v>68</v>
      </c>
      <c r="E433" s="5" t="s">
        <v>59</v>
      </c>
      <c r="F433" s="5" t="s">
        <v>60</v>
      </c>
      <c r="G433" s="5" t="s">
        <v>61</v>
      </c>
      <c r="H433" s="5" t="s">
        <v>172</v>
      </c>
      <c r="I433" s="5" t="s">
        <v>173</v>
      </c>
      <c r="J433" s="5" t="s">
        <v>54</v>
      </c>
      <c r="K433" s="5" t="s">
        <v>97</v>
      </c>
      <c r="L433" s="5">
        <v>5</v>
      </c>
      <c r="M433" s="5">
        <v>43732</v>
      </c>
      <c r="N433" s="5">
        <v>5</v>
      </c>
      <c r="O433" s="5">
        <v>207727</v>
      </c>
      <c r="P433" s="5">
        <v>124636.24</v>
      </c>
      <c r="Q433" s="5">
        <v>83090.759999999995</v>
      </c>
      <c r="R433" s="5" t="s">
        <v>64</v>
      </c>
      <c r="S433" s="5" t="s">
        <v>33</v>
      </c>
      <c r="T433" s="5" t="s">
        <v>73</v>
      </c>
      <c r="U433" s="5">
        <v>3</v>
      </c>
      <c r="V433" s="5" t="s">
        <v>45</v>
      </c>
    </row>
    <row r="434" spans="1:22" x14ac:dyDescent="0.3">
      <c r="A434" s="5" t="s">
        <v>925</v>
      </c>
      <c r="B434" s="6">
        <v>46064</v>
      </c>
      <c r="C434" s="5" t="s">
        <v>473</v>
      </c>
      <c r="D434" s="5" t="s">
        <v>76</v>
      </c>
      <c r="E434" s="5" t="s">
        <v>25</v>
      </c>
      <c r="F434" s="5" t="s">
        <v>26</v>
      </c>
      <c r="G434" s="5" t="s">
        <v>27</v>
      </c>
      <c r="H434" s="5" t="s">
        <v>678</v>
      </c>
      <c r="I434" s="5" t="s">
        <v>679</v>
      </c>
      <c r="J434" s="5" t="s">
        <v>54</v>
      </c>
      <c r="K434" s="5" t="s">
        <v>55</v>
      </c>
      <c r="L434" s="5">
        <v>2</v>
      </c>
      <c r="M434" s="5">
        <v>66270</v>
      </c>
      <c r="N434" s="5">
        <v>15</v>
      </c>
      <c r="O434" s="5">
        <v>112659</v>
      </c>
      <c r="P434" s="5">
        <v>89142.33</v>
      </c>
      <c r="Q434" s="5">
        <v>23516.67</v>
      </c>
      <c r="R434" s="5" t="s">
        <v>32</v>
      </c>
      <c r="S434" s="5" t="s">
        <v>33</v>
      </c>
      <c r="T434" s="5" t="s">
        <v>34</v>
      </c>
      <c r="U434" s="5">
        <v>2</v>
      </c>
      <c r="V434" s="5" t="s">
        <v>45</v>
      </c>
    </row>
    <row r="435" spans="1:22" x14ac:dyDescent="0.3">
      <c r="A435" s="5" t="s">
        <v>926</v>
      </c>
      <c r="B435" s="6">
        <v>46108</v>
      </c>
      <c r="C435" s="5" t="s">
        <v>337</v>
      </c>
      <c r="D435" s="5" t="s">
        <v>48</v>
      </c>
      <c r="E435" s="5" t="s">
        <v>59</v>
      </c>
      <c r="F435" s="5" t="s">
        <v>60</v>
      </c>
      <c r="G435" s="5" t="s">
        <v>61</v>
      </c>
      <c r="H435" s="5" t="s">
        <v>762</v>
      </c>
      <c r="I435" s="5" t="s">
        <v>763</v>
      </c>
      <c r="J435" s="5" t="s">
        <v>54</v>
      </c>
      <c r="K435" s="5" t="s">
        <v>55</v>
      </c>
      <c r="L435" s="5">
        <v>2</v>
      </c>
      <c r="M435" s="5">
        <v>63437</v>
      </c>
      <c r="N435" s="5">
        <v>5</v>
      </c>
      <c r="O435" s="5">
        <v>120530.3</v>
      </c>
      <c r="P435" s="5">
        <v>79599.5</v>
      </c>
      <c r="Q435" s="5">
        <v>40930.800000000003</v>
      </c>
      <c r="R435" s="5" t="s">
        <v>32</v>
      </c>
      <c r="S435" s="5" t="s">
        <v>33</v>
      </c>
      <c r="T435" s="5" t="s">
        <v>34</v>
      </c>
      <c r="U435" s="5">
        <v>4</v>
      </c>
      <c r="V435" s="5" t="s">
        <v>35</v>
      </c>
    </row>
    <row r="436" spans="1:22" x14ac:dyDescent="0.3">
      <c r="A436" s="5" t="s">
        <v>927</v>
      </c>
      <c r="B436" s="6">
        <v>46113</v>
      </c>
      <c r="C436" s="5" t="s">
        <v>917</v>
      </c>
      <c r="D436" s="5" t="s">
        <v>68</v>
      </c>
      <c r="E436" s="5" t="s">
        <v>59</v>
      </c>
      <c r="F436" s="5" t="s">
        <v>60</v>
      </c>
      <c r="G436" s="5" t="s">
        <v>61</v>
      </c>
      <c r="H436" s="5" t="s">
        <v>164</v>
      </c>
      <c r="I436" s="5" t="s">
        <v>165</v>
      </c>
      <c r="J436" s="5" t="s">
        <v>102</v>
      </c>
      <c r="K436" s="5" t="s">
        <v>103</v>
      </c>
      <c r="L436" s="5">
        <v>3</v>
      </c>
      <c r="M436" s="5">
        <v>11851</v>
      </c>
      <c r="N436" s="5">
        <v>15</v>
      </c>
      <c r="O436" s="5">
        <v>30220.05</v>
      </c>
      <c r="P436" s="5">
        <v>25267.3</v>
      </c>
      <c r="Q436" s="5">
        <v>4952.75</v>
      </c>
      <c r="R436" s="5" t="s">
        <v>64</v>
      </c>
      <c r="S436" s="5" t="s">
        <v>82</v>
      </c>
      <c r="T436" s="5" t="s">
        <v>65</v>
      </c>
      <c r="U436" s="5">
        <v>2</v>
      </c>
      <c r="V436" s="5" t="s">
        <v>35</v>
      </c>
    </row>
    <row r="437" spans="1:22" x14ac:dyDescent="0.3">
      <c r="A437" s="5" t="s">
        <v>928</v>
      </c>
      <c r="B437" s="6">
        <v>46069</v>
      </c>
      <c r="C437" s="5" t="s">
        <v>617</v>
      </c>
      <c r="D437" s="5" t="s">
        <v>76</v>
      </c>
      <c r="E437" s="5" t="s">
        <v>39</v>
      </c>
      <c r="F437" s="5" t="s">
        <v>40</v>
      </c>
      <c r="G437" s="5" t="s">
        <v>41</v>
      </c>
      <c r="H437" s="5" t="s">
        <v>141</v>
      </c>
      <c r="I437" s="5" t="s">
        <v>142</v>
      </c>
      <c r="J437" s="5" t="s">
        <v>71</v>
      </c>
      <c r="K437" s="5" t="s">
        <v>81</v>
      </c>
      <c r="L437" s="5">
        <v>5</v>
      </c>
      <c r="M437" s="5">
        <v>17643</v>
      </c>
      <c r="N437" s="5">
        <v>10</v>
      </c>
      <c r="O437" s="5">
        <v>79393.5</v>
      </c>
      <c r="P437" s="5">
        <v>60547.76</v>
      </c>
      <c r="Q437" s="5">
        <v>18845.740000000002</v>
      </c>
      <c r="R437" s="5" t="s">
        <v>64</v>
      </c>
      <c r="S437" s="5" t="s">
        <v>82</v>
      </c>
      <c r="T437" s="5" t="s">
        <v>34</v>
      </c>
      <c r="U437" s="5">
        <v>2</v>
      </c>
      <c r="V437" s="5" t="s">
        <v>45</v>
      </c>
    </row>
    <row r="438" spans="1:22" x14ac:dyDescent="0.3">
      <c r="A438" s="5" t="s">
        <v>929</v>
      </c>
      <c r="B438" s="6">
        <v>46122</v>
      </c>
      <c r="C438" s="5" t="s">
        <v>223</v>
      </c>
      <c r="D438" s="5" t="s">
        <v>68</v>
      </c>
      <c r="E438" s="5" t="s">
        <v>39</v>
      </c>
      <c r="F438" s="5" t="s">
        <v>40</v>
      </c>
      <c r="G438" s="5" t="s">
        <v>41</v>
      </c>
      <c r="H438" s="5" t="s">
        <v>131</v>
      </c>
      <c r="I438" s="5" t="s">
        <v>132</v>
      </c>
      <c r="J438" s="5" t="s">
        <v>71</v>
      </c>
      <c r="K438" s="5" t="s">
        <v>81</v>
      </c>
      <c r="L438" s="5">
        <v>2</v>
      </c>
      <c r="M438" s="5">
        <v>30921</v>
      </c>
      <c r="N438" s="5">
        <v>5</v>
      </c>
      <c r="O438" s="5">
        <v>58749.9</v>
      </c>
      <c r="P438" s="5">
        <v>37046.46</v>
      </c>
      <c r="Q438" s="5">
        <v>21703.439999999999</v>
      </c>
      <c r="R438" s="5" t="s">
        <v>32</v>
      </c>
      <c r="S438" s="5" t="s">
        <v>82</v>
      </c>
      <c r="T438" s="5" t="s">
        <v>73</v>
      </c>
      <c r="U438" s="5">
        <v>3</v>
      </c>
      <c r="V438" s="5" t="s">
        <v>45</v>
      </c>
    </row>
    <row r="439" spans="1:22" x14ac:dyDescent="0.3">
      <c r="A439" s="5" t="s">
        <v>930</v>
      </c>
      <c r="B439" s="6">
        <v>46131</v>
      </c>
      <c r="C439" s="5" t="s">
        <v>192</v>
      </c>
      <c r="D439" s="5" t="s">
        <v>151</v>
      </c>
      <c r="E439" s="5" t="s">
        <v>77</v>
      </c>
      <c r="F439" s="5" t="s">
        <v>78</v>
      </c>
      <c r="G439" s="5" t="s">
        <v>41</v>
      </c>
      <c r="H439" s="5" t="s">
        <v>85</v>
      </c>
      <c r="I439" s="5" t="s">
        <v>86</v>
      </c>
      <c r="J439" s="5" t="s">
        <v>71</v>
      </c>
      <c r="K439" s="5" t="s">
        <v>72</v>
      </c>
      <c r="L439" s="5">
        <v>4</v>
      </c>
      <c r="M439" s="5">
        <v>6437</v>
      </c>
      <c r="N439" s="5">
        <v>5</v>
      </c>
      <c r="O439" s="5">
        <v>24460.6</v>
      </c>
      <c r="P439" s="5">
        <v>18008.23</v>
      </c>
      <c r="Q439" s="5">
        <v>6452.37</v>
      </c>
      <c r="R439" s="5" t="s">
        <v>32</v>
      </c>
      <c r="S439" s="5" t="s">
        <v>33</v>
      </c>
      <c r="T439" s="5" t="s">
        <v>65</v>
      </c>
      <c r="U439" s="5">
        <v>4</v>
      </c>
      <c r="V439" s="5" t="s">
        <v>35</v>
      </c>
    </row>
    <row r="440" spans="1:22" x14ac:dyDescent="0.3">
      <c r="A440" s="5" t="s">
        <v>931</v>
      </c>
      <c r="B440" s="6">
        <v>46024</v>
      </c>
      <c r="C440" s="5" t="s">
        <v>140</v>
      </c>
      <c r="D440" s="5" t="s">
        <v>68</v>
      </c>
      <c r="E440" s="5" t="s">
        <v>59</v>
      </c>
      <c r="F440" s="5" t="s">
        <v>60</v>
      </c>
      <c r="G440" s="5" t="s">
        <v>61</v>
      </c>
      <c r="H440" s="5" t="s">
        <v>265</v>
      </c>
      <c r="I440" s="5" t="s">
        <v>266</v>
      </c>
      <c r="J440" s="5" t="s">
        <v>71</v>
      </c>
      <c r="K440" s="5" t="s">
        <v>81</v>
      </c>
      <c r="L440" s="5">
        <v>3</v>
      </c>
      <c r="M440" s="5">
        <v>70738</v>
      </c>
      <c r="N440" s="5">
        <v>0</v>
      </c>
      <c r="O440" s="5">
        <v>212214</v>
      </c>
      <c r="P440" s="5">
        <v>134128.39000000001</v>
      </c>
      <c r="Q440" s="5">
        <v>78085.61</v>
      </c>
      <c r="R440" s="5" t="s">
        <v>64</v>
      </c>
      <c r="S440" s="5" t="s">
        <v>33</v>
      </c>
      <c r="T440" s="5" t="s">
        <v>65</v>
      </c>
      <c r="U440" s="5">
        <v>2</v>
      </c>
      <c r="V440" s="5" t="s">
        <v>35</v>
      </c>
    </row>
    <row r="441" spans="1:22" x14ac:dyDescent="0.3">
      <c r="A441" s="5" t="s">
        <v>932</v>
      </c>
      <c r="B441" s="6">
        <v>46110</v>
      </c>
      <c r="C441" s="5" t="s">
        <v>725</v>
      </c>
      <c r="D441" s="5" t="s">
        <v>117</v>
      </c>
      <c r="E441" s="5" t="s">
        <v>25</v>
      </c>
      <c r="F441" s="5" t="s">
        <v>26</v>
      </c>
      <c r="G441" s="5" t="s">
        <v>27</v>
      </c>
      <c r="H441" s="5" t="s">
        <v>479</v>
      </c>
      <c r="I441" s="5" t="s">
        <v>480</v>
      </c>
      <c r="J441" s="5" t="s">
        <v>71</v>
      </c>
      <c r="K441" s="5" t="s">
        <v>72</v>
      </c>
      <c r="L441" s="5">
        <v>5</v>
      </c>
      <c r="M441" s="5">
        <v>76345</v>
      </c>
      <c r="N441" s="5">
        <v>20</v>
      </c>
      <c r="O441" s="5">
        <v>305380</v>
      </c>
      <c r="P441" s="5">
        <v>245202.36</v>
      </c>
      <c r="Q441" s="5">
        <v>60177.64</v>
      </c>
      <c r="R441" s="5" t="s">
        <v>64</v>
      </c>
      <c r="S441" s="5" t="s">
        <v>33</v>
      </c>
      <c r="T441" s="5" t="s">
        <v>73</v>
      </c>
      <c r="U441" s="5">
        <v>4</v>
      </c>
      <c r="V441" s="5" t="s">
        <v>45</v>
      </c>
    </row>
    <row r="442" spans="1:22" x14ac:dyDescent="0.3">
      <c r="A442" s="5" t="s">
        <v>933</v>
      </c>
      <c r="B442" s="6">
        <v>46154</v>
      </c>
      <c r="C442" s="5" t="s">
        <v>187</v>
      </c>
      <c r="D442" s="5" t="s">
        <v>110</v>
      </c>
      <c r="E442" s="5" t="s">
        <v>39</v>
      </c>
      <c r="F442" s="5" t="s">
        <v>40</v>
      </c>
      <c r="G442" s="5" t="s">
        <v>41</v>
      </c>
      <c r="H442" s="5" t="s">
        <v>312</v>
      </c>
      <c r="I442" s="5" t="s">
        <v>313</v>
      </c>
      <c r="J442" s="5" t="s">
        <v>54</v>
      </c>
      <c r="K442" s="5" t="s">
        <v>97</v>
      </c>
      <c r="L442" s="5">
        <v>3</v>
      </c>
      <c r="M442" s="5">
        <v>29300</v>
      </c>
      <c r="N442" s="5">
        <v>5</v>
      </c>
      <c r="O442" s="5">
        <v>83505</v>
      </c>
      <c r="P442" s="5">
        <v>54077.68</v>
      </c>
      <c r="Q442" s="5">
        <v>29427.32</v>
      </c>
      <c r="R442" s="5" t="s">
        <v>44</v>
      </c>
      <c r="S442" s="5" t="s">
        <v>33</v>
      </c>
      <c r="T442" s="5" t="s">
        <v>34</v>
      </c>
      <c r="U442" s="5">
        <v>2</v>
      </c>
      <c r="V442" s="5" t="s">
        <v>35</v>
      </c>
    </row>
    <row r="443" spans="1:22" x14ac:dyDescent="0.3">
      <c r="A443" s="5" t="s">
        <v>934</v>
      </c>
      <c r="B443" s="6">
        <v>46143</v>
      </c>
      <c r="C443" s="5" t="s">
        <v>720</v>
      </c>
      <c r="D443" s="5" t="s">
        <v>68</v>
      </c>
      <c r="E443" s="5" t="s">
        <v>94</v>
      </c>
      <c r="F443" s="5" t="s">
        <v>26</v>
      </c>
      <c r="G443" s="5" t="s">
        <v>27</v>
      </c>
      <c r="H443" s="5" t="s">
        <v>277</v>
      </c>
      <c r="I443" s="5" t="s">
        <v>278</v>
      </c>
      <c r="J443" s="5" t="s">
        <v>71</v>
      </c>
      <c r="K443" s="5" t="s">
        <v>81</v>
      </c>
      <c r="L443" s="5">
        <v>5</v>
      </c>
      <c r="M443" s="5">
        <v>37540</v>
      </c>
      <c r="N443" s="5">
        <v>15</v>
      </c>
      <c r="O443" s="5">
        <v>159545</v>
      </c>
      <c r="P443" s="5">
        <v>134069.29999999999</v>
      </c>
      <c r="Q443" s="5">
        <v>25475.7</v>
      </c>
      <c r="R443" s="5" t="s">
        <v>44</v>
      </c>
      <c r="S443" s="5" t="s">
        <v>33</v>
      </c>
      <c r="T443" s="5" t="s">
        <v>34</v>
      </c>
      <c r="U443" s="5">
        <v>3</v>
      </c>
      <c r="V443" s="5" t="s">
        <v>45</v>
      </c>
    </row>
    <row r="444" spans="1:22" x14ac:dyDescent="0.3">
      <c r="A444" s="5" t="s">
        <v>935</v>
      </c>
      <c r="B444" s="6">
        <v>46026</v>
      </c>
      <c r="C444" s="5" t="s">
        <v>705</v>
      </c>
      <c r="D444" s="5" t="s">
        <v>76</v>
      </c>
      <c r="E444" s="5" t="s">
        <v>25</v>
      </c>
      <c r="F444" s="5" t="s">
        <v>26</v>
      </c>
      <c r="G444" s="5" t="s">
        <v>27</v>
      </c>
      <c r="H444" s="5" t="s">
        <v>367</v>
      </c>
      <c r="I444" s="5" t="s">
        <v>368</v>
      </c>
      <c r="J444" s="5" t="s">
        <v>71</v>
      </c>
      <c r="K444" s="5" t="s">
        <v>72</v>
      </c>
      <c r="L444" s="5">
        <v>3</v>
      </c>
      <c r="M444" s="5">
        <v>30486</v>
      </c>
      <c r="N444" s="5">
        <v>10</v>
      </c>
      <c r="O444" s="5">
        <v>82312.2</v>
      </c>
      <c r="P444" s="5">
        <v>52036.4</v>
      </c>
      <c r="Q444" s="5">
        <v>30275.8</v>
      </c>
      <c r="R444" s="5" t="s">
        <v>64</v>
      </c>
      <c r="S444" s="5" t="s">
        <v>82</v>
      </c>
      <c r="T444" s="5" t="s">
        <v>34</v>
      </c>
      <c r="U444" s="5">
        <v>3</v>
      </c>
      <c r="V444" s="5" t="s">
        <v>45</v>
      </c>
    </row>
    <row r="445" spans="1:22" x14ac:dyDescent="0.3">
      <c r="A445" s="5" t="s">
        <v>936</v>
      </c>
      <c r="B445" s="6">
        <v>46136</v>
      </c>
      <c r="C445" s="5" t="s">
        <v>807</v>
      </c>
      <c r="D445" s="5" t="s">
        <v>24</v>
      </c>
      <c r="E445" s="5" t="s">
        <v>39</v>
      </c>
      <c r="F445" s="5" t="s">
        <v>40</v>
      </c>
      <c r="G445" s="5" t="s">
        <v>41</v>
      </c>
      <c r="H445" s="5" t="s">
        <v>338</v>
      </c>
      <c r="I445" s="5" t="s">
        <v>339</v>
      </c>
      <c r="J445" s="5" t="s">
        <v>54</v>
      </c>
      <c r="K445" s="5" t="s">
        <v>97</v>
      </c>
      <c r="L445" s="5">
        <v>5</v>
      </c>
      <c r="M445" s="5">
        <v>58841</v>
      </c>
      <c r="N445" s="5">
        <v>20</v>
      </c>
      <c r="O445" s="5">
        <v>235364</v>
      </c>
      <c r="P445" s="5">
        <v>169898.36</v>
      </c>
      <c r="Q445" s="5">
        <v>65465.64</v>
      </c>
      <c r="R445" s="5" t="s">
        <v>64</v>
      </c>
      <c r="S445" s="5" t="s">
        <v>82</v>
      </c>
      <c r="T445" s="5" t="s">
        <v>34</v>
      </c>
      <c r="U445" s="5">
        <v>3</v>
      </c>
      <c r="V445" s="5" t="s">
        <v>35</v>
      </c>
    </row>
    <row r="446" spans="1:22" x14ac:dyDescent="0.3">
      <c r="A446" s="5" t="s">
        <v>937</v>
      </c>
      <c r="B446" s="6">
        <v>46154</v>
      </c>
      <c r="C446" s="5" t="s">
        <v>590</v>
      </c>
      <c r="D446" s="5" t="s">
        <v>110</v>
      </c>
      <c r="E446" s="5" t="s">
        <v>25</v>
      </c>
      <c r="F446" s="5" t="s">
        <v>26</v>
      </c>
      <c r="G446" s="5" t="s">
        <v>27</v>
      </c>
      <c r="H446" s="5" t="s">
        <v>759</v>
      </c>
      <c r="I446" s="5" t="s">
        <v>760</v>
      </c>
      <c r="J446" s="5" t="s">
        <v>71</v>
      </c>
      <c r="K446" s="5" t="s">
        <v>72</v>
      </c>
      <c r="L446" s="5">
        <v>3</v>
      </c>
      <c r="M446" s="5">
        <v>21721</v>
      </c>
      <c r="N446" s="5">
        <v>10</v>
      </c>
      <c r="O446" s="5">
        <v>58646.7</v>
      </c>
      <c r="P446" s="5">
        <v>39396.300000000003</v>
      </c>
      <c r="Q446" s="5">
        <v>19250.400000000001</v>
      </c>
      <c r="R446" s="5" t="s">
        <v>64</v>
      </c>
      <c r="S446" s="5" t="s">
        <v>33</v>
      </c>
      <c r="T446" s="5" t="s">
        <v>34</v>
      </c>
      <c r="U446" s="5">
        <v>1</v>
      </c>
      <c r="V446" s="5" t="s">
        <v>35</v>
      </c>
    </row>
    <row r="447" spans="1:22" x14ac:dyDescent="0.3">
      <c r="A447" s="5" t="s">
        <v>938</v>
      </c>
      <c r="B447" s="6">
        <v>46057</v>
      </c>
      <c r="C447" s="5" t="s">
        <v>939</v>
      </c>
      <c r="D447" s="5" t="s">
        <v>151</v>
      </c>
      <c r="E447" s="5" t="s">
        <v>94</v>
      </c>
      <c r="F447" s="5" t="s">
        <v>26</v>
      </c>
      <c r="G447" s="5" t="s">
        <v>27</v>
      </c>
      <c r="H447" s="5" t="s">
        <v>253</v>
      </c>
      <c r="I447" s="5" t="s">
        <v>254</v>
      </c>
      <c r="J447" s="5" t="s">
        <v>54</v>
      </c>
      <c r="K447" s="5" t="s">
        <v>55</v>
      </c>
      <c r="L447" s="5">
        <v>5</v>
      </c>
      <c r="M447" s="5">
        <v>57153</v>
      </c>
      <c r="N447" s="5">
        <v>0</v>
      </c>
      <c r="O447" s="5">
        <v>285765</v>
      </c>
      <c r="P447" s="5">
        <v>157759.23000000001</v>
      </c>
      <c r="Q447" s="5">
        <v>128005.77</v>
      </c>
      <c r="R447" s="5" t="s">
        <v>44</v>
      </c>
      <c r="S447" s="5" t="s">
        <v>82</v>
      </c>
      <c r="T447" s="5" t="s">
        <v>34</v>
      </c>
      <c r="U447" s="5">
        <v>5</v>
      </c>
      <c r="V447" s="5" t="s">
        <v>35</v>
      </c>
    </row>
    <row r="448" spans="1:22" x14ac:dyDescent="0.3">
      <c r="A448" s="5" t="s">
        <v>940</v>
      </c>
      <c r="B448" s="6">
        <v>46167</v>
      </c>
      <c r="C448" s="5" t="s">
        <v>941</v>
      </c>
      <c r="D448" s="5" t="s">
        <v>68</v>
      </c>
      <c r="E448" s="5" t="s">
        <v>39</v>
      </c>
      <c r="F448" s="5" t="s">
        <v>40</v>
      </c>
      <c r="G448" s="5" t="s">
        <v>41</v>
      </c>
      <c r="H448" s="5" t="s">
        <v>735</v>
      </c>
      <c r="I448" s="5" t="s">
        <v>736</v>
      </c>
      <c r="J448" s="5" t="s">
        <v>54</v>
      </c>
      <c r="K448" s="5" t="s">
        <v>97</v>
      </c>
      <c r="L448" s="5">
        <v>4</v>
      </c>
      <c r="M448" s="5">
        <v>31192</v>
      </c>
      <c r="N448" s="5">
        <v>10</v>
      </c>
      <c r="O448" s="5">
        <v>112291.2</v>
      </c>
      <c r="P448" s="5">
        <v>80888.289999999994</v>
      </c>
      <c r="Q448" s="5">
        <v>31402.91</v>
      </c>
      <c r="R448" s="5" t="s">
        <v>44</v>
      </c>
      <c r="S448" s="5" t="s">
        <v>82</v>
      </c>
      <c r="T448" s="5" t="s">
        <v>34</v>
      </c>
      <c r="U448" s="5">
        <v>2</v>
      </c>
      <c r="V448" s="5" t="s">
        <v>35</v>
      </c>
    </row>
    <row r="449" spans="1:22" x14ac:dyDescent="0.3">
      <c r="A449" s="5" t="s">
        <v>942</v>
      </c>
      <c r="B449" s="6">
        <v>46139</v>
      </c>
      <c r="C449" s="5" t="s">
        <v>248</v>
      </c>
      <c r="D449" s="5" t="s">
        <v>110</v>
      </c>
      <c r="E449" s="5" t="s">
        <v>126</v>
      </c>
      <c r="F449" s="5" t="s">
        <v>126</v>
      </c>
      <c r="G449" s="5" t="s">
        <v>51</v>
      </c>
      <c r="H449" s="5" t="s">
        <v>127</v>
      </c>
      <c r="I449" s="5" t="s">
        <v>128</v>
      </c>
      <c r="J449" s="5" t="s">
        <v>102</v>
      </c>
      <c r="K449" s="5" t="s">
        <v>103</v>
      </c>
      <c r="L449" s="5">
        <v>1</v>
      </c>
      <c r="M449" s="5">
        <v>6540</v>
      </c>
      <c r="N449" s="5">
        <v>20</v>
      </c>
      <c r="O449" s="5">
        <v>5232</v>
      </c>
      <c r="P449" s="5">
        <v>3853.82</v>
      </c>
      <c r="Q449" s="5">
        <v>1378.18</v>
      </c>
      <c r="R449" s="5" t="s">
        <v>44</v>
      </c>
      <c r="S449" s="5" t="s">
        <v>33</v>
      </c>
      <c r="T449" s="5" t="s">
        <v>73</v>
      </c>
      <c r="U449" s="5">
        <v>3</v>
      </c>
      <c r="V449" s="5" t="s">
        <v>45</v>
      </c>
    </row>
    <row r="450" spans="1:22" x14ac:dyDescent="0.3">
      <c r="A450" s="5" t="s">
        <v>943</v>
      </c>
      <c r="B450" s="6">
        <v>46040</v>
      </c>
      <c r="C450" s="5" t="s">
        <v>536</v>
      </c>
      <c r="D450" s="5" t="s">
        <v>68</v>
      </c>
      <c r="E450" s="5" t="s">
        <v>25</v>
      </c>
      <c r="F450" s="5" t="s">
        <v>26</v>
      </c>
      <c r="G450" s="5" t="s">
        <v>27</v>
      </c>
      <c r="H450" s="5" t="s">
        <v>253</v>
      </c>
      <c r="I450" s="5" t="s">
        <v>254</v>
      </c>
      <c r="J450" s="5" t="s">
        <v>54</v>
      </c>
      <c r="K450" s="5" t="s">
        <v>55</v>
      </c>
      <c r="L450" s="5">
        <v>3</v>
      </c>
      <c r="M450" s="5">
        <v>71684</v>
      </c>
      <c r="N450" s="5">
        <v>15</v>
      </c>
      <c r="O450" s="5">
        <v>182794.2</v>
      </c>
      <c r="P450" s="5">
        <v>174259.89</v>
      </c>
      <c r="Q450" s="5">
        <v>8534.31</v>
      </c>
      <c r="R450" s="5" t="s">
        <v>64</v>
      </c>
      <c r="S450" s="5" t="s">
        <v>33</v>
      </c>
      <c r="T450" s="5" t="s">
        <v>34</v>
      </c>
      <c r="U450" s="5">
        <v>2</v>
      </c>
      <c r="V450" s="5" t="s">
        <v>45</v>
      </c>
    </row>
    <row r="451" spans="1:22" x14ac:dyDescent="0.3">
      <c r="A451" s="5" t="s">
        <v>944</v>
      </c>
      <c r="B451" s="6">
        <v>46184</v>
      </c>
      <c r="C451" s="5" t="s">
        <v>659</v>
      </c>
      <c r="D451" s="5" t="s">
        <v>68</v>
      </c>
      <c r="E451" s="5" t="s">
        <v>77</v>
      </c>
      <c r="F451" s="5" t="s">
        <v>78</v>
      </c>
      <c r="G451" s="5" t="s">
        <v>41</v>
      </c>
      <c r="H451" s="5" t="s">
        <v>816</v>
      </c>
      <c r="I451" s="5" t="s">
        <v>817</v>
      </c>
      <c r="J451" s="5" t="s">
        <v>54</v>
      </c>
      <c r="K451" s="5" t="s">
        <v>97</v>
      </c>
      <c r="L451" s="5">
        <v>5</v>
      </c>
      <c r="M451" s="5">
        <v>37638</v>
      </c>
      <c r="N451" s="5">
        <v>15</v>
      </c>
      <c r="O451" s="5">
        <v>159961.5</v>
      </c>
      <c r="P451" s="5">
        <v>155727.84</v>
      </c>
      <c r="Q451" s="5">
        <v>4233.66</v>
      </c>
      <c r="R451" s="5" t="s">
        <v>32</v>
      </c>
      <c r="S451" s="5" t="s">
        <v>33</v>
      </c>
      <c r="T451" s="5" t="s">
        <v>34</v>
      </c>
      <c r="U451" s="5">
        <v>2</v>
      </c>
      <c r="V451" s="5" t="s">
        <v>35</v>
      </c>
    </row>
    <row r="452" spans="1:22" x14ac:dyDescent="0.3">
      <c r="A452" s="5" t="s">
        <v>945</v>
      </c>
      <c r="B452" s="6">
        <v>46053</v>
      </c>
      <c r="C452" s="5" t="s">
        <v>631</v>
      </c>
      <c r="D452" s="5" t="s">
        <v>68</v>
      </c>
      <c r="E452" s="5" t="s">
        <v>49</v>
      </c>
      <c r="F452" s="5" t="s">
        <v>50</v>
      </c>
      <c r="G452" s="5" t="s">
        <v>51</v>
      </c>
      <c r="H452" s="5" t="s">
        <v>245</v>
      </c>
      <c r="I452" s="5" t="s">
        <v>246</v>
      </c>
      <c r="J452" s="5" t="s">
        <v>54</v>
      </c>
      <c r="K452" s="5" t="s">
        <v>97</v>
      </c>
      <c r="L452" s="5">
        <v>4</v>
      </c>
      <c r="M452" s="5">
        <v>64693</v>
      </c>
      <c r="N452" s="5">
        <v>20</v>
      </c>
      <c r="O452" s="5">
        <v>207017.60000000001</v>
      </c>
      <c r="P452" s="5">
        <v>188303.81</v>
      </c>
      <c r="Q452" s="5">
        <v>18713.79</v>
      </c>
      <c r="R452" s="5" t="s">
        <v>64</v>
      </c>
      <c r="S452" s="5" t="s">
        <v>82</v>
      </c>
      <c r="T452" s="5" t="s">
        <v>65</v>
      </c>
      <c r="U452" s="5">
        <v>4</v>
      </c>
      <c r="V452" s="5" t="s">
        <v>45</v>
      </c>
    </row>
    <row r="453" spans="1:22" x14ac:dyDescent="0.3">
      <c r="A453" s="5" t="s">
        <v>946</v>
      </c>
      <c r="B453" s="6">
        <v>46172</v>
      </c>
      <c r="C453" s="5" t="s">
        <v>347</v>
      </c>
      <c r="D453" s="5" t="s">
        <v>117</v>
      </c>
      <c r="E453" s="5" t="s">
        <v>49</v>
      </c>
      <c r="F453" s="5" t="s">
        <v>50</v>
      </c>
      <c r="G453" s="5" t="s">
        <v>51</v>
      </c>
      <c r="H453" s="5" t="s">
        <v>52</v>
      </c>
      <c r="I453" s="5" t="s">
        <v>53</v>
      </c>
      <c r="J453" s="5" t="s">
        <v>54</v>
      </c>
      <c r="K453" s="5" t="s">
        <v>55</v>
      </c>
      <c r="L453" s="5">
        <v>1</v>
      </c>
      <c r="M453" s="5">
        <v>72703</v>
      </c>
      <c r="N453" s="5">
        <v>0</v>
      </c>
      <c r="O453" s="5">
        <v>72703</v>
      </c>
      <c r="P453" s="5">
        <v>44409.16</v>
      </c>
      <c r="Q453" s="5">
        <v>28293.84</v>
      </c>
      <c r="R453" s="5" t="s">
        <v>32</v>
      </c>
      <c r="S453" s="5" t="s">
        <v>82</v>
      </c>
      <c r="T453" s="5" t="s">
        <v>65</v>
      </c>
      <c r="U453" s="5">
        <v>1</v>
      </c>
      <c r="V453" s="5" t="s">
        <v>35</v>
      </c>
    </row>
    <row r="454" spans="1:22" x14ac:dyDescent="0.3">
      <c r="A454" s="5" t="s">
        <v>947</v>
      </c>
      <c r="B454" s="6">
        <v>46023</v>
      </c>
      <c r="C454" s="5" t="s">
        <v>171</v>
      </c>
      <c r="D454" s="5" t="s">
        <v>68</v>
      </c>
      <c r="E454" s="5" t="s">
        <v>94</v>
      </c>
      <c r="F454" s="5" t="s">
        <v>26</v>
      </c>
      <c r="G454" s="5" t="s">
        <v>27</v>
      </c>
      <c r="H454" s="5" t="s">
        <v>363</v>
      </c>
      <c r="I454" s="5" t="s">
        <v>364</v>
      </c>
      <c r="J454" s="5" t="s">
        <v>54</v>
      </c>
      <c r="K454" s="5" t="s">
        <v>55</v>
      </c>
      <c r="L454" s="5">
        <v>4</v>
      </c>
      <c r="M454" s="5">
        <v>6157</v>
      </c>
      <c r="N454" s="5">
        <v>10</v>
      </c>
      <c r="O454" s="5">
        <v>22165.200000000001</v>
      </c>
      <c r="P454" s="5">
        <v>16065.75</v>
      </c>
      <c r="Q454" s="5">
        <v>6099.45</v>
      </c>
      <c r="R454" s="5" t="s">
        <v>64</v>
      </c>
      <c r="S454" s="5" t="s">
        <v>33</v>
      </c>
      <c r="T454" s="5" t="s">
        <v>65</v>
      </c>
      <c r="U454" s="5">
        <v>5</v>
      </c>
      <c r="V454" s="5" t="s">
        <v>35</v>
      </c>
    </row>
    <row r="455" spans="1:22" x14ac:dyDescent="0.3">
      <c r="A455" s="5" t="s">
        <v>948</v>
      </c>
      <c r="B455" s="6">
        <v>46045</v>
      </c>
      <c r="C455" s="5" t="s">
        <v>607</v>
      </c>
      <c r="D455" s="5" t="s">
        <v>48</v>
      </c>
      <c r="E455" s="5" t="s">
        <v>126</v>
      </c>
      <c r="F455" s="5" t="s">
        <v>126</v>
      </c>
      <c r="G455" s="5" t="s">
        <v>51</v>
      </c>
      <c r="H455" s="5" t="s">
        <v>363</v>
      </c>
      <c r="I455" s="5" t="s">
        <v>364</v>
      </c>
      <c r="J455" s="5" t="s">
        <v>54</v>
      </c>
      <c r="K455" s="5" t="s">
        <v>55</v>
      </c>
      <c r="L455" s="5">
        <v>3</v>
      </c>
      <c r="M455" s="5">
        <v>68479</v>
      </c>
      <c r="N455" s="5">
        <v>15</v>
      </c>
      <c r="O455" s="5">
        <v>174621.45</v>
      </c>
      <c r="P455" s="5">
        <v>129717.15</v>
      </c>
      <c r="Q455" s="5">
        <v>44904.3</v>
      </c>
      <c r="R455" s="5" t="s">
        <v>32</v>
      </c>
      <c r="S455" s="5" t="s">
        <v>82</v>
      </c>
      <c r="T455" s="5" t="s">
        <v>65</v>
      </c>
      <c r="U455" s="5">
        <v>2</v>
      </c>
      <c r="V455" s="5" t="s">
        <v>35</v>
      </c>
    </row>
    <row r="456" spans="1:22" x14ac:dyDescent="0.3">
      <c r="A456" s="5" t="s">
        <v>949</v>
      </c>
      <c r="B456" s="6">
        <v>46107</v>
      </c>
      <c r="C456" s="5" t="s">
        <v>790</v>
      </c>
      <c r="D456" s="5" t="s">
        <v>151</v>
      </c>
      <c r="E456" s="5" t="s">
        <v>49</v>
      </c>
      <c r="F456" s="5" t="s">
        <v>50</v>
      </c>
      <c r="G456" s="5" t="s">
        <v>51</v>
      </c>
      <c r="H456" s="5" t="s">
        <v>363</v>
      </c>
      <c r="I456" s="5" t="s">
        <v>364</v>
      </c>
      <c r="J456" s="5" t="s">
        <v>54</v>
      </c>
      <c r="K456" s="5" t="s">
        <v>55</v>
      </c>
      <c r="L456" s="5">
        <v>1</v>
      </c>
      <c r="M456" s="5">
        <v>46653</v>
      </c>
      <c r="N456" s="5">
        <v>5</v>
      </c>
      <c r="O456" s="5">
        <v>44320.35</v>
      </c>
      <c r="P456" s="5">
        <v>29679.3</v>
      </c>
      <c r="Q456" s="5">
        <v>14641.05</v>
      </c>
      <c r="R456" s="5" t="s">
        <v>32</v>
      </c>
      <c r="S456" s="5" t="s">
        <v>33</v>
      </c>
      <c r="T456" s="5" t="s">
        <v>73</v>
      </c>
      <c r="U456" s="5">
        <v>4</v>
      </c>
      <c r="V456" s="5" t="s">
        <v>35</v>
      </c>
    </row>
    <row r="457" spans="1:22" x14ac:dyDescent="0.3">
      <c r="A457" s="5" t="s">
        <v>950</v>
      </c>
      <c r="B457" s="6">
        <v>46129</v>
      </c>
      <c r="C457" s="5" t="s">
        <v>621</v>
      </c>
      <c r="D457" s="5" t="s">
        <v>151</v>
      </c>
      <c r="E457" s="5" t="s">
        <v>25</v>
      </c>
      <c r="F457" s="5" t="s">
        <v>26</v>
      </c>
      <c r="G457" s="5" t="s">
        <v>27</v>
      </c>
      <c r="H457" s="5" t="s">
        <v>374</v>
      </c>
      <c r="I457" s="5" t="s">
        <v>375</v>
      </c>
      <c r="J457" s="5" t="s">
        <v>54</v>
      </c>
      <c r="K457" s="5" t="s">
        <v>55</v>
      </c>
      <c r="L457" s="5">
        <v>2</v>
      </c>
      <c r="M457" s="5">
        <v>41895</v>
      </c>
      <c r="N457" s="5">
        <v>20</v>
      </c>
      <c r="O457" s="5">
        <v>67032</v>
      </c>
      <c r="P457" s="5">
        <v>67311.399999999994</v>
      </c>
      <c r="Q457" s="5">
        <v>-279.39999999999998</v>
      </c>
      <c r="R457" s="5" t="s">
        <v>64</v>
      </c>
      <c r="S457" s="5" t="s">
        <v>82</v>
      </c>
      <c r="T457" s="5" t="s">
        <v>73</v>
      </c>
      <c r="U457" s="5">
        <v>5</v>
      </c>
      <c r="V457" s="5" t="s">
        <v>35</v>
      </c>
    </row>
    <row r="458" spans="1:22" x14ac:dyDescent="0.3">
      <c r="A458" s="5" t="s">
        <v>951</v>
      </c>
      <c r="B458" s="6">
        <v>46170</v>
      </c>
      <c r="C458" s="5" t="s">
        <v>952</v>
      </c>
      <c r="D458" s="5" t="s">
        <v>58</v>
      </c>
      <c r="E458" s="5" t="s">
        <v>39</v>
      </c>
      <c r="F458" s="5" t="s">
        <v>40</v>
      </c>
      <c r="G458" s="5" t="s">
        <v>41</v>
      </c>
      <c r="H458" s="5" t="s">
        <v>306</v>
      </c>
      <c r="I458" s="5" t="s">
        <v>307</v>
      </c>
      <c r="J458" s="5" t="s">
        <v>71</v>
      </c>
      <c r="K458" s="5" t="s">
        <v>81</v>
      </c>
      <c r="L458" s="5">
        <v>2</v>
      </c>
      <c r="M458" s="5">
        <v>20934</v>
      </c>
      <c r="N458" s="5">
        <v>20</v>
      </c>
      <c r="O458" s="5">
        <v>33494.400000000001</v>
      </c>
      <c r="P458" s="5">
        <v>27306.1</v>
      </c>
      <c r="Q458" s="5">
        <v>6188.3</v>
      </c>
      <c r="R458" s="5" t="s">
        <v>64</v>
      </c>
      <c r="S458" s="5" t="s">
        <v>33</v>
      </c>
      <c r="T458" s="5" t="s">
        <v>65</v>
      </c>
      <c r="U458" s="5">
        <v>2</v>
      </c>
      <c r="V458" s="5" t="s">
        <v>35</v>
      </c>
    </row>
    <row r="459" spans="1:22" x14ac:dyDescent="0.3">
      <c r="A459" s="5" t="s">
        <v>953</v>
      </c>
      <c r="B459" s="6">
        <v>46149</v>
      </c>
      <c r="C459" s="5" t="s">
        <v>685</v>
      </c>
      <c r="D459" s="5" t="s">
        <v>58</v>
      </c>
      <c r="E459" s="5" t="s">
        <v>39</v>
      </c>
      <c r="F459" s="5" t="s">
        <v>40</v>
      </c>
      <c r="G459" s="5" t="s">
        <v>41</v>
      </c>
      <c r="H459" s="5" t="s">
        <v>176</v>
      </c>
      <c r="I459" s="5" t="s">
        <v>177</v>
      </c>
      <c r="J459" s="5" t="s">
        <v>54</v>
      </c>
      <c r="K459" s="5" t="s">
        <v>97</v>
      </c>
      <c r="L459" s="5">
        <v>5</v>
      </c>
      <c r="M459" s="5">
        <v>38658</v>
      </c>
      <c r="N459" s="5">
        <v>0</v>
      </c>
      <c r="O459" s="5">
        <v>193290</v>
      </c>
      <c r="P459" s="5">
        <v>157644.66</v>
      </c>
      <c r="Q459" s="5">
        <v>35645.339999999997</v>
      </c>
      <c r="R459" s="5" t="s">
        <v>64</v>
      </c>
      <c r="S459" s="5" t="s">
        <v>33</v>
      </c>
      <c r="T459" s="5" t="s">
        <v>34</v>
      </c>
      <c r="U459" s="5">
        <v>3</v>
      </c>
      <c r="V459" s="5" t="s">
        <v>35</v>
      </c>
    </row>
    <row r="460" spans="1:22" x14ac:dyDescent="0.3">
      <c r="A460" s="5" t="s">
        <v>954</v>
      </c>
      <c r="B460" s="6">
        <v>46069</v>
      </c>
      <c r="C460" s="5" t="s">
        <v>955</v>
      </c>
      <c r="D460" s="5" t="s">
        <v>58</v>
      </c>
      <c r="E460" s="5" t="s">
        <v>77</v>
      </c>
      <c r="F460" s="5" t="s">
        <v>78</v>
      </c>
      <c r="G460" s="5" t="s">
        <v>41</v>
      </c>
      <c r="H460" s="5" t="s">
        <v>759</v>
      </c>
      <c r="I460" s="5" t="s">
        <v>760</v>
      </c>
      <c r="J460" s="5" t="s">
        <v>71</v>
      </c>
      <c r="K460" s="5" t="s">
        <v>72</v>
      </c>
      <c r="L460" s="5">
        <v>3</v>
      </c>
      <c r="M460" s="5">
        <v>75459</v>
      </c>
      <c r="N460" s="5">
        <v>0</v>
      </c>
      <c r="O460" s="5">
        <v>226377</v>
      </c>
      <c r="P460" s="5">
        <v>151656.26</v>
      </c>
      <c r="Q460" s="5">
        <v>74720.740000000005</v>
      </c>
      <c r="R460" s="5" t="s">
        <v>64</v>
      </c>
      <c r="S460" s="5" t="s">
        <v>33</v>
      </c>
      <c r="T460" s="5" t="s">
        <v>34</v>
      </c>
      <c r="U460" s="5">
        <v>5</v>
      </c>
      <c r="V460" s="5" t="s">
        <v>45</v>
      </c>
    </row>
    <row r="461" spans="1:22" x14ac:dyDescent="0.3">
      <c r="A461" s="5" t="s">
        <v>956</v>
      </c>
      <c r="B461" s="6">
        <v>46101</v>
      </c>
      <c r="C461" s="5" t="s">
        <v>549</v>
      </c>
      <c r="D461" s="5" t="s">
        <v>58</v>
      </c>
      <c r="E461" s="5" t="s">
        <v>39</v>
      </c>
      <c r="F461" s="5" t="s">
        <v>40</v>
      </c>
      <c r="G461" s="5" t="s">
        <v>41</v>
      </c>
      <c r="H461" s="5" t="s">
        <v>52</v>
      </c>
      <c r="I461" s="5" t="s">
        <v>53</v>
      </c>
      <c r="J461" s="5" t="s">
        <v>54</v>
      </c>
      <c r="K461" s="5" t="s">
        <v>55</v>
      </c>
      <c r="L461" s="5">
        <v>5</v>
      </c>
      <c r="M461" s="5">
        <v>73085</v>
      </c>
      <c r="N461" s="5">
        <v>20</v>
      </c>
      <c r="O461" s="5">
        <v>292340</v>
      </c>
      <c r="P461" s="5">
        <v>218707.45</v>
      </c>
      <c r="Q461" s="5">
        <v>73632.55</v>
      </c>
      <c r="R461" s="5" t="s">
        <v>64</v>
      </c>
      <c r="S461" s="5" t="s">
        <v>82</v>
      </c>
      <c r="T461" s="5" t="s">
        <v>65</v>
      </c>
      <c r="U461" s="5">
        <v>4</v>
      </c>
      <c r="V461" s="5" t="s">
        <v>45</v>
      </c>
    </row>
    <row r="462" spans="1:22" x14ac:dyDescent="0.3">
      <c r="A462" s="5" t="s">
        <v>957</v>
      </c>
      <c r="B462" s="6">
        <v>46140</v>
      </c>
      <c r="C462" s="5" t="s">
        <v>556</v>
      </c>
      <c r="D462" s="5" t="s">
        <v>117</v>
      </c>
      <c r="E462" s="5" t="s">
        <v>59</v>
      </c>
      <c r="F462" s="5" t="s">
        <v>60</v>
      </c>
      <c r="G462" s="5" t="s">
        <v>61</v>
      </c>
      <c r="H462" s="5" t="s">
        <v>180</v>
      </c>
      <c r="I462" s="5" t="s">
        <v>181</v>
      </c>
      <c r="J462" s="5" t="s">
        <v>54</v>
      </c>
      <c r="K462" s="5" t="s">
        <v>55</v>
      </c>
      <c r="L462" s="5">
        <v>5</v>
      </c>
      <c r="M462" s="5">
        <v>52944</v>
      </c>
      <c r="N462" s="5">
        <v>10</v>
      </c>
      <c r="O462" s="5">
        <v>238248</v>
      </c>
      <c r="P462" s="5">
        <v>199398.2</v>
      </c>
      <c r="Q462" s="5">
        <v>38849.800000000003</v>
      </c>
      <c r="R462" s="5" t="s">
        <v>32</v>
      </c>
      <c r="S462" s="5" t="s">
        <v>33</v>
      </c>
      <c r="T462" s="5" t="s">
        <v>65</v>
      </c>
      <c r="U462" s="5">
        <v>3</v>
      </c>
      <c r="V462" s="5" t="s">
        <v>45</v>
      </c>
    </row>
    <row r="463" spans="1:22" x14ac:dyDescent="0.3">
      <c r="A463" s="5" t="s">
        <v>958</v>
      </c>
      <c r="B463" s="6">
        <v>46178</v>
      </c>
      <c r="C463" s="5" t="s">
        <v>444</v>
      </c>
      <c r="D463" s="5" t="s">
        <v>89</v>
      </c>
      <c r="E463" s="5" t="s">
        <v>77</v>
      </c>
      <c r="F463" s="5" t="s">
        <v>78</v>
      </c>
      <c r="G463" s="5" t="s">
        <v>41</v>
      </c>
      <c r="H463" s="5" t="s">
        <v>172</v>
      </c>
      <c r="I463" s="5" t="s">
        <v>173</v>
      </c>
      <c r="J463" s="5" t="s">
        <v>54</v>
      </c>
      <c r="K463" s="5" t="s">
        <v>97</v>
      </c>
      <c r="L463" s="5">
        <v>2</v>
      </c>
      <c r="M463" s="5">
        <v>35306</v>
      </c>
      <c r="N463" s="5">
        <v>10</v>
      </c>
      <c r="O463" s="5">
        <v>63550.8</v>
      </c>
      <c r="P463" s="5">
        <v>49255.01</v>
      </c>
      <c r="Q463" s="5">
        <v>14295.79</v>
      </c>
      <c r="R463" s="5" t="s">
        <v>44</v>
      </c>
      <c r="S463" s="5" t="s">
        <v>82</v>
      </c>
      <c r="T463" s="5" t="s">
        <v>34</v>
      </c>
      <c r="U463" s="5">
        <v>1</v>
      </c>
      <c r="V463" s="5" t="s">
        <v>35</v>
      </c>
    </row>
    <row r="464" spans="1:22" x14ac:dyDescent="0.3">
      <c r="A464" s="5" t="s">
        <v>959</v>
      </c>
      <c r="B464" s="6">
        <v>46084</v>
      </c>
      <c r="C464" s="5" t="s">
        <v>597</v>
      </c>
      <c r="D464" s="5" t="s">
        <v>48</v>
      </c>
      <c r="E464" s="5" t="s">
        <v>126</v>
      </c>
      <c r="F464" s="5" t="s">
        <v>126</v>
      </c>
      <c r="G464" s="5" t="s">
        <v>51</v>
      </c>
      <c r="H464" s="5" t="s">
        <v>253</v>
      </c>
      <c r="I464" s="5" t="s">
        <v>254</v>
      </c>
      <c r="J464" s="5" t="s">
        <v>54</v>
      </c>
      <c r="K464" s="5" t="s">
        <v>55</v>
      </c>
      <c r="L464" s="5">
        <v>4</v>
      </c>
      <c r="M464" s="5">
        <v>78444</v>
      </c>
      <c r="N464" s="5">
        <v>10</v>
      </c>
      <c r="O464" s="5">
        <v>282398.40000000002</v>
      </c>
      <c r="P464" s="5">
        <v>220210.44</v>
      </c>
      <c r="Q464" s="5">
        <v>62187.96</v>
      </c>
      <c r="R464" s="5" t="s">
        <v>32</v>
      </c>
      <c r="S464" s="5" t="s">
        <v>82</v>
      </c>
      <c r="T464" s="5" t="s">
        <v>34</v>
      </c>
      <c r="U464" s="5">
        <v>4</v>
      </c>
      <c r="V464" s="5" t="s">
        <v>35</v>
      </c>
    </row>
    <row r="465" spans="1:22" x14ac:dyDescent="0.3">
      <c r="A465" s="5" t="s">
        <v>960</v>
      </c>
      <c r="B465" s="6">
        <v>46167</v>
      </c>
      <c r="C465" s="5" t="s">
        <v>673</v>
      </c>
      <c r="D465" s="5" t="s">
        <v>76</v>
      </c>
      <c r="E465" s="5" t="s">
        <v>126</v>
      </c>
      <c r="F465" s="5" t="s">
        <v>126</v>
      </c>
      <c r="G465" s="5" t="s">
        <v>51</v>
      </c>
      <c r="H465" s="5" t="s">
        <v>234</v>
      </c>
      <c r="I465" s="5" t="s">
        <v>235</v>
      </c>
      <c r="J465" s="5" t="s">
        <v>102</v>
      </c>
      <c r="K465" s="5" t="s">
        <v>103</v>
      </c>
      <c r="L465" s="5">
        <v>5</v>
      </c>
      <c r="M465" s="5">
        <v>58668</v>
      </c>
      <c r="N465" s="5">
        <v>20</v>
      </c>
      <c r="O465" s="5">
        <v>234672</v>
      </c>
      <c r="P465" s="5">
        <v>228881.22</v>
      </c>
      <c r="Q465" s="5">
        <v>5790.78</v>
      </c>
      <c r="R465" s="5" t="s">
        <v>64</v>
      </c>
      <c r="S465" s="5" t="s">
        <v>82</v>
      </c>
      <c r="T465" s="5" t="s">
        <v>73</v>
      </c>
      <c r="U465" s="5">
        <v>1</v>
      </c>
      <c r="V465" s="5" t="s">
        <v>35</v>
      </c>
    </row>
    <row r="466" spans="1:22" x14ac:dyDescent="0.3">
      <c r="A466" s="5" t="s">
        <v>961</v>
      </c>
      <c r="B466" s="6">
        <v>46130</v>
      </c>
      <c r="C466" s="5" t="s">
        <v>962</v>
      </c>
      <c r="D466" s="5" t="s">
        <v>89</v>
      </c>
      <c r="E466" s="5" t="s">
        <v>25</v>
      </c>
      <c r="F466" s="5" t="s">
        <v>26</v>
      </c>
      <c r="G466" s="5" t="s">
        <v>27</v>
      </c>
      <c r="H466" s="5" t="s">
        <v>324</v>
      </c>
      <c r="I466" s="5" t="s">
        <v>325</v>
      </c>
      <c r="J466" s="5" t="s">
        <v>54</v>
      </c>
      <c r="K466" s="5" t="s">
        <v>55</v>
      </c>
      <c r="L466" s="5">
        <v>2</v>
      </c>
      <c r="M466" s="5">
        <v>55261</v>
      </c>
      <c r="N466" s="5">
        <v>5</v>
      </c>
      <c r="O466" s="5">
        <v>104995.9</v>
      </c>
      <c r="P466" s="5">
        <v>76101.179999999993</v>
      </c>
      <c r="Q466" s="5">
        <v>28894.720000000001</v>
      </c>
      <c r="R466" s="5" t="s">
        <v>44</v>
      </c>
      <c r="S466" s="5" t="s">
        <v>33</v>
      </c>
      <c r="T466" s="5" t="s">
        <v>65</v>
      </c>
      <c r="U466" s="5">
        <v>4</v>
      </c>
      <c r="V466" s="5" t="s">
        <v>35</v>
      </c>
    </row>
    <row r="467" spans="1:22" x14ac:dyDescent="0.3">
      <c r="A467" s="5" t="s">
        <v>963</v>
      </c>
      <c r="B467" s="6">
        <v>46080</v>
      </c>
      <c r="C467" s="5" t="s">
        <v>248</v>
      </c>
      <c r="D467" s="5" t="s">
        <v>89</v>
      </c>
      <c r="E467" s="5" t="s">
        <v>39</v>
      </c>
      <c r="F467" s="5" t="s">
        <v>40</v>
      </c>
      <c r="G467" s="5" t="s">
        <v>41</v>
      </c>
      <c r="H467" s="5" t="s">
        <v>147</v>
      </c>
      <c r="I467" s="5" t="s">
        <v>148</v>
      </c>
      <c r="J467" s="5" t="s">
        <v>71</v>
      </c>
      <c r="K467" s="5" t="s">
        <v>81</v>
      </c>
      <c r="L467" s="5">
        <v>2</v>
      </c>
      <c r="M467" s="5">
        <v>42978</v>
      </c>
      <c r="N467" s="5">
        <v>10</v>
      </c>
      <c r="O467" s="5">
        <v>77360.399999999994</v>
      </c>
      <c r="P467" s="5">
        <v>56463.91</v>
      </c>
      <c r="Q467" s="5">
        <v>20896.490000000002</v>
      </c>
      <c r="R467" s="5" t="s">
        <v>32</v>
      </c>
      <c r="S467" s="5" t="s">
        <v>82</v>
      </c>
      <c r="T467" s="5" t="s">
        <v>65</v>
      </c>
      <c r="U467" s="5">
        <v>3</v>
      </c>
      <c r="V467" s="5" t="s">
        <v>35</v>
      </c>
    </row>
    <row r="468" spans="1:22" x14ac:dyDescent="0.3">
      <c r="A468" s="5" t="s">
        <v>964</v>
      </c>
      <c r="B468" s="6">
        <v>46173</v>
      </c>
      <c r="C468" s="5" t="s">
        <v>538</v>
      </c>
      <c r="D468" s="5" t="s">
        <v>151</v>
      </c>
      <c r="E468" s="5" t="s">
        <v>126</v>
      </c>
      <c r="F468" s="5" t="s">
        <v>126</v>
      </c>
      <c r="G468" s="5" t="s">
        <v>51</v>
      </c>
      <c r="H468" s="5" t="s">
        <v>172</v>
      </c>
      <c r="I468" s="5" t="s">
        <v>173</v>
      </c>
      <c r="J468" s="5" t="s">
        <v>54</v>
      </c>
      <c r="K468" s="5" t="s">
        <v>97</v>
      </c>
      <c r="L468" s="5">
        <v>1</v>
      </c>
      <c r="M468" s="5">
        <v>49364</v>
      </c>
      <c r="N468" s="5">
        <v>10</v>
      </c>
      <c r="O468" s="5">
        <v>44427.6</v>
      </c>
      <c r="P468" s="5">
        <v>29883.8</v>
      </c>
      <c r="Q468" s="5">
        <v>14543.8</v>
      </c>
      <c r="R468" s="5" t="s">
        <v>64</v>
      </c>
      <c r="S468" s="5" t="s">
        <v>33</v>
      </c>
      <c r="T468" s="5" t="s">
        <v>73</v>
      </c>
      <c r="U468" s="5">
        <v>1</v>
      </c>
      <c r="V468" s="5" t="s">
        <v>35</v>
      </c>
    </row>
    <row r="469" spans="1:22" x14ac:dyDescent="0.3">
      <c r="A469" s="5" t="s">
        <v>965</v>
      </c>
      <c r="B469" s="6">
        <v>46203</v>
      </c>
      <c r="C469" s="5" t="s">
        <v>966</v>
      </c>
      <c r="D469" s="5" t="s">
        <v>38</v>
      </c>
      <c r="E469" s="5" t="s">
        <v>126</v>
      </c>
      <c r="F469" s="5" t="s">
        <v>126</v>
      </c>
      <c r="G469" s="5" t="s">
        <v>51</v>
      </c>
      <c r="H469" s="5" t="s">
        <v>338</v>
      </c>
      <c r="I469" s="5" t="s">
        <v>339</v>
      </c>
      <c r="J469" s="5" t="s">
        <v>54</v>
      </c>
      <c r="K469" s="5" t="s">
        <v>97</v>
      </c>
      <c r="L469" s="5">
        <v>4</v>
      </c>
      <c r="M469" s="5">
        <v>31991</v>
      </c>
      <c r="N469" s="5">
        <v>15</v>
      </c>
      <c r="O469" s="5">
        <v>108769.4</v>
      </c>
      <c r="P469" s="5">
        <v>71706.91</v>
      </c>
      <c r="Q469" s="5">
        <v>37062.49</v>
      </c>
      <c r="R469" s="5" t="s">
        <v>44</v>
      </c>
      <c r="S469" s="5" t="s">
        <v>33</v>
      </c>
      <c r="T469" s="5" t="s">
        <v>65</v>
      </c>
      <c r="U469" s="5">
        <v>2</v>
      </c>
      <c r="V469" s="5" t="s">
        <v>45</v>
      </c>
    </row>
    <row r="470" spans="1:22" x14ac:dyDescent="0.3">
      <c r="A470" s="5" t="s">
        <v>967</v>
      </c>
      <c r="B470" s="6">
        <v>46197</v>
      </c>
      <c r="C470" s="5" t="s">
        <v>605</v>
      </c>
      <c r="D470" s="5" t="s">
        <v>89</v>
      </c>
      <c r="E470" s="5" t="s">
        <v>126</v>
      </c>
      <c r="F470" s="5" t="s">
        <v>126</v>
      </c>
      <c r="G470" s="5" t="s">
        <v>51</v>
      </c>
      <c r="H470" s="5" t="s">
        <v>184</v>
      </c>
      <c r="I470" s="5" t="s">
        <v>185</v>
      </c>
      <c r="J470" s="5" t="s">
        <v>102</v>
      </c>
      <c r="K470" s="5" t="s">
        <v>103</v>
      </c>
      <c r="L470" s="5">
        <v>1</v>
      </c>
      <c r="M470" s="5">
        <v>20798</v>
      </c>
      <c r="N470" s="5">
        <v>0</v>
      </c>
      <c r="O470" s="5">
        <v>20798</v>
      </c>
      <c r="P470" s="5">
        <v>17363.62</v>
      </c>
      <c r="Q470" s="5">
        <v>3434.38</v>
      </c>
      <c r="R470" s="5" t="s">
        <v>44</v>
      </c>
      <c r="S470" s="5" t="s">
        <v>82</v>
      </c>
      <c r="T470" s="5" t="s">
        <v>65</v>
      </c>
      <c r="U470" s="5">
        <v>2</v>
      </c>
      <c r="V470" s="5" t="s">
        <v>45</v>
      </c>
    </row>
    <row r="471" spans="1:22" x14ac:dyDescent="0.3">
      <c r="A471" s="5" t="s">
        <v>968</v>
      </c>
      <c r="B471" s="6">
        <v>46190</v>
      </c>
      <c r="C471" s="5" t="s">
        <v>647</v>
      </c>
      <c r="D471" s="5" t="s">
        <v>151</v>
      </c>
      <c r="E471" s="5" t="s">
        <v>59</v>
      </c>
      <c r="F471" s="5" t="s">
        <v>60</v>
      </c>
      <c r="G471" s="5" t="s">
        <v>61</v>
      </c>
      <c r="H471" s="5" t="s">
        <v>156</v>
      </c>
      <c r="I471" s="5" t="s">
        <v>157</v>
      </c>
      <c r="J471" s="5" t="s">
        <v>30</v>
      </c>
      <c r="K471" s="5" t="s">
        <v>31</v>
      </c>
      <c r="L471" s="5">
        <v>3</v>
      </c>
      <c r="M471" s="5">
        <v>6540</v>
      </c>
      <c r="N471" s="5">
        <v>20</v>
      </c>
      <c r="O471" s="5">
        <v>15696</v>
      </c>
      <c r="P471" s="5">
        <v>11169.67</v>
      </c>
      <c r="Q471" s="5">
        <v>4526.33</v>
      </c>
      <c r="R471" s="5" t="s">
        <v>64</v>
      </c>
      <c r="S471" s="5" t="s">
        <v>82</v>
      </c>
      <c r="T471" s="5" t="s">
        <v>73</v>
      </c>
      <c r="U471" s="5">
        <v>1</v>
      </c>
      <c r="V471" s="5" t="s">
        <v>35</v>
      </c>
    </row>
    <row r="472" spans="1:22" x14ac:dyDescent="0.3">
      <c r="A472" s="5" t="s">
        <v>969</v>
      </c>
      <c r="B472" s="6">
        <v>46101</v>
      </c>
      <c r="C472" s="5" t="s">
        <v>545</v>
      </c>
      <c r="D472" s="5" t="s">
        <v>48</v>
      </c>
      <c r="E472" s="5" t="s">
        <v>59</v>
      </c>
      <c r="F472" s="5" t="s">
        <v>60</v>
      </c>
      <c r="G472" s="5" t="s">
        <v>61</v>
      </c>
      <c r="H472" s="5" t="s">
        <v>106</v>
      </c>
      <c r="I472" s="5" t="s">
        <v>107</v>
      </c>
      <c r="J472" s="5" t="s">
        <v>30</v>
      </c>
      <c r="K472" s="5" t="s">
        <v>31</v>
      </c>
      <c r="L472" s="5">
        <v>2</v>
      </c>
      <c r="M472" s="5">
        <v>55928</v>
      </c>
      <c r="N472" s="5">
        <v>20</v>
      </c>
      <c r="O472" s="5">
        <v>89484.800000000003</v>
      </c>
      <c r="P472" s="5">
        <v>66124.3</v>
      </c>
      <c r="Q472" s="5">
        <v>23360.5</v>
      </c>
      <c r="R472" s="5" t="s">
        <v>64</v>
      </c>
      <c r="S472" s="5" t="s">
        <v>33</v>
      </c>
      <c r="T472" s="5" t="s">
        <v>34</v>
      </c>
      <c r="U472" s="5">
        <v>5</v>
      </c>
      <c r="V472" s="5" t="s">
        <v>45</v>
      </c>
    </row>
    <row r="473" spans="1:22" x14ac:dyDescent="0.3">
      <c r="A473" s="5" t="s">
        <v>970</v>
      </c>
      <c r="B473" s="6">
        <v>46084</v>
      </c>
      <c r="C473" s="5" t="s">
        <v>714</v>
      </c>
      <c r="D473" s="5" t="s">
        <v>89</v>
      </c>
      <c r="E473" s="5" t="s">
        <v>49</v>
      </c>
      <c r="F473" s="5" t="s">
        <v>50</v>
      </c>
      <c r="G473" s="5" t="s">
        <v>51</v>
      </c>
      <c r="H473" s="5" t="s">
        <v>342</v>
      </c>
      <c r="I473" s="5" t="s">
        <v>343</v>
      </c>
      <c r="J473" s="5" t="s">
        <v>54</v>
      </c>
      <c r="K473" s="5" t="s">
        <v>97</v>
      </c>
      <c r="L473" s="5">
        <v>5</v>
      </c>
      <c r="M473" s="5">
        <v>18352</v>
      </c>
      <c r="N473" s="5">
        <v>0</v>
      </c>
      <c r="O473" s="5">
        <v>91760</v>
      </c>
      <c r="P473" s="5">
        <v>72232.61</v>
      </c>
      <c r="Q473" s="5">
        <v>19527.39</v>
      </c>
      <c r="R473" s="5" t="s">
        <v>44</v>
      </c>
      <c r="S473" s="5" t="s">
        <v>82</v>
      </c>
      <c r="T473" s="5" t="s">
        <v>65</v>
      </c>
      <c r="U473" s="5">
        <v>2</v>
      </c>
      <c r="V473" s="5" t="s">
        <v>35</v>
      </c>
    </row>
    <row r="474" spans="1:22" x14ac:dyDescent="0.3">
      <c r="A474" s="5" t="s">
        <v>971</v>
      </c>
      <c r="B474" s="6">
        <v>46038</v>
      </c>
      <c r="C474" s="5" t="s">
        <v>639</v>
      </c>
      <c r="D474" s="5" t="s">
        <v>76</v>
      </c>
      <c r="E474" s="5" t="s">
        <v>59</v>
      </c>
      <c r="F474" s="5" t="s">
        <v>60</v>
      </c>
      <c r="G474" s="5" t="s">
        <v>61</v>
      </c>
      <c r="H474" s="5" t="s">
        <v>334</v>
      </c>
      <c r="I474" s="5" t="s">
        <v>335</v>
      </c>
      <c r="J474" s="5" t="s">
        <v>71</v>
      </c>
      <c r="K474" s="5" t="s">
        <v>72</v>
      </c>
      <c r="L474" s="5">
        <v>1</v>
      </c>
      <c r="M474" s="5">
        <v>48909</v>
      </c>
      <c r="N474" s="5">
        <v>15</v>
      </c>
      <c r="O474" s="5">
        <v>41572.65</v>
      </c>
      <c r="P474" s="5">
        <v>40115.83</v>
      </c>
      <c r="Q474" s="5">
        <v>1456.82</v>
      </c>
      <c r="R474" s="5" t="s">
        <v>44</v>
      </c>
      <c r="S474" s="5" t="s">
        <v>82</v>
      </c>
      <c r="T474" s="5" t="s">
        <v>73</v>
      </c>
      <c r="U474" s="5">
        <v>1</v>
      </c>
      <c r="V474" s="5" t="s">
        <v>45</v>
      </c>
    </row>
    <row r="475" spans="1:22" x14ac:dyDescent="0.3">
      <c r="A475" s="5" t="s">
        <v>972</v>
      </c>
      <c r="B475" s="6">
        <v>46069</v>
      </c>
      <c r="C475" s="5" t="s">
        <v>656</v>
      </c>
      <c r="D475" s="5" t="s">
        <v>24</v>
      </c>
      <c r="E475" s="5" t="s">
        <v>77</v>
      </c>
      <c r="F475" s="5" t="s">
        <v>78</v>
      </c>
      <c r="G475" s="5" t="s">
        <v>41</v>
      </c>
      <c r="H475" s="5" t="s">
        <v>526</v>
      </c>
      <c r="I475" s="5" t="s">
        <v>527</v>
      </c>
      <c r="J475" s="5" t="s">
        <v>71</v>
      </c>
      <c r="K475" s="5" t="s">
        <v>81</v>
      </c>
      <c r="L475" s="5">
        <v>1</v>
      </c>
      <c r="M475" s="5">
        <v>18618</v>
      </c>
      <c r="N475" s="5">
        <v>10</v>
      </c>
      <c r="O475" s="5">
        <v>16756.2</v>
      </c>
      <c r="P475" s="5">
        <v>14402.6</v>
      </c>
      <c r="Q475" s="5">
        <v>2353.6</v>
      </c>
      <c r="R475" s="5" t="s">
        <v>32</v>
      </c>
      <c r="S475" s="5" t="s">
        <v>33</v>
      </c>
      <c r="T475" s="5" t="s">
        <v>65</v>
      </c>
      <c r="U475" s="5">
        <v>5</v>
      </c>
      <c r="V475" s="5" t="s">
        <v>45</v>
      </c>
    </row>
    <row r="476" spans="1:22" x14ac:dyDescent="0.3">
      <c r="A476" s="5" t="s">
        <v>973</v>
      </c>
      <c r="B476" s="6">
        <v>46150</v>
      </c>
      <c r="C476" s="5" t="s">
        <v>323</v>
      </c>
      <c r="D476" s="5" t="s">
        <v>110</v>
      </c>
      <c r="E476" s="5" t="s">
        <v>126</v>
      </c>
      <c r="F476" s="5" t="s">
        <v>126</v>
      </c>
      <c r="G476" s="5" t="s">
        <v>51</v>
      </c>
      <c r="H476" s="5" t="s">
        <v>447</v>
      </c>
      <c r="I476" s="5" t="s">
        <v>448</v>
      </c>
      <c r="J476" s="5" t="s">
        <v>71</v>
      </c>
      <c r="K476" s="5" t="s">
        <v>72</v>
      </c>
      <c r="L476" s="5">
        <v>5</v>
      </c>
      <c r="M476" s="5">
        <v>9201</v>
      </c>
      <c r="N476" s="5">
        <v>0</v>
      </c>
      <c r="O476" s="5">
        <v>46005</v>
      </c>
      <c r="P476" s="5">
        <v>29988.54</v>
      </c>
      <c r="Q476" s="5">
        <v>16016.46</v>
      </c>
      <c r="R476" s="5" t="s">
        <v>64</v>
      </c>
      <c r="S476" s="5" t="s">
        <v>82</v>
      </c>
      <c r="T476" s="5" t="s">
        <v>65</v>
      </c>
      <c r="U476" s="5">
        <v>4</v>
      </c>
      <c r="V476" s="5" t="s">
        <v>35</v>
      </c>
    </row>
    <row r="477" spans="1:22" x14ac:dyDescent="0.3">
      <c r="A477" s="5" t="s">
        <v>974</v>
      </c>
      <c r="B477" s="6">
        <v>46044</v>
      </c>
      <c r="C477" s="5" t="s">
        <v>966</v>
      </c>
      <c r="D477" s="5" t="s">
        <v>151</v>
      </c>
      <c r="E477" s="5" t="s">
        <v>126</v>
      </c>
      <c r="F477" s="5" t="s">
        <v>126</v>
      </c>
      <c r="G477" s="5" t="s">
        <v>51</v>
      </c>
      <c r="H477" s="5" t="s">
        <v>118</v>
      </c>
      <c r="I477" s="5" t="s">
        <v>119</v>
      </c>
      <c r="J477" s="5" t="s">
        <v>54</v>
      </c>
      <c r="K477" s="5" t="s">
        <v>97</v>
      </c>
      <c r="L477" s="5">
        <v>2</v>
      </c>
      <c r="M477" s="5">
        <v>63282</v>
      </c>
      <c r="N477" s="5">
        <v>0</v>
      </c>
      <c r="O477" s="5">
        <v>126564</v>
      </c>
      <c r="P477" s="5">
        <v>80352.95</v>
      </c>
      <c r="Q477" s="5">
        <v>46211.05</v>
      </c>
      <c r="R477" s="5" t="s">
        <v>44</v>
      </c>
      <c r="S477" s="5" t="s">
        <v>33</v>
      </c>
      <c r="T477" s="5" t="s">
        <v>73</v>
      </c>
      <c r="U477" s="5">
        <v>3</v>
      </c>
      <c r="V477" s="5" t="s">
        <v>35</v>
      </c>
    </row>
    <row r="478" spans="1:22" x14ac:dyDescent="0.3">
      <c r="A478" s="5" t="s">
        <v>975</v>
      </c>
      <c r="B478" s="6">
        <v>46038</v>
      </c>
      <c r="C478" s="5" t="s">
        <v>171</v>
      </c>
      <c r="D478" s="5" t="s">
        <v>58</v>
      </c>
      <c r="E478" s="5" t="s">
        <v>94</v>
      </c>
      <c r="F478" s="5" t="s">
        <v>26</v>
      </c>
      <c r="G478" s="5" t="s">
        <v>27</v>
      </c>
      <c r="H478" s="5" t="s">
        <v>406</v>
      </c>
      <c r="I478" s="5" t="s">
        <v>407</v>
      </c>
      <c r="J478" s="5" t="s">
        <v>30</v>
      </c>
      <c r="K478" s="5" t="s">
        <v>31</v>
      </c>
      <c r="L478" s="5">
        <v>1</v>
      </c>
      <c r="M478" s="5">
        <v>15618</v>
      </c>
      <c r="N478" s="5">
        <v>5</v>
      </c>
      <c r="O478" s="5">
        <v>14837.1</v>
      </c>
      <c r="P478" s="5">
        <v>9404.1299999999992</v>
      </c>
      <c r="Q478" s="5">
        <v>5432.97</v>
      </c>
      <c r="R478" s="5" t="s">
        <v>64</v>
      </c>
      <c r="S478" s="5" t="s">
        <v>33</v>
      </c>
      <c r="T478" s="5" t="s">
        <v>65</v>
      </c>
      <c r="U478" s="5">
        <v>5</v>
      </c>
      <c r="V478" s="5" t="s">
        <v>35</v>
      </c>
    </row>
    <row r="479" spans="1:22" x14ac:dyDescent="0.3">
      <c r="A479" s="5" t="s">
        <v>976</v>
      </c>
      <c r="B479" s="6">
        <v>46111</v>
      </c>
      <c r="C479" s="5" t="s">
        <v>560</v>
      </c>
      <c r="D479" s="5" t="s">
        <v>89</v>
      </c>
      <c r="E479" s="5" t="s">
        <v>39</v>
      </c>
      <c r="F479" s="5" t="s">
        <v>40</v>
      </c>
      <c r="G479" s="5" t="s">
        <v>41</v>
      </c>
      <c r="H479" s="5" t="s">
        <v>338</v>
      </c>
      <c r="I479" s="5" t="s">
        <v>339</v>
      </c>
      <c r="J479" s="5" t="s">
        <v>54</v>
      </c>
      <c r="K479" s="5" t="s">
        <v>97</v>
      </c>
      <c r="L479" s="5">
        <v>2</v>
      </c>
      <c r="M479" s="5">
        <v>16096</v>
      </c>
      <c r="N479" s="5">
        <v>20</v>
      </c>
      <c r="O479" s="5">
        <v>25753.599999999999</v>
      </c>
      <c r="P479" s="5">
        <v>20050.28</v>
      </c>
      <c r="Q479" s="5">
        <v>5703.32</v>
      </c>
      <c r="R479" s="5" t="s">
        <v>32</v>
      </c>
      <c r="S479" s="5" t="s">
        <v>33</v>
      </c>
      <c r="T479" s="5" t="s">
        <v>73</v>
      </c>
      <c r="U479" s="5">
        <v>1</v>
      </c>
      <c r="V479" s="5" t="s">
        <v>45</v>
      </c>
    </row>
    <row r="480" spans="1:22" x14ac:dyDescent="0.3">
      <c r="A480" s="5" t="s">
        <v>977</v>
      </c>
      <c r="B480" s="6">
        <v>46152</v>
      </c>
      <c r="C480" s="5" t="s">
        <v>637</v>
      </c>
      <c r="D480" s="5" t="s">
        <v>76</v>
      </c>
      <c r="E480" s="5" t="s">
        <v>94</v>
      </c>
      <c r="F480" s="5" t="s">
        <v>26</v>
      </c>
      <c r="G480" s="5" t="s">
        <v>27</v>
      </c>
      <c r="H480" s="5" t="s">
        <v>306</v>
      </c>
      <c r="I480" s="5" t="s">
        <v>307</v>
      </c>
      <c r="J480" s="5" t="s">
        <v>71</v>
      </c>
      <c r="K480" s="5" t="s">
        <v>81</v>
      </c>
      <c r="L480" s="5">
        <v>4</v>
      </c>
      <c r="M480" s="5">
        <v>33705</v>
      </c>
      <c r="N480" s="5">
        <v>15</v>
      </c>
      <c r="O480" s="5">
        <v>114597</v>
      </c>
      <c r="P480" s="5">
        <v>81173.53</v>
      </c>
      <c r="Q480" s="5">
        <v>33423.47</v>
      </c>
      <c r="R480" s="5" t="s">
        <v>44</v>
      </c>
      <c r="S480" s="5" t="s">
        <v>82</v>
      </c>
      <c r="T480" s="5" t="s">
        <v>34</v>
      </c>
      <c r="U480" s="5">
        <v>1</v>
      </c>
      <c r="V480" s="5" t="s">
        <v>45</v>
      </c>
    </row>
    <row r="481" spans="1:22" x14ac:dyDescent="0.3">
      <c r="A481" s="5" t="s">
        <v>978</v>
      </c>
      <c r="B481" s="6">
        <v>46027</v>
      </c>
      <c r="C481" s="5" t="s">
        <v>529</v>
      </c>
      <c r="D481" s="5" t="s">
        <v>151</v>
      </c>
      <c r="E481" s="5" t="s">
        <v>59</v>
      </c>
      <c r="F481" s="5" t="s">
        <v>60</v>
      </c>
      <c r="G481" s="5" t="s">
        <v>61</v>
      </c>
      <c r="H481" s="5" t="s">
        <v>241</v>
      </c>
      <c r="I481" s="5" t="s">
        <v>242</v>
      </c>
      <c r="J481" s="5" t="s">
        <v>54</v>
      </c>
      <c r="K481" s="5" t="s">
        <v>55</v>
      </c>
      <c r="L481" s="5">
        <v>4</v>
      </c>
      <c r="M481" s="5">
        <v>58068</v>
      </c>
      <c r="N481" s="5">
        <v>20</v>
      </c>
      <c r="O481" s="5">
        <v>185817.60000000001</v>
      </c>
      <c r="P481" s="5">
        <v>191581.8</v>
      </c>
      <c r="Q481" s="5">
        <v>-5764.2</v>
      </c>
      <c r="R481" s="5" t="s">
        <v>44</v>
      </c>
      <c r="S481" s="5" t="s">
        <v>33</v>
      </c>
      <c r="T481" s="5" t="s">
        <v>34</v>
      </c>
      <c r="U481" s="5">
        <v>2</v>
      </c>
      <c r="V481" s="5" t="s">
        <v>45</v>
      </c>
    </row>
    <row r="482" spans="1:22" x14ac:dyDescent="0.3">
      <c r="A482" s="5" t="s">
        <v>979</v>
      </c>
      <c r="B482" s="6">
        <v>46058</v>
      </c>
      <c r="C482" s="5" t="s">
        <v>571</v>
      </c>
      <c r="D482" s="5" t="s">
        <v>89</v>
      </c>
      <c r="E482" s="5" t="s">
        <v>126</v>
      </c>
      <c r="F482" s="5" t="s">
        <v>126</v>
      </c>
      <c r="G482" s="5" t="s">
        <v>51</v>
      </c>
      <c r="H482" s="5" t="s">
        <v>431</v>
      </c>
      <c r="I482" s="5" t="s">
        <v>432</v>
      </c>
      <c r="J482" s="5" t="s">
        <v>30</v>
      </c>
      <c r="K482" s="5" t="s">
        <v>31</v>
      </c>
      <c r="L482" s="5">
        <v>1</v>
      </c>
      <c r="M482" s="5">
        <v>25450</v>
      </c>
      <c r="N482" s="5">
        <v>20</v>
      </c>
      <c r="O482" s="5">
        <v>20360</v>
      </c>
      <c r="P482" s="5">
        <v>20163.34</v>
      </c>
      <c r="Q482" s="5">
        <v>196.66</v>
      </c>
      <c r="R482" s="5" t="s">
        <v>64</v>
      </c>
      <c r="S482" s="5" t="s">
        <v>33</v>
      </c>
      <c r="T482" s="5" t="s">
        <v>65</v>
      </c>
      <c r="U482" s="5">
        <v>5</v>
      </c>
      <c r="V482" s="5" t="s">
        <v>45</v>
      </c>
    </row>
    <row r="483" spans="1:22" x14ac:dyDescent="0.3">
      <c r="A483" s="5" t="s">
        <v>980</v>
      </c>
      <c r="B483" s="6">
        <v>46171</v>
      </c>
      <c r="C483" s="5" t="s">
        <v>538</v>
      </c>
      <c r="D483" s="5" t="s">
        <v>76</v>
      </c>
      <c r="E483" s="5" t="s">
        <v>126</v>
      </c>
      <c r="F483" s="5" t="s">
        <v>126</v>
      </c>
      <c r="G483" s="5" t="s">
        <v>51</v>
      </c>
      <c r="H483" s="5" t="s">
        <v>118</v>
      </c>
      <c r="I483" s="5" t="s">
        <v>119</v>
      </c>
      <c r="J483" s="5" t="s">
        <v>54</v>
      </c>
      <c r="K483" s="5" t="s">
        <v>97</v>
      </c>
      <c r="L483" s="5">
        <v>5</v>
      </c>
      <c r="M483" s="5">
        <v>42797</v>
      </c>
      <c r="N483" s="5">
        <v>10</v>
      </c>
      <c r="O483" s="5">
        <v>192586.5</v>
      </c>
      <c r="P483" s="5">
        <v>123725.79</v>
      </c>
      <c r="Q483" s="5">
        <v>68860.710000000006</v>
      </c>
      <c r="R483" s="5" t="s">
        <v>44</v>
      </c>
      <c r="S483" s="5" t="s">
        <v>33</v>
      </c>
      <c r="T483" s="5" t="s">
        <v>34</v>
      </c>
      <c r="U483" s="5">
        <v>5</v>
      </c>
      <c r="V483" s="5" t="s">
        <v>35</v>
      </c>
    </row>
    <row r="484" spans="1:22" x14ac:dyDescent="0.3">
      <c r="A484" s="5" t="s">
        <v>981</v>
      </c>
      <c r="B484" s="6">
        <v>46131</v>
      </c>
      <c r="C484" s="5" t="s">
        <v>67</v>
      </c>
      <c r="D484" s="5" t="s">
        <v>76</v>
      </c>
      <c r="E484" s="5" t="s">
        <v>25</v>
      </c>
      <c r="F484" s="5" t="s">
        <v>26</v>
      </c>
      <c r="G484" s="5" t="s">
        <v>27</v>
      </c>
      <c r="H484" s="5" t="s">
        <v>210</v>
      </c>
      <c r="I484" s="5" t="s">
        <v>211</v>
      </c>
      <c r="J484" s="5" t="s">
        <v>102</v>
      </c>
      <c r="K484" s="5" t="s">
        <v>103</v>
      </c>
      <c r="L484" s="5">
        <v>3</v>
      </c>
      <c r="M484" s="5">
        <v>66204</v>
      </c>
      <c r="N484" s="5">
        <v>5</v>
      </c>
      <c r="O484" s="5">
        <v>188681.4</v>
      </c>
      <c r="P484" s="5">
        <v>140634.34</v>
      </c>
      <c r="Q484" s="5">
        <v>48047.06</v>
      </c>
      <c r="R484" s="5" t="s">
        <v>32</v>
      </c>
      <c r="S484" s="5" t="s">
        <v>33</v>
      </c>
      <c r="T484" s="5" t="s">
        <v>34</v>
      </c>
      <c r="U484" s="5">
        <v>3</v>
      </c>
      <c r="V484" s="5" t="s">
        <v>35</v>
      </c>
    </row>
    <row r="485" spans="1:22" x14ac:dyDescent="0.3">
      <c r="A485" s="5" t="s">
        <v>982</v>
      </c>
      <c r="B485" s="6">
        <v>46187</v>
      </c>
      <c r="C485" s="5" t="s">
        <v>105</v>
      </c>
      <c r="D485" s="5" t="s">
        <v>38</v>
      </c>
      <c r="E485" s="5" t="s">
        <v>126</v>
      </c>
      <c r="F485" s="5" t="s">
        <v>126</v>
      </c>
      <c r="G485" s="5" t="s">
        <v>51</v>
      </c>
      <c r="H485" s="5" t="s">
        <v>197</v>
      </c>
      <c r="I485" s="5" t="s">
        <v>198</v>
      </c>
      <c r="J485" s="5" t="s">
        <v>30</v>
      </c>
      <c r="K485" s="5" t="s">
        <v>31</v>
      </c>
      <c r="L485" s="5">
        <v>2</v>
      </c>
      <c r="M485" s="5">
        <v>29512</v>
      </c>
      <c r="N485" s="5">
        <v>20</v>
      </c>
      <c r="O485" s="5">
        <v>47219.199999999997</v>
      </c>
      <c r="P485" s="5">
        <v>41669.47</v>
      </c>
      <c r="Q485" s="5">
        <v>5549.73</v>
      </c>
      <c r="R485" s="5" t="s">
        <v>32</v>
      </c>
      <c r="S485" s="5" t="s">
        <v>33</v>
      </c>
      <c r="T485" s="5" t="s">
        <v>65</v>
      </c>
      <c r="U485" s="5">
        <v>1</v>
      </c>
      <c r="V485" s="5" t="s">
        <v>45</v>
      </c>
    </row>
    <row r="486" spans="1:22" x14ac:dyDescent="0.3">
      <c r="A486" s="5" t="s">
        <v>983</v>
      </c>
      <c r="B486" s="6">
        <v>46091</v>
      </c>
      <c r="C486" s="5" t="s">
        <v>230</v>
      </c>
      <c r="D486" s="5" t="s">
        <v>58</v>
      </c>
      <c r="E486" s="5" t="s">
        <v>25</v>
      </c>
      <c r="F486" s="5" t="s">
        <v>26</v>
      </c>
      <c r="G486" s="5" t="s">
        <v>27</v>
      </c>
      <c r="H486" s="5" t="s">
        <v>42</v>
      </c>
      <c r="I486" s="5" t="s">
        <v>43</v>
      </c>
      <c r="J486" s="5" t="s">
        <v>30</v>
      </c>
      <c r="K486" s="5" t="s">
        <v>31</v>
      </c>
      <c r="L486" s="5">
        <v>3</v>
      </c>
      <c r="M486" s="5">
        <v>27463</v>
      </c>
      <c r="N486" s="5">
        <v>0</v>
      </c>
      <c r="O486" s="5">
        <v>82389</v>
      </c>
      <c r="P486" s="5">
        <v>48405.440000000002</v>
      </c>
      <c r="Q486" s="5">
        <v>33983.56</v>
      </c>
      <c r="R486" s="5" t="s">
        <v>64</v>
      </c>
      <c r="S486" s="5" t="s">
        <v>82</v>
      </c>
      <c r="T486" s="5" t="s">
        <v>73</v>
      </c>
      <c r="U486" s="5">
        <v>2</v>
      </c>
      <c r="V486" s="5" t="s">
        <v>45</v>
      </c>
    </row>
    <row r="487" spans="1:22" x14ac:dyDescent="0.3">
      <c r="A487" s="5" t="s">
        <v>984</v>
      </c>
      <c r="B487" s="6">
        <v>46042</v>
      </c>
      <c r="C487" s="5" t="s">
        <v>652</v>
      </c>
      <c r="D487" s="5" t="s">
        <v>110</v>
      </c>
      <c r="E487" s="5" t="s">
        <v>25</v>
      </c>
      <c r="F487" s="5" t="s">
        <v>26</v>
      </c>
      <c r="G487" s="5" t="s">
        <v>27</v>
      </c>
      <c r="H487" s="5" t="s">
        <v>526</v>
      </c>
      <c r="I487" s="5" t="s">
        <v>527</v>
      </c>
      <c r="J487" s="5" t="s">
        <v>71</v>
      </c>
      <c r="K487" s="5" t="s">
        <v>81</v>
      </c>
      <c r="L487" s="5">
        <v>3</v>
      </c>
      <c r="M487" s="5">
        <v>77591</v>
      </c>
      <c r="N487" s="5">
        <v>5</v>
      </c>
      <c r="O487" s="5">
        <v>221134.35</v>
      </c>
      <c r="P487" s="5">
        <v>155636.38</v>
      </c>
      <c r="Q487" s="5">
        <v>65497.97</v>
      </c>
      <c r="R487" s="5" t="s">
        <v>44</v>
      </c>
      <c r="S487" s="5" t="s">
        <v>33</v>
      </c>
      <c r="T487" s="5" t="s">
        <v>65</v>
      </c>
      <c r="U487" s="5">
        <v>3</v>
      </c>
      <c r="V487" s="5" t="s">
        <v>45</v>
      </c>
    </row>
    <row r="488" spans="1:22" x14ac:dyDescent="0.3">
      <c r="A488" s="5" t="s">
        <v>985</v>
      </c>
      <c r="B488" s="6">
        <v>46058</v>
      </c>
      <c r="C488" s="5" t="s">
        <v>670</v>
      </c>
      <c r="D488" s="5" t="s">
        <v>68</v>
      </c>
      <c r="E488" s="5" t="s">
        <v>39</v>
      </c>
      <c r="F488" s="5" t="s">
        <v>40</v>
      </c>
      <c r="G488" s="5" t="s">
        <v>41</v>
      </c>
      <c r="H488" s="5" t="s">
        <v>257</v>
      </c>
      <c r="I488" s="5" t="s">
        <v>258</v>
      </c>
      <c r="J488" s="5" t="s">
        <v>71</v>
      </c>
      <c r="K488" s="5" t="s">
        <v>81</v>
      </c>
      <c r="L488" s="5">
        <v>2</v>
      </c>
      <c r="M488" s="5">
        <v>79636</v>
      </c>
      <c r="N488" s="5">
        <v>20</v>
      </c>
      <c r="O488" s="5">
        <v>127417.60000000001</v>
      </c>
      <c r="P488" s="5">
        <v>133928.66</v>
      </c>
      <c r="Q488" s="5">
        <v>-6511.06</v>
      </c>
      <c r="R488" s="5" t="s">
        <v>32</v>
      </c>
      <c r="S488" s="5" t="s">
        <v>82</v>
      </c>
      <c r="T488" s="5" t="s">
        <v>65</v>
      </c>
      <c r="U488" s="5">
        <v>4</v>
      </c>
      <c r="V488" s="5" t="s">
        <v>45</v>
      </c>
    </row>
    <row r="489" spans="1:22" x14ac:dyDescent="0.3">
      <c r="A489" s="5" t="s">
        <v>986</v>
      </c>
      <c r="B489" s="6">
        <v>46028</v>
      </c>
      <c r="C489" s="5" t="s">
        <v>861</v>
      </c>
      <c r="D489" s="5" t="s">
        <v>89</v>
      </c>
      <c r="E489" s="5" t="s">
        <v>77</v>
      </c>
      <c r="F489" s="5" t="s">
        <v>78</v>
      </c>
      <c r="G489" s="5" t="s">
        <v>41</v>
      </c>
      <c r="H489" s="5" t="s">
        <v>640</v>
      </c>
      <c r="I489" s="5" t="s">
        <v>641</v>
      </c>
      <c r="J489" s="5" t="s">
        <v>54</v>
      </c>
      <c r="K489" s="5" t="s">
        <v>97</v>
      </c>
      <c r="L489" s="5">
        <v>5</v>
      </c>
      <c r="M489" s="5">
        <v>74528</v>
      </c>
      <c r="N489" s="5">
        <v>15</v>
      </c>
      <c r="O489" s="5">
        <v>316744</v>
      </c>
      <c r="P489" s="5">
        <v>255632.21</v>
      </c>
      <c r="Q489" s="5">
        <v>61111.79</v>
      </c>
      <c r="R489" s="5" t="s">
        <v>44</v>
      </c>
      <c r="S489" s="5" t="s">
        <v>33</v>
      </c>
      <c r="T489" s="5" t="s">
        <v>73</v>
      </c>
      <c r="U489" s="5">
        <v>1</v>
      </c>
      <c r="V489" s="5" t="s">
        <v>35</v>
      </c>
    </row>
    <row r="490" spans="1:22" x14ac:dyDescent="0.3">
      <c r="A490" s="5" t="s">
        <v>987</v>
      </c>
      <c r="B490" s="6">
        <v>46121</v>
      </c>
      <c r="C490" s="5" t="s">
        <v>988</v>
      </c>
      <c r="D490" s="5" t="s">
        <v>76</v>
      </c>
      <c r="E490" s="5" t="s">
        <v>94</v>
      </c>
      <c r="F490" s="5" t="s">
        <v>26</v>
      </c>
      <c r="G490" s="5" t="s">
        <v>27</v>
      </c>
      <c r="H490" s="5" t="s">
        <v>193</v>
      </c>
      <c r="I490" s="5" t="s">
        <v>194</v>
      </c>
      <c r="J490" s="5" t="s">
        <v>71</v>
      </c>
      <c r="K490" s="5" t="s">
        <v>72</v>
      </c>
      <c r="L490" s="5">
        <v>2</v>
      </c>
      <c r="M490" s="5">
        <v>26704</v>
      </c>
      <c r="N490" s="5">
        <v>15</v>
      </c>
      <c r="O490" s="5">
        <v>45396.800000000003</v>
      </c>
      <c r="P490" s="5">
        <v>32440.42</v>
      </c>
      <c r="Q490" s="5">
        <v>12956.38</v>
      </c>
      <c r="R490" s="5" t="s">
        <v>44</v>
      </c>
      <c r="S490" s="5" t="s">
        <v>33</v>
      </c>
      <c r="T490" s="5" t="s">
        <v>34</v>
      </c>
      <c r="U490" s="5">
        <v>1</v>
      </c>
      <c r="V490" s="5" t="s">
        <v>35</v>
      </c>
    </row>
    <row r="491" spans="1:22" x14ac:dyDescent="0.3">
      <c r="A491" s="5" t="s">
        <v>989</v>
      </c>
      <c r="B491" s="6">
        <v>46097</v>
      </c>
      <c r="C491" s="5" t="s">
        <v>840</v>
      </c>
      <c r="D491" s="5" t="s">
        <v>110</v>
      </c>
      <c r="E491" s="5" t="s">
        <v>77</v>
      </c>
      <c r="F491" s="5" t="s">
        <v>78</v>
      </c>
      <c r="G491" s="5" t="s">
        <v>41</v>
      </c>
      <c r="H491" s="5" t="s">
        <v>217</v>
      </c>
      <c r="I491" s="5" t="s">
        <v>218</v>
      </c>
      <c r="J491" s="5" t="s">
        <v>54</v>
      </c>
      <c r="K491" s="5" t="s">
        <v>97</v>
      </c>
      <c r="L491" s="5">
        <v>5</v>
      </c>
      <c r="M491" s="5">
        <v>57286</v>
      </c>
      <c r="N491" s="5">
        <v>20</v>
      </c>
      <c r="O491" s="5">
        <v>229144</v>
      </c>
      <c r="P491" s="5">
        <v>210801.41</v>
      </c>
      <c r="Q491" s="5">
        <v>18342.59</v>
      </c>
      <c r="R491" s="5" t="s">
        <v>44</v>
      </c>
      <c r="S491" s="5" t="s">
        <v>82</v>
      </c>
      <c r="T491" s="5" t="s">
        <v>73</v>
      </c>
      <c r="U491" s="5">
        <v>4</v>
      </c>
      <c r="V491" s="5" t="s">
        <v>35</v>
      </c>
    </row>
    <row r="492" spans="1:22" x14ac:dyDescent="0.3">
      <c r="A492" s="5" t="s">
        <v>990</v>
      </c>
      <c r="B492" s="6">
        <v>46068</v>
      </c>
      <c r="C492" s="5" t="s">
        <v>475</v>
      </c>
      <c r="D492" s="5" t="s">
        <v>117</v>
      </c>
      <c r="E492" s="5" t="s">
        <v>39</v>
      </c>
      <c r="F492" s="5" t="s">
        <v>40</v>
      </c>
      <c r="G492" s="5" t="s">
        <v>41</v>
      </c>
      <c r="H492" s="5" t="s">
        <v>367</v>
      </c>
      <c r="I492" s="5" t="s">
        <v>368</v>
      </c>
      <c r="J492" s="5" t="s">
        <v>71</v>
      </c>
      <c r="K492" s="5" t="s">
        <v>72</v>
      </c>
      <c r="L492" s="5">
        <v>5</v>
      </c>
      <c r="M492" s="5">
        <v>34046</v>
      </c>
      <c r="N492" s="5">
        <v>5</v>
      </c>
      <c r="O492" s="5">
        <v>161718.5</v>
      </c>
      <c r="P492" s="5">
        <v>127019.93</v>
      </c>
      <c r="Q492" s="5">
        <v>34698.57</v>
      </c>
      <c r="R492" s="5" t="s">
        <v>44</v>
      </c>
      <c r="S492" s="5" t="s">
        <v>33</v>
      </c>
      <c r="T492" s="5" t="s">
        <v>73</v>
      </c>
      <c r="U492" s="5">
        <v>1</v>
      </c>
      <c r="V492" s="5" t="s">
        <v>45</v>
      </c>
    </row>
    <row r="493" spans="1:22" x14ac:dyDescent="0.3">
      <c r="A493" s="5" t="s">
        <v>991</v>
      </c>
      <c r="B493" s="6">
        <v>46068</v>
      </c>
      <c r="C493" s="5" t="s">
        <v>395</v>
      </c>
      <c r="D493" s="5" t="s">
        <v>89</v>
      </c>
      <c r="E493" s="5" t="s">
        <v>49</v>
      </c>
      <c r="F493" s="5" t="s">
        <v>50</v>
      </c>
      <c r="G493" s="5" t="s">
        <v>51</v>
      </c>
      <c r="H493" s="5" t="s">
        <v>180</v>
      </c>
      <c r="I493" s="5" t="s">
        <v>181</v>
      </c>
      <c r="J493" s="5" t="s">
        <v>54</v>
      </c>
      <c r="K493" s="5" t="s">
        <v>55</v>
      </c>
      <c r="L493" s="5">
        <v>1</v>
      </c>
      <c r="M493" s="5">
        <v>21756</v>
      </c>
      <c r="N493" s="5">
        <v>0</v>
      </c>
      <c r="O493" s="5">
        <v>21756</v>
      </c>
      <c r="P493" s="5">
        <v>12981.41</v>
      </c>
      <c r="Q493" s="5">
        <v>8774.59</v>
      </c>
      <c r="R493" s="5" t="s">
        <v>64</v>
      </c>
      <c r="S493" s="5" t="s">
        <v>33</v>
      </c>
      <c r="T493" s="5" t="s">
        <v>65</v>
      </c>
      <c r="U493" s="5">
        <v>1</v>
      </c>
      <c r="V493" s="5" t="s">
        <v>35</v>
      </c>
    </row>
    <row r="494" spans="1:22" x14ac:dyDescent="0.3">
      <c r="A494" s="5" t="s">
        <v>992</v>
      </c>
      <c r="B494" s="6">
        <v>46180</v>
      </c>
      <c r="C494" s="5" t="s">
        <v>298</v>
      </c>
      <c r="D494" s="5" t="s">
        <v>48</v>
      </c>
      <c r="E494" s="5" t="s">
        <v>25</v>
      </c>
      <c r="F494" s="5" t="s">
        <v>26</v>
      </c>
      <c r="G494" s="5" t="s">
        <v>27</v>
      </c>
      <c r="H494" s="5" t="s">
        <v>557</v>
      </c>
      <c r="I494" s="5" t="s">
        <v>558</v>
      </c>
      <c r="J494" s="5" t="s">
        <v>54</v>
      </c>
      <c r="K494" s="5" t="s">
        <v>97</v>
      </c>
      <c r="L494" s="5">
        <v>3</v>
      </c>
      <c r="M494" s="5">
        <v>56406</v>
      </c>
      <c r="N494" s="5">
        <v>10</v>
      </c>
      <c r="O494" s="5">
        <v>152296.20000000001</v>
      </c>
      <c r="P494" s="5">
        <v>124813.85</v>
      </c>
      <c r="Q494" s="5">
        <v>27482.35</v>
      </c>
      <c r="R494" s="5" t="s">
        <v>44</v>
      </c>
      <c r="S494" s="5" t="s">
        <v>82</v>
      </c>
      <c r="T494" s="5" t="s">
        <v>34</v>
      </c>
      <c r="U494" s="5">
        <v>1</v>
      </c>
      <c r="V494" s="5" t="s">
        <v>35</v>
      </c>
    </row>
    <row r="495" spans="1:22" x14ac:dyDescent="0.3">
      <c r="A495" s="5" t="s">
        <v>993</v>
      </c>
      <c r="B495" s="6">
        <v>46109</v>
      </c>
      <c r="C495" s="5" t="s">
        <v>919</v>
      </c>
      <c r="D495" s="5" t="s">
        <v>68</v>
      </c>
      <c r="E495" s="5" t="s">
        <v>25</v>
      </c>
      <c r="F495" s="5" t="s">
        <v>26</v>
      </c>
      <c r="G495" s="5" t="s">
        <v>27</v>
      </c>
      <c r="H495" s="5" t="s">
        <v>457</v>
      </c>
      <c r="I495" s="5" t="s">
        <v>458</v>
      </c>
      <c r="J495" s="5" t="s">
        <v>71</v>
      </c>
      <c r="K495" s="5" t="s">
        <v>81</v>
      </c>
      <c r="L495" s="5">
        <v>3</v>
      </c>
      <c r="M495" s="5">
        <v>13862</v>
      </c>
      <c r="N495" s="5">
        <v>10</v>
      </c>
      <c r="O495" s="5">
        <v>37427.4</v>
      </c>
      <c r="P495" s="5">
        <v>26401.5</v>
      </c>
      <c r="Q495" s="5">
        <v>11025.9</v>
      </c>
      <c r="R495" s="5" t="s">
        <v>64</v>
      </c>
      <c r="S495" s="5" t="s">
        <v>82</v>
      </c>
      <c r="T495" s="5" t="s">
        <v>34</v>
      </c>
      <c r="U495" s="5">
        <v>3</v>
      </c>
      <c r="V495" s="5" t="s">
        <v>35</v>
      </c>
    </row>
    <row r="496" spans="1:22" x14ac:dyDescent="0.3">
      <c r="A496" s="5" t="s">
        <v>994</v>
      </c>
      <c r="B496" s="6">
        <v>46086</v>
      </c>
      <c r="C496" s="5" t="s">
        <v>749</v>
      </c>
      <c r="D496" s="5" t="s">
        <v>48</v>
      </c>
      <c r="E496" s="5" t="s">
        <v>77</v>
      </c>
      <c r="F496" s="5" t="s">
        <v>78</v>
      </c>
      <c r="G496" s="5" t="s">
        <v>41</v>
      </c>
      <c r="H496" s="5" t="s">
        <v>253</v>
      </c>
      <c r="I496" s="5" t="s">
        <v>254</v>
      </c>
      <c r="J496" s="5" t="s">
        <v>54</v>
      </c>
      <c r="K496" s="5" t="s">
        <v>55</v>
      </c>
      <c r="L496" s="5">
        <v>5</v>
      </c>
      <c r="M496" s="5">
        <v>2600</v>
      </c>
      <c r="N496" s="5">
        <v>5</v>
      </c>
      <c r="O496" s="5">
        <v>12350</v>
      </c>
      <c r="P496" s="5">
        <v>7915.99</v>
      </c>
      <c r="Q496" s="5">
        <v>4434.01</v>
      </c>
      <c r="R496" s="5" t="s">
        <v>44</v>
      </c>
      <c r="S496" s="5" t="s">
        <v>33</v>
      </c>
      <c r="T496" s="5" t="s">
        <v>73</v>
      </c>
      <c r="U496" s="5">
        <v>5</v>
      </c>
      <c r="V496" s="5" t="s">
        <v>45</v>
      </c>
    </row>
    <row r="497" spans="1:22" x14ac:dyDescent="0.3">
      <c r="A497" s="5" t="s">
        <v>995</v>
      </c>
      <c r="B497" s="6">
        <v>46104</v>
      </c>
      <c r="C497" s="5" t="s">
        <v>237</v>
      </c>
      <c r="D497" s="5" t="s">
        <v>151</v>
      </c>
      <c r="E497" s="5" t="s">
        <v>77</v>
      </c>
      <c r="F497" s="5" t="s">
        <v>78</v>
      </c>
      <c r="G497" s="5" t="s">
        <v>41</v>
      </c>
      <c r="H497" s="5" t="s">
        <v>281</v>
      </c>
      <c r="I497" s="5" t="s">
        <v>282</v>
      </c>
      <c r="J497" s="5" t="s">
        <v>30</v>
      </c>
      <c r="K497" s="5" t="s">
        <v>31</v>
      </c>
      <c r="L497" s="5">
        <v>5</v>
      </c>
      <c r="M497" s="5">
        <v>44829</v>
      </c>
      <c r="N497" s="5">
        <v>20</v>
      </c>
      <c r="O497" s="5">
        <v>179316</v>
      </c>
      <c r="P497" s="5">
        <v>151642.82999999999</v>
      </c>
      <c r="Q497" s="5">
        <v>27673.17</v>
      </c>
      <c r="R497" s="5" t="s">
        <v>44</v>
      </c>
      <c r="S497" s="5" t="s">
        <v>82</v>
      </c>
      <c r="T497" s="5" t="s">
        <v>65</v>
      </c>
      <c r="U497" s="5">
        <v>5</v>
      </c>
      <c r="V497" s="5" t="s">
        <v>35</v>
      </c>
    </row>
    <row r="498" spans="1:22" x14ac:dyDescent="0.3">
      <c r="A498" s="5" t="s">
        <v>996</v>
      </c>
      <c r="B498" s="6">
        <v>46087</v>
      </c>
      <c r="C498" s="5" t="s">
        <v>223</v>
      </c>
      <c r="D498" s="5" t="s">
        <v>38</v>
      </c>
      <c r="E498" s="5" t="s">
        <v>39</v>
      </c>
      <c r="F498" s="5" t="s">
        <v>40</v>
      </c>
      <c r="G498" s="5" t="s">
        <v>41</v>
      </c>
      <c r="H498" s="5" t="s">
        <v>479</v>
      </c>
      <c r="I498" s="5" t="s">
        <v>480</v>
      </c>
      <c r="J498" s="5" t="s">
        <v>71</v>
      </c>
      <c r="K498" s="5" t="s">
        <v>72</v>
      </c>
      <c r="L498" s="5">
        <v>5</v>
      </c>
      <c r="M498" s="5">
        <v>15682</v>
      </c>
      <c r="N498" s="5">
        <v>0</v>
      </c>
      <c r="O498" s="5">
        <v>78410</v>
      </c>
      <c r="P498" s="5">
        <v>57713.59</v>
      </c>
      <c r="Q498" s="5">
        <v>20696.41</v>
      </c>
      <c r="R498" s="5" t="s">
        <v>44</v>
      </c>
      <c r="S498" s="5" t="s">
        <v>33</v>
      </c>
      <c r="T498" s="5" t="s">
        <v>73</v>
      </c>
      <c r="U498" s="5">
        <v>4</v>
      </c>
      <c r="V498" s="5" t="s">
        <v>45</v>
      </c>
    </row>
    <row r="499" spans="1:22" x14ac:dyDescent="0.3">
      <c r="A499" s="5" t="s">
        <v>997</v>
      </c>
      <c r="B499" s="6">
        <v>46060</v>
      </c>
      <c r="C499" s="5" t="s">
        <v>654</v>
      </c>
      <c r="D499" s="5" t="s">
        <v>24</v>
      </c>
      <c r="E499" s="5" t="s">
        <v>94</v>
      </c>
      <c r="F499" s="5" t="s">
        <v>26</v>
      </c>
      <c r="G499" s="5" t="s">
        <v>27</v>
      </c>
      <c r="H499" s="5" t="s">
        <v>180</v>
      </c>
      <c r="I499" s="5" t="s">
        <v>181</v>
      </c>
      <c r="J499" s="5" t="s">
        <v>54</v>
      </c>
      <c r="K499" s="5" t="s">
        <v>55</v>
      </c>
      <c r="L499" s="5">
        <v>2</v>
      </c>
      <c r="M499" s="5">
        <v>6958</v>
      </c>
      <c r="N499" s="5">
        <v>15</v>
      </c>
      <c r="O499" s="5">
        <v>11828.6</v>
      </c>
      <c r="P499" s="5">
        <v>10214.33</v>
      </c>
      <c r="Q499" s="5">
        <v>1614.27</v>
      </c>
      <c r="R499" s="5" t="s">
        <v>44</v>
      </c>
      <c r="S499" s="5" t="s">
        <v>82</v>
      </c>
      <c r="T499" s="5" t="s">
        <v>65</v>
      </c>
      <c r="U499" s="5">
        <v>4</v>
      </c>
      <c r="V499" s="5" t="s">
        <v>35</v>
      </c>
    </row>
    <row r="500" spans="1:22" x14ac:dyDescent="0.3">
      <c r="A500" s="5" t="s">
        <v>998</v>
      </c>
      <c r="B500" s="6">
        <v>46190</v>
      </c>
      <c r="C500" s="5" t="s">
        <v>420</v>
      </c>
      <c r="D500" s="5" t="s">
        <v>151</v>
      </c>
      <c r="E500" s="5" t="s">
        <v>77</v>
      </c>
      <c r="F500" s="5" t="s">
        <v>78</v>
      </c>
      <c r="G500" s="5" t="s">
        <v>41</v>
      </c>
      <c r="H500" s="5" t="s">
        <v>678</v>
      </c>
      <c r="I500" s="5" t="s">
        <v>679</v>
      </c>
      <c r="J500" s="5" t="s">
        <v>54</v>
      </c>
      <c r="K500" s="5" t="s">
        <v>55</v>
      </c>
      <c r="L500" s="5">
        <v>2</v>
      </c>
      <c r="M500" s="5">
        <v>1087</v>
      </c>
      <c r="N500" s="5">
        <v>5</v>
      </c>
      <c r="O500" s="5">
        <v>2065.3000000000002</v>
      </c>
      <c r="P500" s="5">
        <v>1291.6300000000001</v>
      </c>
      <c r="Q500" s="5">
        <v>773.67</v>
      </c>
      <c r="R500" s="5" t="s">
        <v>44</v>
      </c>
      <c r="S500" s="5" t="s">
        <v>82</v>
      </c>
      <c r="T500" s="5" t="s">
        <v>34</v>
      </c>
      <c r="U500" s="5">
        <v>1</v>
      </c>
      <c r="V500" s="5" t="s">
        <v>45</v>
      </c>
    </row>
    <row r="501" spans="1:22" x14ac:dyDescent="0.3">
      <c r="A501" s="5" t="s">
        <v>999</v>
      </c>
      <c r="B501" s="6">
        <v>46123</v>
      </c>
      <c r="C501" s="5" t="s">
        <v>1000</v>
      </c>
      <c r="D501" s="5" t="s">
        <v>151</v>
      </c>
      <c r="E501" s="5" t="s">
        <v>126</v>
      </c>
      <c r="F501" s="5" t="s">
        <v>126</v>
      </c>
      <c r="G501" s="5" t="s">
        <v>51</v>
      </c>
      <c r="H501" s="5" t="s">
        <v>281</v>
      </c>
      <c r="I501" s="5" t="s">
        <v>282</v>
      </c>
      <c r="J501" s="5" t="s">
        <v>30</v>
      </c>
      <c r="K501" s="5" t="s">
        <v>31</v>
      </c>
      <c r="L501" s="5">
        <v>1</v>
      </c>
      <c r="M501" s="5">
        <v>73342</v>
      </c>
      <c r="N501" s="5">
        <v>0</v>
      </c>
      <c r="O501" s="5">
        <v>73342</v>
      </c>
      <c r="P501" s="5">
        <v>59181.33</v>
      </c>
      <c r="Q501" s="5">
        <v>14160.67</v>
      </c>
      <c r="R501" s="5" t="s">
        <v>32</v>
      </c>
      <c r="S501" s="5" t="s">
        <v>82</v>
      </c>
      <c r="T501" s="5" t="s">
        <v>65</v>
      </c>
      <c r="U501" s="5">
        <v>4</v>
      </c>
      <c r="V501" s="5" t="s">
        <v>45</v>
      </c>
    </row>
    <row r="502" spans="1:22" x14ac:dyDescent="0.3">
      <c r="A502" s="5" t="s">
        <v>1001</v>
      </c>
      <c r="B502" s="6">
        <v>46173</v>
      </c>
      <c r="C502" s="5" t="s">
        <v>720</v>
      </c>
      <c r="D502" s="5" t="s">
        <v>117</v>
      </c>
      <c r="E502" s="5" t="s">
        <v>94</v>
      </c>
      <c r="F502" s="5" t="s">
        <v>26</v>
      </c>
      <c r="G502" s="5" t="s">
        <v>27</v>
      </c>
      <c r="H502" s="5" t="s">
        <v>234</v>
      </c>
      <c r="I502" s="5" t="s">
        <v>235</v>
      </c>
      <c r="J502" s="5" t="s">
        <v>102</v>
      </c>
      <c r="K502" s="5" t="s">
        <v>103</v>
      </c>
      <c r="L502" s="5">
        <v>4</v>
      </c>
      <c r="M502" s="5">
        <v>74501</v>
      </c>
      <c r="N502" s="5">
        <v>10</v>
      </c>
      <c r="O502" s="5">
        <v>268203.59999999998</v>
      </c>
      <c r="P502" s="5">
        <v>175231.24</v>
      </c>
      <c r="Q502" s="5">
        <v>92972.36</v>
      </c>
      <c r="R502" s="5" t="s">
        <v>32</v>
      </c>
      <c r="S502" s="5" t="s">
        <v>33</v>
      </c>
      <c r="T502" s="5" t="s">
        <v>65</v>
      </c>
      <c r="U502" s="5">
        <v>4</v>
      </c>
      <c r="V502" s="5" t="s">
        <v>35</v>
      </c>
    </row>
    <row r="503" spans="1:22" x14ac:dyDescent="0.3">
      <c r="A503" s="5" t="s">
        <v>1002</v>
      </c>
      <c r="B503" s="6">
        <v>46160</v>
      </c>
      <c r="C503" s="5" t="s">
        <v>556</v>
      </c>
      <c r="D503" s="5" t="s">
        <v>48</v>
      </c>
      <c r="E503" s="5" t="s">
        <v>77</v>
      </c>
      <c r="F503" s="5" t="s">
        <v>78</v>
      </c>
      <c r="G503" s="5" t="s">
        <v>41</v>
      </c>
      <c r="H503" s="5" t="s">
        <v>457</v>
      </c>
      <c r="I503" s="5" t="s">
        <v>458</v>
      </c>
      <c r="J503" s="5" t="s">
        <v>71</v>
      </c>
      <c r="K503" s="5" t="s">
        <v>81</v>
      </c>
      <c r="L503" s="5">
        <v>2</v>
      </c>
      <c r="M503" s="5">
        <v>30834</v>
      </c>
      <c r="N503" s="5">
        <v>5</v>
      </c>
      <c r="O503" s="5">
        <v>58584.6</v>
      </c>
      <c r="P503" s="5">
        <v>44708.800000000003</v>
      </c>
      <c r="Q503" s="5">
        <v>13875.8</v>
      </c>
      <c r="R503" s="5" t="s">
        <v>44</v>
      </c>
      <c r="S503" s="5" t="s">
        <v>33</v>
      </c>
      <c r="T503" s="5" t="s">
        <v>73</v>
      </c>
      <c r="U503" s="5">
        <v>2</v>
      </c>
      <c r="V503" s="5" t="s">
        <v>45</v>
      </c>
    </row>
    <row r="504" spans="1:22" x14ac:dyDescent="0.3">
      <c r="A504" s="5" t="s">
        <v>1003</v>
      </c>
      <c r="B504" s="6">
        <v>46151</v>
      </c>
      <c r="C504" s="5" t="s">
        <v>456</v>
      </c>
      <c r="D504" s="5" t="s">
        <v>117</v>
      </c>
      <c r="E504" s="5" t="s">
        <v>39</v>
      </c>
      <c r="F504" s="5" t="s">
        <v>40</v>
      </c>
      <c r="G504" s="5" t="s">
        <v>41</v>
      </c>
      <c r="H504" s="5" t="s">
        <v>324</v>
      </c>
      <c r="I504" s="5" t="s">
        <v>325</v>
      </c>
      <c r="J504" s="5" t="s">
        <v>54</v>
      </c>
      <c r="K504" s="5" t="s">
        <v>55</v>
      </c>
      <c r="L504" s="5">
        <v>3</v>
      </c>
      <c r="M504" s="5">
        <v>59481</v>
      </c>
      <c r="N504" s="5">
        <v>5</v>
      </c>
      <c r="O504" s="5">
        <v>169520.85</v>
      </c>
      <c r="P504" s="5">
        <v>142355.98000000001</v>
      </c>
      <c r="Q504" s="5">
        <v>27164.87</v>
      </c>
      <c r="R504" s="5" t="s">
        <v>32</v>
      </c>
      <c r="S504" s="5" t="s">
        <v>82</v>
      </c>
      <c r="T504" s="5" t="s">
        <v>73</v>
      </c>
      <c r="U504" s="5">
        <v>3</v>
      </c>
      <c r="V504" s="5" t="s">
        <v>35</v>
      </c>
    </row>
    <row r="505" spans="1:22" x14ac:dyDescent="0.3">
      <c r="A505" s="5" t="s">
        <v>1004</v>
      </c>
      <c r="B505" s="6">
        <v>46147</v>
      </c>
      <c r="C505" s="5" t="s">
        <v>823</v>
      </c>
      <c r="D505" s="5" t="s">
        <v>38</v>
      </c>
      <c r="E505" s="5" t="s">
        <v>39</v>
      </c>
      <c r="F505" s="5" t="s">
        <v>40</v>
      </c>
      <c r="G505" s="5" t="s">
        <v>41</v>
      </c>
      <c r="H505" s="5" t="s">
        <v>324</v>
      </c>
      <c r="I505" s="5" t="s">
        <v>325</v>
      </c>
      <c r="J505" s="5" t="s">
        <v>54</v>
      </c>
      <c r="K505" s="5" t="s">
        <v>55</v>
      </c>
      <c r="L505" s="5">
        <v>3</v>
      </c>
      <c r="M505" s="5">
        <v>12315</v>
      </c>
      <c r="N505" s="5">
        <v>0</v>
      </c>
      <c r="O505" s="5">
        <v>36945</v>
      </c>
      <c r="P505" s="5">
        <v>31302.9</v>
      </c>
      <c r="Q505" s="5">
        <v>5642.1</v>
      </c>
      <c r="R505" s="5" t="s">
        <v>44</v>
      </c>
      <c r="S505" s="5" t="s">
        <v>33</v>
      </c>
      <c r="T505" s="5" t="s">
        <v>34</v>
      </c>
      <c r="U505" s="5">
        <v>4</v>
      </c>
      <c r="V505" s="5" t="s">
        <v>45</v>
      </c>
    </row>
    <row r="506" spans="1:22" x14ac:dyDescent="0.3">
      <c r="A506" s="5" t="s">
        <v>1005</v>
      </c>
      <c r="B506" s="6">
        <v>46085</v>
      </c>
      <c r="C506" s="5" t="s">
        <v>687</v>
      </c>
      <c r="D506" s="5" t="s">
        <v>89</v>
      </c>
      <c r="E506" s="5" t="s">
        <v>94</v>
      </c>
      <c r="F506" s="5" t="s">
        <v>26</v>
      </c>
      <c r="G506" s="5" t="s">
        <v>27</v>
      </c>
      <c r="H506" s="5" t="s">
        <v>156</v>
      </c>
      <c r="I506" s="5" t="s">
        <v>157</v>
      </c>
      <c r="J506" s="5" t="s">
        <v>30</v>
      </c>
      <c r="K506" s="5" t="s">
        <v>31</v>
      </c>
      <c r="L506" s="5">
        <v>5</v>
      </c>
      <c r="M506" s="5">
        <v>3963</v>
      </c>
      <c r="N506" s="5">
        <v>5</v>
      </c>
      <c r="O506" s="5">
        <v>18824.25</v>
      </c>
      <c r="P506" s="5">
        <v>14675.39</v>
      </c>
      <c r="Q506" s="5">
        <v>4148.8599999999997</v>
      </c>
      <c r="R506" s="5" t="s">
        <v>32</v>
      </c>
      <c r="S506" s="5" t="s">
        <v>33</v>
      </c>
      <c r="T506" s="5" t="s">
        <v>65</v>
      </c>
      <c r="U506" s="5">
        <v>1</v>
      </c>
      <c r="V506" s="5" t="s">
        <v>35</v>
      </c>
    </row>
    <row r="507" spans="1:22" x14ac:dyDescent="0.3">
      <c r="A507" s="5" t="s">
        <v>1006</v>
      </c>
      <c r="B507" s="6">
        <v>46100</v>
      </c>
      <c r="C507" s="5" t="s">
        <v>693</v>
      </c>
      <c r="D507" s="5" t="s">
        <v>58</v>
      </c>
      <c r="E507" s="5" t="s">
        <v>59</v>
      </c>
      <c r="F507" s="5" t="s">
        <v>60</v>
      </c>
      <c r="G507" s="5" t="s">
        <v>61</v>
      </c>
      <c r="H507" s="5" t="s">
        <v>113</v>
      </c>
      <c r="I507" s="5" t="s">
        <v>114</v>
      </c>
      <c r="J507" s="5" t="s">
        <v>102</v>
      </c>
      <c r="K507" s="5" t="s">
        <v>103</v>
      </c>
      <c r="L507" s="5">
        <v>3</v>
      </c>
      <c r="M507" s="5">
        <v>55636</v>
      </c>
      <c r="N507" s="5">
        <v>10</v>
      </c>
      <c r="O507" s="5">
        <v>150217.20000000001</v>
      </c>
      <c r="P507" s="5">
        <v>133987.78</v>
      </c>
      <c r="Q507" s="5">
        <v>16229.42</v>
      </c>
      <c r="R507" s="5" t="s">
        <v>64</v>
      </c>
      <c r="S507" s="5" t="s">
        <v>33</v>
      </c>
      <c r="T507" s="5" t="s">
        <v>65</v>
      </c>
      <c r="U507" s="5">
        <v>3</v>
      </c>
      <c r="V507" s="5" t="s">
        <v>35</v>
      </c>
    </row>
    <row r="508" spans="1:22" x14ac:dyDescent="0.3">
      <c r="A508" s="5" t="s">
        <v>1007</v>
      </c>
      <c r="B508" s="6">
        <v>46201</v>
      </c>
      <c r="C508" s="5" t="s">
        <v>667</v>
      </c>
      <c r="D508" s="5" t="s">
        <v>110</v>
      </c>
      <c r="E508" s="5" t="s">
        <v>126</v>
      </c>
      <c r="F508" s="5" t="s">
        <v>126</v>
      </c>
      <c r="G508" s="5" t="s">
        <v>51</v>
      </c>
      <c r="H508" s="5" t="s">
        <v>371</v>
      </c>
      <c r="I508" s="5" t="s">
        <v>372</v>
      </c>
      <c r="J508" s="5" t="s">
        <v>71</v>
      </c>
      <c r="K508" s="5" t="s">
        <v>72</v>
      </c>
      <c r="L508" s="5">
        <v>1</v>
      </c>
      <c r="M508" s="5">
        <v>40238</v>
      </c>
      <c r="N508" s="5">
        <v>10</v>
      </c>
      <c r="O508" s="5">
        <v>36214.199999999997</v>
      </c>
      <c r="P508" s="5">
        <v>22324.63</v>
      </c>
      <c r="Q508" s="5">
        <v>13889.57</v>
      </c>
      <c r="R508" s="5" t="s">
        <v>44</v>
      </c>
      <c r="S508" s="5" t="s">
        <v>33</v>
      </c>
      <c r="T508" s="5" t="s">
        <v>65</v>
      </c>
      <c r="U508" s="5">
        <v>3</v>
      </c>
      <c r="V508" s="5" t="s">
        <v>35</v>
      </c>
    </row>
    <row r="509" spans="1:22" x14ac:dyDescent="0.3">
      <c r="A509" s="5" t="s">
        <v>1008</v>
      </c>
      <c r="B509" s="6">
        <v>46172</v>
      </c>
      <c r="C509" s="5" t="s">
        <v>345</v>
      </c>
      <c r="D509" s="5" t="s">
        <v>151</v>
      </c>
      <c r="E509" s="5" t="s">
        <v>77</v>
      </c>
      <c r="F509" s="5" t="s">
        <v>78</v>
      </c>
      <c r="G509" s="5" t="s">
        <v>41</v>
      </c>
      <c r="H509" s="5" t="s">
        <v>312</v>
      </c>
      <c r="I509" s="5" t="s">
        <v>313</v>
      </c>
      <c r="J509" s="5" t="s">
        <v>54</v>
      </c>
      <c r="K509" s="5" t="s">
        <v>97</v>
      </c>
      <c r="L509" s="5">
        <v>1</v>
      </c>
      <c r="M509" s="5">
        <v>62750</v>
      </c>
      <c r="N509" s="5">
        <v>0</v>
      </c>
      <c r="O509" s="5">
        <v>62750</v>
      </c>
      <c r="P509" s="5">
        <v>44902.67</v>
      </c>
      <c r="Q509" s="5">
        <v>17847.330000000002</v>
      </c>
      <c r="R509" s="5" t="s">
        <v>32</v>
      </c>
      <c r="S509" s="5" t="s">
        <v>82</v>
      </c>
      <c r="T509" s="5" t="s">
        <v>73</v>
      </c>
      <c r="U509" s="5">
        <v>1</v>
      </c>
      <c r="V509" s="5" t="s">
        <v>45</v>
      </c>
    </row>
    <row r="510" spans="1:22" x14ac:dyDescent="0.3">
      <c r="A510" s="5" t="s">
        <v>1009</v>
      </c>
      <c r="B510" s="6">
        <v>46075</v>
      </c>
      <c r="C510" s="5" t="s">
        <v>647</v>
      </c>
      <c r="D510" s="5" t="s">
        <v>58</v>
      </c>
      <c r="E510" s="5" t="s">
        <v>59</v>
      </c>
      <c r="F510" s="5" t="s">
        <v>60</v>
      </c>
      <c r="G510" s="5" t="s">
        <v>61</v>
      </c>
      <c r="H510" s="5" t="s">
        <v>411</v>
      </c>
      <c r="I510" s="5" t="s">
        <v>412</v>
      </c>
      <c r="J510" s="5" t="s">
        <v>54</v>
      </c>
      <c r="K510" s="5" t="s">
        <v>97</v>
      </c>
      <c r="L510" s="5">
        <v>5</v>
      </c>
      <c r="M510" s="5">
        <v>69498</v>
      </c>
      <c r="N510" s="5">
        <v>10</v>
      </c>
      <c r="O510" s="5">
        <v>312741</v>
      </c>
      <c r="P510" s="5">
        <v>222012.66</v>
      </c>
      <c r="Q510" s="5">
        <v>90728.34</v>
      </c>
      <c r="R510" s="5" t="s">
        <v>44</v>
      </c>
      <c r="S510" s="5" t="s">
        <v>33</v>
      </c>
      <c r="T510" s="5" t="s">
        <v>73</v>
      </c>
      <c r="U510" s="5">
        <v>5</v>
      </c>
      <c r="V510" s="5" t="s">
        <v>35</v>
      </c>
    </row>
    <row r="511" spans="1:22" x14ac:dyDescent="0.3">
      <c r="A511" s="5" t="s">
        <v>1010</v>
      </c>
      <c r="B511" s="6">
        <v>46057</v>
      </c>
      <c r="C511" s="5" t="s">
        <v>327</v>
      </c>
      <c r="D511" s="5" t="s">
        <v>89</v>
      </c>
      <c r="E511" s="5" t="s">
        <v>39</v>
      </c>
      <c r="F511" s="5" t="s">
        <v>40</v>
      </c>
      <c r="G511" s="5" t="s">
        <v>41</v>
      </c>
      <c r="H511" s="5" t="s">
        <v>367</v>
      </c>
      <c r="I511" s="5" t="s">
        <v>368</v>
      </c>
      <c r="J511" s="5" t="s">
        <v>71</v>
      </c>
      <c r="K511" s="5" t="s">
        <v>72</v>
      </c>
      <c r="L511" s="5">
        <v>5</v>
      </c>
      <c r="M511" s="5">
        <v>1928</v>
      </c>
      <c r="N511" s="5">
        <v>15</v>
      </c>
      <c r="O511" s="5">
        <v>8194</v>
      </c>
      <c r="P511" s="5">
        <v>8118.87</v>
      </c>
      <c r="Q511" s="5">
        <v>75.13</v>
      </c>
      <c r="R511" s="5" t="s">
        <v>44</v>
      </c>
      <c r="S511" s="5" t="s">
        <v>33</v>
      </c>
      <c r="T511" s="5" t="s">
        <v>65</v>
      </c>
      <c r="U511" s="5">
        <v>3</v>
      </c>
      <c r="V511" s="5" t="s">
        <v>35</v>
      </c>
    </row>
    <row r="512" spans="1:22" x14ac:dyDescent="0.3">
      <c r="A512" s="5" t="s">
        <v>1011</v>
      </c>
      <c r="B512" s="6">
        <v>46085</v>
      </c>
      <c r="C512" s="5" t="s">
        <v>163</v>
      </c>
      <c r="D512" s="5" t="s">
        <v>110</v>
      </c>
      <c r="E512" s="5" t="s">
        <v>25</v>
      </c>
      <c r="F512" s="5" t="s">
        <v>26</v>
      </c>
      <c r="G512" s="5" t="s">
        <v>27</v>
      </c>
      <c r="H512" s="5" t="s">
        <v>213</v>
      </c>
      <c r="I512" s="5" t="s">
        <v>214</v>
      </c>
      <c r="J512" s="5" t="s">
        <v>54</v>
      </c>
      <c r="K512" s="5" t="s">
        <v>97</v>
      </c>
      <c r="L512" s="5">
        <v>1</v>
      </c>
      <c r="M512" s="5">
        <v>71072</v>
      </c>
      <c r="N512" s="5">
        <v>20</v>
      </c>
      <c r="O512" s="5">
        <v>56857.599999999999</v>
      </c>
      <c r="P512" s="5">
        <v>44705.42</v>
      </c>
      <c r="Q512" s="5">
        <v>12152.18</v>
      </c>
      <c r="R512" s="5" t="s">
        <v>44</v>
      </c>
      <c r="S512" s="5" t="s">
        <v>82</v>
      </c>
      <c r="T512" s="5" t="s">
        <v>34</v>
      </c>
      <c r="U512" s="5">
        <v>5</v>
      </c>
      <c r="V512" s="5" t="s">
        <v>45</v>
      </c>
    </row>
    <row r="513" spans="1:22" x14ac:dyDescent="0.3">
      <c r="A513" s="5" t="s">
        <v>1012</v>
      </c>
      <c r="B513" s="6">
        <v>46146</v>
      </c>
      <c r="C513" s="5" t="s">
        <v>770</v>
      </c>
      <c r="D513" s="5" t="s">
        <v>68</v>
      </c>
      <c r="E513" s="5" t="s">
        <v>77</v>
      </c>
      <c r="F513" s="5" t="s">
        <v>78</v>
      </c>
      <c r="G513" s="5" t="s">
        <v>41</v>
      </c>
      <c r="H513" s="5" t="s">
        <v>79</v>
      </c>
      <c r="I513" s="5" t="s">
        <v>80</v>
      </c>
      <c r="J513" s="5" t="s">
        <v>71</v>
      </c>
      <c r="K513" s="5" t="s">
        <v>81</v>
      </c>
      <c r="L513" s="5">
        <v>3</v>
      </c>
      <c r="M513" s="5">
        <v>48635</v>
      </c>
      <c r="N513" s="5">
        <v>10</v>
      </c>
      <c r="O513" s="5">
        <v>131314.5</v>
      </c>
      <c r="P513" s="5">
        <v>94223.6</v>
      </c>
      <c r="Q513" s="5">
        <v>37090.9</v>
      </c>
      <c r="R513" s="5" t="s">
        <v>32</v>
      </c>
      <c r="S513" s="5" t="s">
        <v>82</v>
      </c>
      <c r="T513" s="5" t="s">
        <v>65</v>
      </c>
      <c r="U513" s="5">
        <v>1</v>
      </c>
      <c r="V513" s="5" t="s">
        <v>45</v>
      </c>
    </row>
    <row r="514" spans="1:22" x14ac:dyDescent="0.3">
      <c r="A514" s="5" t="s">
        <v>1013</v>
      </c>
      <c r="B514" s="6">
        <v>46084</v>
      </c>
      <c r="C514" s="5" t="s">
        <v>155</v>
      </c>
      <c r="D514" s="5" t="s">
        <v>58</v>
      </c>
      <c r="E514" s="5" t="s">
        <v>25</v>
      </c>
      <c r="F514" s="5" t="s">
        <v>26</v>
      </c>
      <c r="G514" s="5" t="s">
        <v>27</v>
      </c>
      <c r="H514" s="5" t="s">
        <v>367</v>
      </c>
      <c r="I514" s="5" t="s">
        <v>368</v>
      </c>
      <c r="J514" s="5" t="s">
        <v>71</v>
      </c>
      <c r="K514" s="5" t="s">
        <v>72</v>
      </c>
      <c r="L514" s="5">
        <v>5</v>
      </c>
      <c r="M514" s="5">
        <v>12342</v>
      </c>
      <c r="N514" s="5">
        <v>20</v>
      </c>
      <c r="O514" s="5">
        <v>49368</v>
      </c>
      <c r="P514" s="5">
        <v>43983.02</v>
      </c>
      <c r="Q514" s="5">
        <v>5384.98</v>
      </c>
      <c r="R514" s="5" t="s">
        <v>44</v>
      </c>
      <c r="S514" s="5" t="s">
        <v>82</v>
      </c>
      <c r="T514" s="5" t="s">
        <v>73</v>
      </c>
      <c r="U514" s="5">
        <v>2</v>
      </c>
      <c r="V514" s="5" t="s">
        <v>35</v>
      </c>
    </row>
    <row r="515" spans="1:22" x14ac:dyDescent="0.3">
      <c r="A515" s="5" t="s">
        <v>1014</v>
      </c>
      <c r="B515" s="6">
        <v>46133</v>
      </c>
      <c r="C515" s="5" t="s">
        <v>468</v>
      </c>
      <c r="D515" s="5" t="s">
        <v>76</v>
      </c>
      <c r="E515" s="5" t="s">
        <v>49</v>
      </c>
      <c r="F515" s="5" t="s">
        <v>50</v>
      </c>
      <c r="G515" s="5" t="s">
        <v>51</v>
      </c>
      <c r="H515" s="5" t="s">
        <v>306</v>
      </c>
      <c r="I515" s="5" t="s">
        <v>307</v>
      </c>
      <c r="J515" s="5" t="s">
        <v>71</v>
      </c>
      <c r="K515" s="5" t="s">
        <v>81</v>
      </c>
      <c r="L515" s="5">
        <v>4</v>
      </c>
      <c r="M515" s="5">
        <v>4723</v>
      </c>
      <c r="N515" s="5">
        <v>15</v>
      </c>
      <c r="O515" s="5">
        <v>16058.2</v>
      </c>
      <c r="P515" s="5">
        <v>10571.87</v>
      </c>
      <c r="Q515" s="5">
        <v>5486.33</v>
      </c>
      <c r="R515" s="5" t="s">
        <v>44</v>
      </c>
      <c r="S515" s="5" t="s">
        <v>33</v>
      </c>
      <c r="T515" s="5" t="s">
        <v>73</v>
      </c>
      <c r="U515" s="5">
        <v>2</v>
      </c>
      <c r="V515" s="5" t="s">
        <v>35</v>
      </c>
    </row>
    <row r="516" spans="1:22" x14ac:dyDescent="0.3">
      <c r="A516" s="5" t="s">
        <v>1015</v>
      </c>
      <c r="B516" s="6">
        <v>46149</v>
      </c>
      <c r="C516" s="5" t="s">
        <v>175</v>
      </c>
      <c r="D516" s="5" t="s">
        <v>110</v>
      </c>
      <c r="E516" s="5" t="s">
        <v>94</v>
      </c>
      <c r="F516" s="5" t="s">
        <v>26</v>
      </c>
      <c r="G516" s="5" t="s">
        <v>27</v>
      </c>
      <c r="H516" s="5" t="s">
        <v>193</v>
      </c>
      <c r="I516" s="5" t="s">
        <v>194</v>
      </c>
      <c r="J516" s="5" t="s">
        <v>71</v>
      </c>
      <c r="K516" s="5" t="s">
        <v>72</v>
      </c>
      <c r="L516" s="5">
        <v>2</v>
      </c>
      <c r="M516" s="5">
        <v>19373</v>
      </c>
      <c r="N516" s="5">
        <v>0</v>
      </c>
      <c r="O516" s="5">
        <v>38746</v>
      </c>
      <c r="P516" s="5">
        <v>30613.94</v>
      </c>
      <c r="Q516" s="5">
        <v>8132.06</v>
      </c>
      <c r="R516" s="5" t="s">
        <v>44</v>
      </c>
      <c r="S516" s="5" t="s">
        <v>33</v>
      </c>
      <c r="T516" s="5" t="s">
        <v>73</v>
      </c>
      <c r="U516" s="5">
        <v>4</v>
      </c>
      <c r="V516" s="5" t="s">
        <v>35</v>
      </c>
    </row>
    <row r="517" spans="1:22" x14ac:dyDescent="0.3">
      <c r="A517" s="5" t="s">
        <v>1016</v>
      </c>
      <c r="B517" s="6">
        <v>46113</v>
      </c>
      <c r="C517" s="5" t="s">
        <v>643</v>
      </c>
      <c r="D517" s="5" t="s">
        <v>151</v>
      </c>
      <c r="E517" s="5" t="s">
        <v>49</v>
      </c>
      <c r="F517" s="5" t="s">
        <v>50</v>
      </c>
      <c r="G517" s="5" t="s">
        <v>51</v>
      </c>
      <c r="H517" s="5" t="s">
        <v>526</v>
      </c>
      <c r="I517" s="5" t="s">
        <v>527</v>
      </c>
      <c r="J517" s="5" t="s">
        <v>71</v>
      </c>
      <c r="K517" s="5" t="s">
        <v>81</v>
      </c>
      <c r="L517" s="5">
        <v>1</v>
      </c>
      <c r="M517" s="5">
        <v>75545</v>
      </c>
      <c r="N517" s="5">
        <v>20</v>
      </c>
      <c r="O517" s="5">
        <v>60436</v>
      </c>
      <c r="P517" s="5">
        <v>63248.52</v>
      </c>
      <c r="Q517" s="5">
        <v>-2812.52</v>
      </c>
      <c r="R517" s="5" t="s">
        <v>44</v>
      </c>
      <c r="S517" s="5" t="s">
        <v>33</v>
      </c>
      <c r="T517" s="5" t="s">
        <v>65</v>
      </c>
      <c r="U517" s="5">
        <v>1</v>
      </c>
      <c r="V517" s="5" t="s">
        <v>35</v>
      </c>
    </row>
    <row r="518" spans="1:22" x14ac:dyDescent="0.3">
      <c r="A518" s="5" t="s">
        <v>1017</v>
      </c>
      <c r="B518" s="6">
        <v>46037</v>
      </c>
      <c r="C518" s="5" t="s">
        <v>1018</v>
      </c>
      <c r="D518" s="5" t="s">
        <v>68</v>
      </c>
      <c r="E518" s="5" t="s">
        <v>94</v>
      </c>
      <c r="F518" s="5" t="s">
        <v>26</v>
      </c>
      <c r="G518" s="5" t="s">
        <v>27</v>
      </c>
      <c r="H518" s="5" t="s">
        <v>762</v>
      </c>
      <c r="I518" s="5" t="s">
        <v>763</v>
      </c>
      <c r="J518" s="5" t="s">
        <v>54</v>
      </c>
      <c r="K518" s="5" t="s">
        <v>55</v>
      </c>
      <c r="L518" s="5">
        <v>5</v>
      </c>
      <c r="M518" s="5">
        <v>32482</v>
      </c>
      <c r="N518" s="5">
        <v>0</v>
      </c>
      <c r="O518" s="5">
        <v>162410</v>
      </c>
      <c r="P518" s="5">
        <v>97638.56</v>
      </c>
      <c r="Q518" s="5">
        <v>64771.44</v>
      </c>
      <c r="R518" s="5" t="s">
        <v>64</v>
      </c>
      <c r="S518" s="5" t="s">
        <v>82</v>
      </c>
      <c r="T518" s="5" t="s">
        <v>34</v>
      </c>
      <c r="U518" s="5">
        <v>2</v>
      </c>
      <c r="V518" s="5" t="s">
        <v>45</v>
      </c>
    </row>
    <row r="519" spans="1:22" x14ac:dyDescent="0.3">
      <c r="A519" s="5" t="s">
        <v>1019</v>
      </c>
      <c r="B519" s="6">
        <v>46165</v>
      </c>
      <c r="C519" s="5" t="s">
        <v>579</v>
      </c>
      <c r="D519" s="5" t="s">
        <v>48</v>
      </c>
      <c r="E519" s="5" t="s">
        <v>25</v>
      </c>
      <c r="F519" s="5" t="s">
        <v>26</v>
      </c>
      <c r="G519" s="5" t="s">
        <v>27</v>
      </c>
      <c r="H519" s="5" t="s">
        <v>253</v>
      </c>
      <c r="I519" s="5" t="s">
        <v>254</v>
      </c>
      <c r="J519" s="5" t="s">
        <v>54</v>
      </c>
      <c r="K519" s="5" t="s">
        <v>55</v>
      </c>
      <c r="L519" s="5">
        <v>2</v>
      </c>
      <c r="M519" s="5">
        <v>62530</v>
      </c>
      <c r="N519" s="5">
        <v>20</v>
      </c>
      <c r="O519" s="5">
        <v>100048</v>
      </c>
      <c r="P519" s="5">
        <v>101124.24</v>
      </c>
      <c r="Q519" s="5">
        <v>-1076.24</v>
      </c>
      <c r="R519" s="5" t="s">
        <v>44</v>
      </c>
      <c r="S519" s="5" t="s">
        <v>33</v>
      </c>
      <c r="T519" s="5" t="s">
        <v>65</v>
      </c>
      <c r="U519" s="5">
        <v>2</v>
      </c>
      <c r="V519" s="5" t="s">
        <v>45</v>
      </c>
    </row>
    <row r="520" spans="1:22" x14ac:dyDescent="0.3">
      <c r="A520" s="5" t="s">
        <v>1020</v>
      </c>
      <c r="B520" s="6">
        <v>46192</v>
      </c>
      <c r="C520" s="5" t="s">
        <v>418</v>
      </c>
      <c r="D520" s="5" t="s">
        <v>117</v>
      </c>
      <c r="E520" s="5" t="s">
        <v>39</v>
      </c>
      <c r="F520" s="5" t="s">
        <v>40</v>
      </c>
      <c r="G520" s="5" t="s">
        <v>41</v>
      </c>
      <c r="H520" s="5" t="s">
        <v>553</v>
      </c>
      <c r="I520" s="5" t="s">
        <v>554</v>
      </c>
      <c r="J520" s="5" t="s">
        <v>54</v>
      </c>
      <c r="K520" s="5" t="s">
        <v>55</v>
      </c>
      <c r="L520" s="5">
        <v>1</v>
      </c>
      <c r="M520" s="5">
        <v>29222</v>
      </c>
      <c r="N520" s="5">
        <v>15</v>
      </c>
      <c r="O520" s="5">
        <v>24838.7</v>
      </c>
      <c r="P520" s="5">
        <v>16789.41</v>
      </c>
      <c r="Q520" s="5">
        <v>8049.29</v>
      </c>
      <c r="R520" s="5" t="s">
        <v>64</v>
      </c>
      <c r="S520" s="5" t="s">
        <v>33</v>
      </c>
      <c r="T520" s="5" t="s">
        <v>65</v>
      </c>
      <c r="U520" s="5">
        <v>2</v>
      </c>
      <c r="V520" s="5" t="s">
        <v>45</v>
      </c>
    </row>
    <row r="521" spans="1:22" x14ac:dyDescent="0.3">
      <c r="A521" s="5" t="s">
        <v>1021</v>
      </c>
      <c r="B521" s="6">
        <v>46070</v>
      </c>
      <c r="C521" s="5" t="s">
        <v>857</v>
      </c>
      <c r="D521" s="5" t="s">
        <v>58</v>
      </c>
      <c r="E521" s="5" t="s">
        <v>77</v>
      </c>
      <c r="F521" s="5" t="s">
        <v>78</v>
      </c>
      <c r="G521" s="5" t="s">
        <v>41</v>
      </c>
      <c r="H521" s="5" t="s">
        <v>152</v>
      </c>
      <c r="I521" s="5" t="s">
        <v>153</v>
      </c>
      <c r="J521" s="5" t="s">
        <v>54</v>
      </c>
      <c r="K521" s="5" t="s">
        <v>97</v>
      </c>
      <c r="L521" s="5">
        <v>2</v>
      </c>
      <c r="M521" s="5">
        <v>41411</v>
      </c>
      <c r="N521" s="5">
        <v>15</v>
      </c>
      <c r="O521" s="5">
        <v>70398.7</v>
      </c>
      <c r="P521" s="5">
        <v>56509.91</v>
      </c>
      <c r="Q521" s="5">
        <v>13888.79</v>
      </c>
      <c r="R521" s="5" t="s">
        <v>32</v>
      </c>
      <c r="S521" s="5" t="s">
        <v>82</v>
      </c>
      <c r="T521" s="5" t="s">
        <v>73</v>
      </c>
      <c r="U521" s="5">
        <v>1</v>
      </c>
      <c r="V521" s="5" t="s">
        <v>45</v>
      </c>
    </row>
    <row r="522" spans="1:22" x14ac:dyDescent="0.3">
      <c r="A522" s="5" t="s">
        <v>1022</v>
      </c>
      <c r="B522" s="6">
        <v>46060</v>
      </c>
      <c r="C522" s="5" t="s">
        <v>581</v>
      </c>
      <c r="D522" s="5" t="s">
        <v>89</v>
      </c>
      <c r="E522" s="5" t="s">
        <v>49</v>
      </c>
      <c r="F522" s="5" t="s">
        <v>50</v>
      </c>
      <c r="G522" s="5" t="s">
        <v>51</v>
      </c>
      <c r="H522" s="5" t="s">
        <v>189</v>
      </c>
      <c r="I522" s="5" t="s">
        <v>190</v>
      </c>
      <c r="J522" s="5" t="s">
        <v>102</v>
      </c>
      <c r="K522" s="5" t="s">
        <v>103</v>
      </c>
      <c r="L522" s="5">
        <v>3</v>
      </c>
      <c r="M522" s="5">
        <v>40787</v>
      </c>
      <c r="N522" s="5">
        <v>5</v>
      </c>
      <c r="O522" s="5">
        <v>116242.95</v>
      </c>
      <c r="P522" s="5">
        <v>101475.64</v>
      </c>
      <c r="Q522" s="5">
        <v>14767.31</v>
      </c>
      <c r="R522" s="5" t="s">
        <v>44</v>
      </c>
      <c r="S522" s="5" t="s">
        <v>82</v>
      </c>
      <c r="T522" s="5" t="s">
        <v>65</v>
      </c>
      <c r="U522" s="5">
        <v>4</v>
      </c>
      <c r="V522" s="5" t="s">
        <v>35</v>
      </c>
    </row>
    <row r="523" spans="1:22" x14ac:dyDescent="0.3">
      <c r="A523" s="5" t="s">
        <v>1023</v>
      </c>
      <c r="B523" s="6">
        <v>46131</v>
      </c>
      <c r="C523" s="5" t="s">
        <v>877</v>
      </c>
      <c r="D523" s="5" t="s">
        <v>48</v>
      </c>
      <c r="E523" s="5" t="s">
        <v>77</v>
      </c>
      <c r="F523" s="5" t="s">
        <v>78</v>
      </c>
      <c r="G523" s="5" t="s">
        <v>41</v>
      </c>
      <c r="H523" s="5" t="s">
        <v>440</v>
      </c>
      <c r="I523" s="5" t="s">
        <v>441</v>
      </c>
      <c r="J523" s="5" t="s">
        <v>30</v>
      </c>
      <c r="K523" s="5" t="s">
        <v>31</v>
      </c>
      <c r="L523" s="5">
        <v>4</v>
      </c>
      <c r="M523" s="5">
        <v>46396</v>
      </c>
      <c r="N523" s="5">
        <v>15</v>
      </c>
      <c r="O523" s="5">
        <v>157746.4</v>
      </c>
      <c r="P523" s="5">
        <v>132629.34</v>
      </c>
      <c r="Q523" s="5">
        <v>25117.06</v>
      </c>
      <c r="R523" s="5" t="s">
        <v>44</v>
      </c>
      <c r="S523" s="5" t="s">
        <v>33</v>
      </c>
      <c r="T523" s="5" t="s">
        <v>73</v>
      </c>
      <c r="U523" s="5">
        <v>1</v>
      </c>
      <c r="V523" s="5" t="s">
        <v>45</v>
      </c>
    </row>
    <row r="524" spans="1:22" x14ac:dyDescent="0.3">
      <c r="A524" s="5" t="s">
        <v>1024</v>
      </c>
      <c r="B524" s="6">
        <v>46184</v>
      </c>
      <c r="C524" s="5" t="s">
        <v>780</v>
      </c>
      <c r="D524" s="5" t="s">
        <v>38</v>
      </c>
      <c r="E524" s="5" t="s">
        <v>25</v>
      </c>
      <c r="F524" s="5" t="s">
        <v>26</v>
      </c>
      <c r="G524" s="5" t="s">
        <v>27</v>
      </c>
      <c r="H524" s="5" t="s">
        <v>324</v>
      </c>
      <c r="I524" s="5" t="s">
        <v>325</v>
      </c>
      <c r="J524" s="5" t="s">
        <v>54</v>
      </c>
      <c r="K524" s="5" t="s">
        <v>55</v>
      </c>
      <c r="L524" s="5">
        <v>1</v>
      </c>
      <c r="M524" s="5">
        <v>62880</v>
      </c>
      <c r="N524" s="5">
        <v>10</v>
      </c>
      <c r="O524" s="5">
        <v>56592</v>
      </c>
      <c r="P524" s="5">
        <v>43880.37</v>
      </c>
      <c r="Q524" s="5">
        <v>12711.63</v>
      </c>
      <c r="R524" s="5" t="s">
        <v>32</v>
      </c>
      <c r="S524" s="5" t="s">
        <v>82</v>
      </c>
      <c r="T524" s="5" t="s">
        <v>65</v>
      </c>
      <c r="U524" s="5">
        <v>5</v>
      </c>
      <c r="V524" s="5" t="s">
        <v>45</v>
      </c>
    </row>
    <row r="525" spans="1:22" x14ac:dyDescent="0.3">
      <c r="A525" s="5" t="s">
        <v>1025</v>
      </c>
      <c r="B525" s="6">
        <v>46051</v>
      </c>
      <c r="C525" s="5" t="s">
        <v>809</v>
      </c>
      <c r="D525" s="5" t="s">
        <v>48</v>
      </c>
      <c r="E525" s="5" t="s">
        <v>25</v>
      </c>
      <c r="F525" s="5" t="s">
        <v>26</v>
      </c>
      <c r="G525" s="5" t="s">
        <v>27</v>
      </c>
      <c r="H525" s="5" t="s">
        <v>203</v>
      </c>
      <c r="I525" s="5" t="s">
        <v>204</v>
      </c>
      <c r="J525" s="5" t="s">
        <v>71</v>
      </c>
      <c r="K525" s="5" t="s">
        <v>81</v>
      </c>
      <c r="L525" s="5">
        <v>1</v>
      </c>
      <c r="M525" s="5">
        <v>42072</v>
      </c>
      <c r="N525" s="5">
        <v>0</v>
      </c>
      <c r="O525" s="5">
        <v>42072</v>
      </c>
      <c r="P525" s="5">
        <v>24855.89</v>
      </c>
      <c r="Q525" s="5">
        <v>17216.11</v>
      </c>
      <c r="R525" s="5" t="s">
        <v>32</v>
      </c>
      <c r="S525" s="5" t="s">
        <v>33</v>
      </c>
      <c r="T525" s="5" t="s">
        <v>73</v>
      </c>
      <c r="U525" s="5">
        <v>5</v>
      </c>
      <c r="V525" s="5" t="s">
        <v>35</v>
      </c>
    </row>
    <row r="526" spans="1:22" x14ac:dyDescent="0.3">
      <c r="A526" s="5" t="s">
        <v>1026</v>
      </c>
      <c r="B526" s="6">
        <v>46057</v>
      </c>
      <c r="C526" s="5" t="s">
        <v>1027</v>
      </c>
      <c r="D526" s="5" t="s">
        <v>110</v>
      </c>
      <c r="E526" s="5" t="s">
        <v>77</v>
      </c>
      <c r="F526" s="5" t="s">
        <v>78</v>
      </c>
      <c r="G526" s="5" t="s">
        <v>41</v>
      </c>
      <c r="H526" s="5" t="s">
        <v>277</v>
      </c>
      <c r="I526" s="5" t="s">
        <v>278</v>
      </c>
      <c r="J526" s="5" t="s">
        <v>71</v>
      </c>
      <c r="K526" s="5" t="s">
        <v>81</v>
      </c>
      <c r="L526" s="5">
        <v>1</v>
      </c>
      <c r="M526" s="5">
        <v>15765</v>
      </c>
      <c r="N526" s="5">
        <v>15</v>
      </c>
      <c r="O526" s="5">
        <v>13400.25</v>
      </c>
      <c r="P526" s="5">
        <v>11597.36</v>
      </c>
      <c r="Q526" s="5">
        <v>1802.89</v>
      </c>
      <c r="R526" s="5" t="s">
        <v>64</v>
      </c>
      <c r="S526" s="5" t="s">
        <v>33</v>
      </c>
      <c r="T526" s="5" t="s">
        <v>65</v>
      </c>
      <c r="U526" s="5">
        <v>3</v>
      </c>
      <c r="V526" s="5" t="s">
        <v>35</v>
      </c>
    </row>
    <row r="527" spans="1:22" x14ac:dyDescent="0.3">
      <c r="A527" s="5" t="s">
        <v>1028</v>
      </c>
      <c r="B527" s="6">
        <v>46068</v>
      </c>
      <c r="C527" s="5" t="s">
        <v>837</v>
      </c>
      <c r="D527" s="5" t="s">
        <v>76</v>
      </c>
      <c r="E527" s="5" t="s">
        <v>94</v>
      </c>
      <c r="F527" s="5" t="s">
        <v>26</v>
      </c>
      <c r="G527" s="5" t="s">
        <v>27</v>
      </c>
      <c r="H527" s="5" t="s">
        <v>156</v>
      </c>
      <c r="I527" s="5" t="s">
        <v>157</v>
      </c>
      <c r="J527" s="5" t="s">
        <v>30</v>
      </c>
      <c r="K527" s="5" t="s">
        <v>31</v>
      </c>
      <c r="L527" s="5">
        <v>5</v>
      </c>
      <c r="M527" s="5">
        <v>21708</v>
      </c>
      <c r="N527" s="5">
        <v>10</v>
      </c>
      <c r="O527" s="5">
        <v>97686</v>
      </c>
      <c r="P527" s="5">
        <v>73954.460000000006</v>
      </c>
      <c r="Q527" s="5">
        <v>23731.54</v>
      </c>
      <c r="R527" s="5" t="s">
        <v>32</v>
      </c>
      <c r="S527" s="5" t="s">
        <v>33</v>
      </c>
      <c r="T527" s="5" t="s">
        <v>65</v>
      </c>
      <c r="U527" s="5">
        <v>2</v>
      </c>
      <c r="V527" s="5" t="s">
        <v>35</v>
      </c>
    </row>
    <row r="528" spans="1:22" x14ac:dyDescent="0.3">
      <c r="A528" s="5" t="s">
        <v>1029</v>
      </c>
      <c r="B528" s="6">
        <v>46194</v>
      </c>
      <c r="C528" s="5" t="s">
        <v>562</v>
      </c>
      <c r="D528" s="5" t="s">
        <v>110</v>
      </c>
      <c r="E528" s="5" t="s">
        <v>126</v>
      </c>
      <c r="F528" s="5" t="s">
        <v>126</v>
      </c>
      <c r="G528" s="5" t="s">
        <v>51</v>
      </c>
      <c r="H528" s="5" t="s">
        <v>371</v>
      </c>
      <c r="I528" s="5" t="s">
        <v>372</v>
      </c>
      <c r="J528" s="5" t="s">
        <v>71</v>
      </c>
      <c r="K528" s="5" t="s">
        <v>72</v>
      </c>
      <c r="L528" s="5">
        <v>4</v>
      </c>
      <c r="M528" s="5">
        <v>12255</v>
      </c>
      <c r="N528" s="5">
        <v>20</v>
      </c>
      <c r="O528" s="5">
        <v>39216</v>
      </c>
      <c r="P528" s="5">
        <v>33621.07</v>
      </c>
      <c r="Q528" s="5">
        <v>5594.93</v>
      </c>
      <c r="R528" s="5" t="s">
        <v>32</v>
      </c>
      <c r="S528" s="5" t="s">
        <v>33</v>
      </c>
      <c r="T528" s="5" t="s">
        <v>34</v>
      </c>
      <c r="U528" s="5">
        <v>3</v>
      </c>
      <c r="V528" s="5" t="s">
        <v>35</v>
      </c>
    </row>
    <row r="529" spans="1:22" x14ac:dyDescent="0.3">
      <c r="A529" s="5" t="s">
        <v>1030</v>
      </c>
      <c r="B529" s="6">
        <v>46159</v>
      </c>
      <c r="C529" s="5" t="s">
        <v>770</v>
      </c>
      <c r="D529" s="5" t="s">
        <v>24</v>
      </c>
      <c r="E529" s="5" t="s">
        <v>25</v>
      </c>
      <c r="F529" s="5" t="s">
        <v>26</v>
      </c>
      <c r="G529" s="5" t="s">
        <v>27</v>
      </c>
      <c r="H529" s="5" t="s">
        <v>203</v>
      </c>
      <c r="I529" s="5" t="s">
        <v>204</v>
      </c>
      <c r="J529" s="5" t="s">
        <v>71</v>
      </c>
      <c r="K529" s="5" t="s">
        <v>81</v>
      </c>
      <c r="L529" s="5">
        <v>3</v>
      </c>
      <c r="M529" s="5">
        <v>2155</v>
      </c>
      <c r="N529" s="5">
        <v>15</v>
      </c>
      <c r="O529" s="5">
        <v>5495.25</v>
      </c>
      <c r="P529" s="5">
        <v>4949.18</v>
      </c>
      <c r="Q529" s="5">
        <v>546.07000000000005</v>
      </c>
      <c r="R529" s="5" t="s">
        <v>64</v>
      </c>
      <c r="S529" s="5" t="s">
        <v>33</v>
      </c>
      <c r="T529" s="5" t="s">
        <v>34</v>
      </c>
      <c r="U529" s="5">
        <v>4</v>
      </c>
      <c r="V529" s="5" t="s">
        <v>45</v>
      </c>
    </row>
    <row r="530" spans="1:22" x14ac:dyDescent="0.3">
      <c r="A530" s="5" t="s">
        <v>1031</v>
      </c>
      <c r="B530" s="6">
        <v>46121</v>
      </c>
      <c r="C530" s="5" t="s">
        <v>1032</v>
      </c>
      <c r="D530" s="5" t="s">
        <v>151</v>
      </c>
      <c r="E530" s="5" t="s">
        <v>39</v>
      </c>
      <c r="F530" s="5" t="s">
        <v>40</v>
      </c>
      <c r="G530" s="5" t="s">
        <v>41</v>
      </c>
      <c r="H530" s="5" t="s">
        <v>52</v>
      </c>
      <c r="I530" s="5" t="s">
        <v>53</v>
      </c>
      <c r="J530" s="5" t="s">
        <v>54</v>
      </c>
      <c r="K530" s="5" t="s">
        <v>55</v>
      </c>
      <c r="L530" s="5">
        <v>3</v>
      </c>
      <c r="M530" s="5">
        <v>78368</v>
      </c>
      <c r="N530" s="5">
        <v>0</v>
      </c>
      <c r="O530" s="5">
        <v>235104</v>
      </c>
      <c r="P530" s="5">
        <v>192210.56</v>
      </c>
      <c r="Q530" s="5">
        <v>42893.440000000002</v>
      </c>
      <c r="R530" s="5" t="s">
        <v>32</v>
      </c>
      <c r="S530" s="5" t="s">
        <v>33</v>
      </c>
      <c r="T530" s="5" t="s">
        <v>65</v>
      </c>
      <c r="U530" s="5">
        <v>1</v>
      </c>
      <c r="V530" s="5" t="s">
        <v>35</v>
      </c>
    </row>
    <row r="531" spans="1:22" x14ac:dyDescent="0.3">
      <c r="A531" s="5" t="s">
        <v>1033</v>
      </c>
      <c r="B531" s="6">
        <v>46138</v>
      </c>
      <c r="C531" s="5" t="s">
        <v>88</v>
      </c>
      <c r="D531" s="5" t="s">
        <v>110</v>
      </c>
      <c r="E531" s="5" t="s">
        <v>59</v>
      </c>
      <c r="F531" s="5" t="s">
        <v>60</v>
      </c>
      <c r="G531" s="5" t="s">
        <v>61</v>
      </c>
      <c r="H531" s="5" t="s">
        <v>574</v>
      </c>
      <c r="I531" s="5" t="s">
        <v>575</v>
      </c>
      <c r="J531" s="5" t="s">
        <v>30</v>
      </c>
      <c r="K531" s="5" t="s">
        <v>31</v>
      </c>
      <c r="L531" s="5">
        <v>5</v>
      </c>
      <c r="M531" s="5">
        <v>45873</v>
      </c>
      <c r="N531" s="5">
        <v>5</v>
      </c>
      <c r="O531" s="5">
        <v>217896.75</v>
      </c>
      <c r="P531" s="5">
        <v>174220.88</v>
      </c>
      <c r="Q531" s="5">
        <v>43675.87</v>
      </c>
      <c r="R531" s="5" t="s">
        <v>64</v>
      </c>
      <c r="S531" s="5" t="s">
        <v>82</v>
      </c>
      <c r="T531" s="5" t="s">
        <v>65</v>
      </c>
      <c r="U531" s="5">
        <v>4</v>
      </c>
      <c r="V531" s="5" t="s">
        <v>35</v>
      </c>
    </row>
    <row r="532" spans="1:22" x14ac:dyDescent="0.3">
      <c r="A532" s="5" t="s">
        <v>1034</v>
      </c>
      <c r="B532" s="6">
        <v>46112</v>
      </c>
      <c r="C532" s="5" t="s">
        <v>464</v>
      </c>
      <c r="D532" s="5" t="s">
        <v>24</v>
      </c>
      <c r="E532" s="5" t="s">
        <v>39</v>
      </c>
      <c r="F532" s="5" t="s">
        <v>40</v>
      </c>
      <c r="G532" s="5" t="s">
        <v>41</v>
      </c>
      <c r="H532" s="5" t="s">
        <v>85</v>
      </c>
      <c r="I532" s="5" t="s">
        <v>86</v>
      </c>
      <c r="J532" s="5" t="s">
        <v>71</v>
      </c>
      <c r="K532" s="5" t="s">
        <v>72</v>
      </c>
      <c r="L532" s="5">
        <v>3</v>
      </c>
      <c r="M532" s="5">
        <v>54066</v>
      </c>
      <c r="N532" s="5">
        <v>5</v>
      </c>
      <c r="O532" s="5">
        <v>154088.1</v>
      </c>
      <c r="P532" s="5">
        <v>126670.65</v>
      </c>
      <c r="Q532" s="5">
        <v>27417.45</v>
      </c>
      <c r="R532" s="5" t="s">
        <v>64</v>
      </c>
      <c r="S532" s="5" t="s">
        <v>33</v>
      </c>
      <c r="T532" s="5" t="s">
        <v>34</v>
      </c>
      <c r="U532" s="5">
        <v>5</v>
      </c>
      <c r="V532" s="5" t="s">
        <v>45</v>
      </c>
    </row>
    <row r="533" spans="1:22" x14ac:dyDescent="0.3">
      <c r="A533" s="5" t="s">
        <v>1035</v>
      </c>
      <c r="B533" s="6">
        <v>46106</v>
      </c>
      <c r="C533" s="5" t="s">
        <v>1036</v>
      </c>
      <c r="D533" s="5" t="s">
        <v>151</v>
      </c>
      <c r="E533" s="5" t="s">
        <v>25</v>
      </c>
      <c r="F533" s="5" t="s">
        <v>26</v>
      </c>
      <c r="G533" s="5" t="s">
        <v>27</v>
      </c>
      <c r="H533" s="5" t="s">
        <v>122</v>
      </c>
      <c r="I533" s="5" t="s">
        <v>123</v>
      </c>
      <c r="J533" s="5" t="s">
        <v>30</v>
      </c>
      <c r="K533" s="5" t="s">
        <v>31</v>
      </c>
      <c r="L533" s="5">
        <v>5</v>
      </c>
      <c r="M533" s="5">
        <v>11241</v>
      </c>
      <c r="N533" s="5">
        <v>10</v>
      </c>
      <c r="O533" s="5">
        <v>50584.5</v>
      </c>
      <c r="P533" s="5">
        <v>44539.75</v>
      </c>
      <c r="Q533" s="5">
        <v>6044.75</v>
      </c>
      <c r="R533" s="5" t="s">
        <v>64</v>
      </c>
      <c r="S533" s="5" t="s">
        <v>82</v>
      </c>
      <c r="T533" s="5" t="s">
        <v>34</v>
      </c>
      <c r="U533" s="5">
        <v>1</v>
      </c>
      <c r="V533" s="5" t="s">
        <v>35</v>
      </c>
    </row>
    <row r="534" spans="1:22" x14ac:dyDescent="0.3">
      <c r="A534" s="5" t="s">
        <v>1037</v>
      </c>
      <c r="B534" s="6">
        <v>46049</v>
      </c>
      <c r="C534" s="5" t="s">
        <v>155</v>
      </c>
      <c r="D534" s="5" t="s">
        <v>68</v>
      </c>
      <c r="E534" s="5" t="s">
        <v>126</v>
      </c>
      <c r="F534" s="5" t="s">
        <v>126</v>
      </c>
      <c r="G534" s="5" t="s">
        <v>51</v>
      </c>
      <c r="H534" s="5" t="s">
        <v>122</v>
      </c>
      <c r="I534" s="5" t="s">
        <v>123</v>
      </c>
      <c r="J534" s="5" t="s">
        <v>30</v>
      </c>
      <c r="K534" s="5" t="s">
        <v>31</v>
      </c>
      <c r="L534" s="5">
        <v>2</v>
      </c>
      <c r="M534" s="5">
        <v>17787</v>
      </c>
      <c r="N534" s="5">
        <v>15</v>
      </c>
      <c r="O534" s="5">
        <v>30237.9</v>
      </c>
      <c r="P534" s="5">
        <v>26984.2</v>
      </c>
      <c r="Q534" s="5">
        <v>3253.7</v>
      </c>
      <c r="R534" s="5" t="s">
        <v>44</v>
      </c>
      <c r="S534" s="5" t="s">
        <v>82</v>
      </c>
      <c r="T534" s="5" t="s">
        <v>65</v>
      </c>
      <c r="U534" s="5">
        <v>1</v>
      </c>
      <c r="V534" s="5" t="s">
        <v>45</v>
      </c>
    </row>
    <row r="535" spans="1:22" x14ac:dyDescent="0.3">
      <c r="A535" s="5" t="s">
        <v>1038</v>
      </c>
      <c r="B535" s="6">
        <v>46193</v>
      </c>
      <c r="C535" s="5" t="s">
        <v>490</v>
      </c>
      <c r="D535" s="5" t="s">
        <v>38</v>
      </c>
      <c r="E535" s="5" t="s">
        <v>49</v>
      </c>
      <c r="F535" s="5" t="s">
        <v>50</v>
      </c>
      <c r="G535" s="5" t="s">
        <v>51</v>
      </c>
      <c r="H535" s="5" t="s">
        <v>461</v>
      </c>
      <c r="I535" s="5" t="s">
        <v>462</v>
      </c>
      <c r="J535" s="5" t="s">
        <v>71</v>
      </c>
      <c r="K535" s="5" t="s">
        <v>72</v>
      </c>
      <c r="L535" s="5">
        <v>2</v>
      </c>
      <c r="M535" s="5">
        <v>2855</v>
      </c>
      <c r="N535" s="5">
        <v>5</v>
      </c>
      <c r="O535" s="5">
        <v>5424.5</v>
      </c>
      <c r="P535" s="5">
        <v>4495.26</v>
      </c>
      <c r="Q535" s="5">
        <v>929.24</v>
      </c>
      <c r="R535" s="5" t="s">
        <v>44</v>
      </c>
      <c r="S535" s="5" t="s">
        <v>82</v>
      </c>
      <c r="T535" s="5" t="s">
        <v>73</v>
      </c>
      <c r="U535" s="5">
        <v>4</v>
      </c>
      <c r="V535" s="5" t="s">
        <v>35</v>
      </c>
    </row>
    <row r="536" spans="1:22" x14ac:dyDescent="0.3">
      <c r="A536" s="5" t="s">
        <v>1039</v>
      </c>
      <c r="B536" s="6">
        <v>46050</v>
      </c>
      <c r="C536" s="5" t="s">
        <v>797</v>
      </c>
      <c r="D536" s="5" t="s">
        <v>68</v>
      </c>
      <c r="E536" s="5" t="s">
        <v>77</v>
      </c>
      <c r="F536" s="5" t="s">
        <v>78</v>
      </c>
      <c r="G536" s="5" t="s">
        <v>41</v>
      </c>
      <c r="H536" s="5" t="s">
        <v>541</v>
      </c>
      <c r="I536" s="5" t="s">
        <v>542</v>
      </c>
      <c r="J536" s="5" t="s">
        <v>54</v>
      </c>
      <c r="K536" s="5" t="s">
        <v>55</v>
      </c>
      <c r="L536" s="5">
        <v>4</v>
      </c>
      <c r="M536" s="5">
        <v>20297</v>
      </c>
      <c r="N536" s="5">
        <v>0</v>
      </c>
      <c r="O536" s="5">
        <v>81188</v>
      </c>
      <c r="P536" s="5">
        <v>52055.69</v>
      </c>
      <c r="Q536" s="5">
        <v>29132.31</v>
      </c>
      <c r="R536" s="5" t="s">
        <v>32</v>
      </c>
      <c r="S536" s="5" t="s">
        <v>33</v>
      </c>
      <c r="T536" s="5" t="s">
        <v>34</v>
      </c>
      <c r="U536" s="5">
        <v>4</v>
      </c>
      <c r="V536" s="5" t="s">
        <v>35</v>
      </c>
    </row>
    <row r="537" spans="1:22" x14ac:dyDescent="0.3">
      <c r="A537" s="5" t="s">
        <v>1040</v>
      </c>
      <c r="B537" s="6">
        <v>46100</v>
      </c>
      <c r="C537" s="5" t="s">
        <v>988</v>
      </c>
      <c r="D537" s="5" t="s">
        <v>38</v>
      </c>
      <c r="E537" s="5" t="s">
        <v>77</v>
      </c>
      <c r="F537" s="5" t="s">
        <v>78</v>
      </c>
      <c r="G537" s="5" t="s">
        <v>41</v>
      </c>
      <c r="H537" s="5" t="s">
        <v>396</v>
      </c>
      <c r="I537" s="5" t="s">
        <v>397</v>
      </c>
      <c r="J537" s="5" t="s">
        <v>54</v>
      </c>
      <c r="K537" s="5" t="s">
        <v>55</v>
      </c>
      <c r="L537" s="5">
        <v>2</v>
      </c>
      <c r="M537" s="5">
        <v>69455</v>
      </c>
      <c r="N537" s="5">
        <v>5</v>
      </c>
      <c r="O537" s="5">
        <v>131964.5</v>
      </c>
      <c r="P537" s="5">
        <v>88748.25</v>
      </c>
      <c r="Q537" s="5">
        <v>43216.25</v>
      </c>
      <c r="R537" s="5" t="s">
        <v>32</v>
      </c>
      <c r="S537" s="5" t="s">
        <v>82</v>
      </c>
      <c r="T537" s="5" t="s">
        <v>65</v>
      </c>
      <c r="U537" s="5">
        <v>3</v>
      </c>
      <c r="V537" s="5" t="s">
        <v>35</v>
      </c>
    </row>
    <row r="538" spans="1:22" x14ac:dyDescent="0.3">
      <c r="A538" s="5" t="s">
        <v>1041</v>
      </c>
      <c r="B538" s="6">
        <v>46032</v>
      </c>
      <c r="C538" s="5" t="s">
        <v>47</v>
      </c>
      <c r="D538" s="5" t="s">
        <v>89</v>
      </c>
      <c r="E538" s="5" t="s">
        <v>39</v>
      </c>
      <c r="F538" s="5" t="s">
        <v>40</v>
      </c>
      <c r="G538" s="5" t="s">
        <v>41</v>
      </c>
      <c r="H538" s="5" t="s">
        <v>234</v>
      </c>
      <c r="I538" s="5" t="s">
        <v>235</v>
      </c>
      <c r="J538" s="5" t="s">
        <v>102</v>
      </c>
      <c r="K538" s="5" t="s">
        <v>103</v>
      </c>
      <c r="L538" s="5">
        <v>5</v>
      </c>
      <c r="M538" s="5">
        <v>48093</v>
      </c>
      <c r="N538" s="5">
        <v>20</v>
      </c>
      <c r="O538" s="5">
        <v>192372</v>
      </c>
      <c r="P538" s="5">
        <v>156869.74</v>
      </c>
      <c r="Q538" s="5">
        <v>35502.26</v>
      </c>
      <c r="R538" s="5" t="s">
        <v>64</v>
      </c>
      <c r="S538" s="5" t="s">
        <v>82</v>
      </c>
      <c r="T538" s="5" t="s">
        <v>65</v>
      </c>
      <c r="U538" s="5">
        <v>2</v>
      </c>
      <c r="V538" s="5" t="s">
        <v>35</v>
      </c>
    </row>
    <row r="539" spans="1:22" x14ac:dyDescent="0.3">
      <c r="A539" s="5" t="s">
        <v>1042</v>
      </c>
      <c r="B539" s="6">
        <v>46173</v>
      </c>
      <c r="C539" s="5" t="s">
        <v>811</v>
      </c>
      <c r="D539" s="5" t="s">
        <v>151</v>
      </c>
      <c r="E539" s="5" t="s">
        <v>126</v>
      </c>
      <c r="F539" s="5" t="s">
        <v>126</v>
      </c>
      <c r="G539" s="5" t="s">
        <v>51</v>
      </c>
      <c r="H539" s="5" t="s">
        <v>217</v>
      </c>
      <c r="I539" s="5" t="s">
        <v>218</v>
      </c>
      <c r="J539" s="5" t="s">
        <v>54</v>
      </c>
      <c r="K539" s="5" t="s">
        <v>97</v>
      </c>
      <c r="L539" s="5">
        <v>2</v>
      </c>
      <c r="M539" s="5">
        <v>79340</v>
      </c>
      <c r="N539" s="5">
        <v>20</v>
      </c>
      <c r="O539" s="5">
        <v>126944</v>
      </c>
      <c r="P539" s="5">
        <v>118053.55</v>
      </c>
      <c r="Q539" s="5">
        <v>8890.4500000000007</v>
      </c>
      <c r="R539" s="5" t="s">
        <v>32</v>
      </c>
      <c r="S539" s="5" t="s">
        <v>82</v>
      </c>
      <c r="T539" s="5" t="s">
        <v>65</v>
      </c>
      <c r="U539" s="5">
        <v>3</v>
      </c>
      <c r="V539" s="5" t="s">
        <v>45</v>
      </c>
    </row>
    <row r="540" spans="1:22" x14ac:dyDescent="0.3">
      <c r="A540" s="5" t="s">
        <v>1043</v>
      </c>
      <c r="B540" s="6">
        <v>46033</v>
      </c>
      <c r="C540" s="5" t="s">
        <v>683</v>
      </c>
      <c r="D540" s="5" t="s">
        <v>110</v>
      </c>
      <c r="E540" s="5" t="s">
        <v>25</v>
      </c>
      <c r="F540" s="5" t="s">
        <v>26</v>
      </c>
      <c r="G540" s="5" t="s">
        <v>27</v>
      </c>
      <c r="H540" s="5" t="s">
        <v>106</v>
      </c>
      <c r="I540" s="5" t="s">
        <v>107</v>
      </c>
      <c r="J540" s="5" t="s">
        <v>30</v>
      </c>
      <c r="K540" s="5" t="s">
        <v>31</v>
      </c>
      <c r="L540" s="5">
        <v>2</v>
      </c>
      <c r="M540" s="5">
        <v>63965</v>
      </c>
      <c r="N540" s="5">
        <v>20</v>
      </c>
      <c r="O540" s="5">
        <v>102344</v>
      </c>
      <c r="P540" s="5">
        <v>89223.27</v>
      </c>
      <c r="Q540" s="5">
        <v>13120.73</v>
      </c>
      <c r="R540" s="5" t="s">
        <v>44</v>
      </c>
      <c r="S540" s="5" t="s">
        <v>33</v>
      </c>
      <c r="T540" s="5" t="s">
        <v>65</v>
      </c>
      <c r="U540" s="5">
        <v>3</v>
      </c>
      <c r="V540" s="5" t="s">
        <v>35</v>
      </c>
    </row>
    <row r="541" spans="1:22" x14ac:dyDescent="0.3">
      <c r="A541" s="5" t="s">
        <v>1044</v>
      </c>
      <c r="B541" s="6">
        <v>46149</v>
      </c>
      <c r="C541" s="5" t="s">
        <v>906</v>
      </c>
      <c r="D541" s="5" t="s">
        <v>38</v>
      </c>
      <c r="E541" s="5" t="s">
        <v>59</v>
      </c>
      <c r="F541" s="5" t="s">
        <v>60</v>
      </c>
      <c r="G541" s="5" t="s">
        <v>61</v>
      </c>
      <c r="H541" s="5" t="s">
        <v>152</v>
      </c>
      <c r="I541" s="5" t="s">
        <v>153</v>
      </c>
      <c r="J541" s="5" t="s">
        <v>54</v>
      </c>
      <c r="K541" s="5" t="s">
        <v>97</v>
      </c>
      <c r="L541" s="5">
        <v>5</v>
      </c>
      <c r="M541" s="5">
        <v>48403</v>
      </c>
      <c r="N541" s="5">
        <v>20</v>
      </c>
      <c r="O541" s="5">
        <v>193612</v>
      </c>
      <c r="P541" s="5">
        <v>140549.24</v>
      </c>
      <c r="Q541" s="5">
        <v>53062.76</v>
      </c>
      <c r="R541" s="5" t="s">
        <v>32</v>
      </c>
      <c r="S541" s="5" t="s">
        <v>33</v>
      </c>
      <c r="T541" s="5" t="s">
        <v>73</v>
      </c>
      <c r="U541" s="5">
        <v>1</v>
      </c>
      <c r="V541" s="5" t="s">
        <v>45</v>
      </c>
    </row>
    <row r="542" spans="1:22" x14ac:dyDescent="0.3">
      <c r="A542" s="5" t="s">
        <v>1045</v>
      </c>
      <c r="B542" s="6">
        <v>46043</v>
      </c>
      <c r="C542" s="5" t="s">
        <v>522</v>
      </c>
      <c r="D542" s="5" t="s">
        <v>89</v>
      </c>
      <c r="E542" s="5" t="s">
        <v>77</v>
      </c>
      <c r="F542" s="5" t="s">
        <v>78</v>
      </c>
      <c r="G542" s="5" t="s">
        <v>41</v>
      </c>
      <c r="H542" s="5" t="s">
        <v>176</v>
      </c>
      <c r="I542" s="5" t="s">
        <v>177</v>
      </c>
      <c r="J542" s="5" t="s">
        <v>54</v>
      </c>
      <c r="K542" s="5" t="s">
        <v>97</v>
      </c>
      <c r="L542" s="5">
        <v>2</v>
      </c>
      <c r="M542" s="5">
        <v>21901</v>
      </c>
      <c r="N542" s="5">
        <v>0</v>
      </c>
      <c r="O542" s="5">
        <v>43802</v>
      </c>
      <c r="P542" s="5">
        <v>35149.449999999997</v>
      </c>
      <c r="Q542" s="5">
        <v>8652.5499999999993</v>
      </c>
      <c r="R542" s="5" t="s">
        <v>32</v>
      </c>
      <c r="S542" s="5" t="s">
        <v>33</v>
      </c>
      <c r="T542" s="5" t="s">
        <v>34</v>
      </c>
      <c r="U542" s="5">
        <v>4</v>
      </c>
      <c r="V542" s="5" t="s">
        <v>35</v>
      </c>
    </row>
    <row r="543" spans="1:22" x14ac:dyDescent="0.3">
      <c r="A543" s="5" t="s">
        <v>1046</v>
      </c>
      <c r="B543" s="6">
        <v>46127</v>
      </c>
      <c r="C543" s="5" t="s">
        <v>861</v>
      </c>
      <c r="D543" s="5" t="s">
        <v>117</v>
      </c>
      <c r="E543" s="5" t="s">
        <v>94</v>
      </c>
      <c r="F543" s="5" t="s">
        <v>26</v>
      </c>
      <c r="G543" s="5" t="s">
        <v>27</v>
      </c>
      <c r="H543" s="5" t="s">
        <v>557</v>
      </c>
      <c r="I543" s="5" t="s">
        <v>558</v>
      </c>
      <c r="J543" s="5" t="s">
        <v>54</v>
      </c>
      <c r="K543" s="5" t="s">
        <v>97</v>
      </c>
      <c r="L543" s="5">
        <v>5</v>
      </c>
      <c r="M543" s="5">
        <v>46680</v>
      </c>
      <c r="N543" s="5">
        <v>10</v>
      </c>
      <c r="O543" s="5">
        <v>210060</v>
      </c>
      <c r="P543" s="5">
        <v>159620.15</v>
      </c>
      <c r="Q543" s="5">
        <v>50439.85</v>
      </c>
      <c r="R543" s="5" t="s">
        <v>32</v>
      </c>
      <c r="S543" s="5" t="s">
        <v>82</v>
      </c>
      <c r="T543" s="5" t="s">
        <v>65</v>
      </c>
      <c r="U543" s="5">
        <v>1</v>
      </c>
      <c r="V543" s="5" t="s">
        <v>35</v>
      </c>
    </row>
    <row r="544" spans="1:22" x14ac:dyDescent="0.3">
      <c r="A544" s="5" t="s">
        <v>1047</v>
      </c>
      <c r="B544" s="6">
        <v>46088</v>
      </c>
      <c r="C544" s="5" t="s">
        <v>134</v>
      </c>
      <c r="D544" s="5" t="s">
        <v>117</v>
      </c>
      <c r="E544" s="5" t="s">
        <v>49</v>
      </c>
      <c r="F544" s="5" t="s">
        <v>50</v>
      </c>
      <c r="G544" s="5" t="s">
        <v>51</v>
      </c>
      <c r="H544" s="5" t="s">
        <v>234</v>
      </c>
      <c r="I544" s="5" t="s">
        <v>235</v>
      </c>
      <c r="J544" s="5" t="s">
        <v>102</v>
      </c>
      <c r="K544" s="5" t="s">
        <v>103</v>
      </c>
      <c r="L544" s="5">
        <v>3</v>
      </c>
      <c r="M544" s="5">
        <v>77814</v>
      </c>
      <c r="N544" s="5">
        <v>10</v>
      </c>
      <c r="O544" s="5">
        <v>210097.8</v>
      </c>
      <c r="P544" s="5">
        <v>176390.21</v>
      </c>
      <c r="Q544" s="5">
        <v>33707.589999999997</v>
      </c>
      <c r="R544" s="5" t="s">
        <v>32</v>
      </c>
      <c r="S544" s="5" t="s">
        <v>82</v>
      </c>
      <c r="T544" s="5" t="s">
        <v>65</v>
      </c>
      <c r="U544" s="5">
        <v>3</v>
      </c>
      <c r="V544" s="5" t="s">
        <v>45</v>
      </c>
    </row>
    <row r="545" spans="1:22" x14ac:dyDescent="0.3">
      <c r="A545" s="5" t="s">
        <v>1048</v>
      </c>
      <c r="B545" s="6">
        <v>46143</v>
      </c>
      <c r="C545" s="5" t="s">
        <v>702</v>
      </c>
      <c r="D545" s="5" t="s">
        <v>38</v>
      </c>
      <c r="E545" s="5" t="s">
        <v>39</v>
      </c>
      <c r="F545" s="5" t="s">
        <v>40</v>
      </c>
      <c r="G545" s="5" t="s">
        <v>41</v>
      </c>
      <c r="H545" s="5" t="s">
        <v>189</v>
      </c>
      <c r="I545" s="5" t="s">
        <v>190</v>
      </c>
      <c r="J545" s="5" t="s">
        <v>102</v>
      </c>
      <c r="K545" s="5" t="s">
        <v>103</v>
      </c>
      <c r="L545" s="5">
        <v>4</v>
      </c>
      <c r="M545" s="5">
        <v>33163</v>
      </c>
      <c r="N545" s="5">
        <v>15</v>
      </c>
      <c r="O545" s="5">
        <v>112754.2</v>
      </c>
      <c r="P545" s="5">
        <v>105086.33</v>
      </c>
      <c r="Q545" s="5">
        <v>7667.87</v>
      </c>
      <c r="R545" s="5" t="s">
        <v>64</v>
      </c>
      <c r="S545" s="5" t="s">
        <v>33</v>
      </c>
      <c r="T545" s="5" t="s">
        <v>65</v>
      </c>
      <c r="U545" s="5">
        <v>3</v>
      </c>
      <c r="V545" s="5" t="s">
        <v>35</v>
      </c>
    </row>
    <row r="546" spans="1:22" x14ac:dyDescent="0.3">
      <c r="A546" s="5" t="s">
        <v>1049</v>
      </c>
      <c r="B546" s="6">
        <v>46202</v>
      </c>
      <c r="C546" s="5" t="s">
        <v>654</v>
      </c>
      <c r="D546" s="5" t="s">
        <v>48</v>
      </c>
      <c r="E546" s="5" t="s">
        <v>94</v>
      </c>
      <c r="F546" s="5" t="s">
        <v>26</v>
      </c>
      <c r="G546" s="5" t="s">
        <v>27</v>
      </c>
      <c r="H546" s="5" t="s">
        <v>147</v>
      </c>
      <c r="I546" s="5" t="s">
        <v>148</v>
      </c>
      <c r="J546" s="5" t="s">
        <v>71</v>
      </c>
      <c r="K546" s="5" t="s">
        <v>81</v>
      </c>
      <c r="L546" s="5">
        <v>1</v>
      </c>
      <c r="M546" s="5">
        <v>41645</v>
      </c>
      <c r="N546" s="5">
        <v>0</v>
      </c>
      <c r="O546" s="5">
        <v>41645</v>
      </c>
      <c r="P546" s="5">
        <v>28458.98</v>
      </c>
      <c r="Q546" s="5">
        <v>13186.02</v>
      </c>
      <c r="R546" s="5" t="s">
        <v>32</v>
      </c>
      <c r="S546" s="5" t="s">
        <v>33</v>
      </c>
      <c r="T546" s="5" t="s">
        <v>65</v>
      </c>
      <c r="U546" s="5">
        <v>1</v>
      </c>
      <c r="V546" s="5" t="s">
        <v>35</v>
      </c>
    </row>
    <row r="547" spans="1:22" x14ac:dyDescent="0.3">
      <c r="A547" s="5" t="s">
        <v>1050</v>
      </c>
      <c r="B547" s="6">
        <v>46163</v>
      </c>
      <c r="C547" s="5" t="s">
        <v>499</v>
      </c>
      <c r="D547" s="5" t="s">
        <v>58</v>
      </c>
      <c r="E547" s="5" t="s">
        <v>49</v>
      </c>
      <c r="F547" s="5" t="s">
        <v>50</v>
      </c>
      <c r="G547" s="5" t="s">
        <v>51</v>
      </c>
      <c r="H547" s="5" t="s">
        <v>172</v>
      </c>
      <c r="I547" s="5" t="s">
        <v>173</v>
      </c>
      <c r="J547" s="5" t="s">
        <v>54</v>
      </c>
      <c r="K547" s="5" t="s">
        <v>97</v>
      </c>
      <c r="L547" s="5">
        <v>2</v>
      </c>
      <c r="M547" s="5">
        <v>12762</v>
      </c>
      <c r="N547" s="5">
        <v>20</v>
      </c>
      <c r="O547" s="5">
        <v>20419.2</v>
      </c>
      <c r="P547" s="5">
        <v>20166.46</v>
      </c>
      <c r="Q547" s="5">
        <v>252.74</v>
      </c>
      <c r="R547" s="5" t="s">
        <v>64</v>
      </c>
      <c r="S547" s="5" t="s">
        <v>33</v>
      </c>
      <c r="T547" s="5" t="s">
        <v>73</v>
      </c>
      <c r="U547" s="5">
        <v>2</v>
      </c>
      <c r="V547" s="5" t="s">
        <v>45</v>
      </c>
    </row>
    <row r="548" spans="1:22" x14ac:dyDescent="0.3">
      <c r="A548" s="5" t="s">
        <v>1051</v>
      </c>
      <c r="B548" s="6">
        <v>46099</v>
      </c>
      <c r="C548" s="5" t="s">
        <v>650</v>
      </c>
      <c r="D548" s="5" t="s">
        <v>89</v>
      </c>
      <c r="E548" s="5" t="s">
        <v>94</v>
      </c>
      <c r="F548" s="5" t="s">
        <v>26</v>
      </c>
      <c r="G548" s="5" t="s">
        <v>27</v>
      </c>
      <c r="H548" s="5" t="s">
        <v>324</v>
      </c>
      <c r="I548" s="5" t="s">
        <v>325</v>
      </c>
      <c r="J548" s="5" t="s">
        <v>54</v>
      </c>
      <c r="K548" s="5" t="s">
        <v>55</v>
      </c>
      <c r="L548" s="5">
        <v>2</v>
      </c>
      <c r="M548" s="5">
        <v>31255</v>
      </c>
      <c r="N548" s="5">
        <v>15</v>
      </c>
      <c r="O548" s="5">
        <v>53133.5</v>
      </c>
      <c r="P548" s="5">
        <v>38162.19</v>
      </c>
      <c r="Q548" s="5">
        <v>14971.31</v>
      </c>
      <c r="R548" s="5" t="s">
        <v>44</v>
      </c>
      <c r="S548" s="5" t="s">
        <v>82</v>
      </c>
      <c r="T548" s="5" t="s">
        <v>65</v>
      </c>
      <c r="U548" s="5">
        <v>3</v>
      </c>
      <c r="V548" s="5" t="s">
        <v>35</v>
      </c>
    </row>
    <row r="549" spans="1:22" x14ac:dyDescent="0.3">
      <c r="A549" s="5" t="s">
        <v>1052</v>
      </c>
      <c r="B549" s="6">
        <v>46159</v>
      </c>
      <c r="C549" s="5" t="s">
        <v>370</v>
      </c>
      <c r="D549" s="5" t="s">
        <v>48</v>
      </c>
      <c r="E549" s="5" t="s">
        <v>49</v>
      </c>
      <c r="F549" s="5" t="s">
        <v>50</v>
      </c>
      <c r="G549" s="5" t="s">
        <v>51</v>
      </c>
      <c r="H549" s="5" t="s">
        <v>122</v>
      </c>
      <c r="I549" s="5" t="s">
        <v>123</v>
      </c>
      <c r="J549" s="5" t="s">
        <v>30</v>
      </c>
      <c r="K549" s="5" t="s">
        <v>31</v>
      </c>
      <c r="L549" s="5">
        <v>3</v>
      </c>
      <c r="M549" s="5">
        <v>26422</v>
      </c>
      <c r="N549" s="5">
        <v>20</v>
      </c>
      <c r="O549" s="5">
        <v>63412.800000000003</v>
      </c>
      <c r="P549" s="5">
        <v>52731.27</v>
      </c>
      <c r="Q549" s="5">
        <v>10681.53</v>
      </c>
      <c r="R549" s="5" t="s">
        <v>44</v>
      </c>
      <c r="S549" s="5" t="s">
        <v>33</v>
      </c>
      <c r="T549" s="5" t="s">
        <v>34</v>
      </c>
      <c r="U549" s="5">
        <v>2</v>
      </c>
      <c r="V549" s="5" t="s">
        <v>35</v>
      </c>
    </row>
    <row r="550" spans="1:22" x14ac:dyDescent="0.3">
      <c r="A550" s="5" t="s">
        <v>1053</v>
      </c>
      <c r="B550" s="6">
        <v>46178</v>
      </c>
      <c r="C550" s="5" t="s">
        <v>444</v>
      </c>
      <c r="D550" s="5" t="s">
        <v>110</v>
      </c>
      <c r="E550" s="5" t="s">
        <v>25</v>
      </c>
      <c r="F550" s="5" t="s">
        <v>26</v>
      </c>
      <c r="G550" s="5" t="s">
        <v>27</v>
      </c>
      <c r="H550" s="5" t="s">
        <v>172</v>
      </c>
      <c r="I550" s="5" t="s">
        <v>173</v>
      </c>
      <c r="J550" s="5" t="s">
        <v>54</v>
      </c>
      <c r="K550" s="5" t="s">
        <v>97</v>
      </c>
      <c r="L550" s="5">
        <v>1</v>
      </c>
      <c r="M550" s="5">
        <v>74612</v>
      </c>
      <c r="N550" s="5">
        <v>15</v>
      </c>
      <c r="O550" s="5">
        <v>63420.2</v>
      </c>
      <c r="P550" s="5">
        <v>42331.360000000001</v>
      </c>
      <c r="Q550" s="5">
        <v>21088.84</v>
      </c>
      <c r="R550" s="5" t="s">
        <v>64</v>
      </c>
      <c r="S550" s="5" t="s">
        <v>82</v>
      </c>
      <c r="T550" s="5" t="s">
        <v>73</v>
      </c>
      <c r="U550" s="5">
        <v>3</v>
      </c>
      <c r="V550" s="5" t="s">
        <v>45</v>
      </c>
    </row>
    <row r="551" spans="1:22" x14ac:dyDescent="0.3">
      <c r="A551" s="5" t="s">
        <v>1054</v>
      </c>
      <c r="B551" s="6">
        <v>46133</v>
      </c>
      <c r="C551" s="5" t="s">
        <v>840</v>
      </c>
      <c r="D551" s="5" t="s">
        <v>24</v>
      </c>
      <c r="E551" s="5" t="s">
        <v>94</v>
      </c>
      <c r="F551" s="5" t="s">
        <v>26</v>
      </c>
      <c r="G551" s="5" t="s">
        <v>27</v>
      </c>
      <c r="H551" s="5" t="s">
        <v>324</v>
      </c>
      <c r="I551" s="5" t="s">
        <v>325</v>
      </c>
      <c r="J551" s="5" t="s">
        <v>54</v>
      </c>
      <c r="K551" s="5" t="s">
        <v>55</v>
      </c>
      <c r="L551" s="5">
        <v>4</v>
      </c>
      <c r="M551" s="5">
        <v>1623</v>
      </c>
      <c r="N551" s="5">
        <v>0</v>
      </c>
      <c r="O551" s="5">
        <v>6492</v>
      </c>
      <c r="P551" s="5">
        <v>4247.03</v>
      </c>
      <c r="Q551" s="5">
        <v>2244.9699999999998</v>
      </c>
      <c r="R551" s="5" t="s">
        <v>32</v>
      </c>
      <c r="S551" s="5" t="s">
        <v>82</v>
      </c>
      <c r="T551" s="5" t="s">
        <v>73</v>
      </c>
      <c r="U551" s="5">
        <v>5</v>
      </c>
      <c r="V551" s="5" t="s">
        <v>45</v>
      </c>
    </row>
    <row r="552" spans="1:22" x14ac:dyDescent="0.3">
      <c r="A552" s="5" t="s">
        <v>1055</v>
      </c>
      <c r="B552" s="6">
        <v>46171</v>
      </c>
      <c r="C552" s="5" t="s">
        <v>1056</v>
      </c>
      <c r="D552" s="5" t="s">
        <v>110</v>
      </c>
      <c r="E552" s="5" t="s">
        <v>25</v>
      </c>
      <c r="F552" s="5" t="s">
        <v>26</v>
      </c>
      <c r="G552" s="5" t="s">
        <v>27</v>
      </c>
      <c r="H552" s="5" t="s">
        <v>197</v>
      </c>
      <c r="I552" s="5" t="s">
        <v>198</v>
      </c>
      <c r="J552" s="5" t="s">
        <v>30</v>
      </c>
      <c r="K552" s="5" t="s">
        <v>31</v>
      </c>
      <c r="L552" s="5">
        <v>3</v>
      </c>
      <c r="M552" s="5">
        <v>69039</v>
      </c>
      <c r="N552" s="5">
        <v>10</v>
      </c>
      <c r="O552" s="5">
        <v>186405.3</v>
      </c>
      <c r="P552" s="5">
        <v>117976.27</v>
      </c>
      <c r="Q552" s="5">
        <v>68429.03</v>
      </c>
      <c r="R552" s="5" t="s">
        <v>44</v>
      </c>
      <c r="S552" s="5" t="s">
        <v>33</v>
      </c>
      <c r="T552" s="5" t="s">
        <v>65</v>
      </c>
      <c r="U552" s="5">
        <v>4</v>
      </c>
      <c r="V552" s="5" t="s">
        <v>35</v>
      </c>
    </row>
    <row r="553" spans="1:22" x14ac:dyDescent="0.3">
      <c r="A553" s="5" t="s">
        <v>1057</v>
      </c>
      <c r="B553" s="6">
        <v>46168</v>
      </c>
      <c r="C553" s="5" t="s">
        <v>529</v>
      </c>
      <c r="D553" s="5" t="s">
        <v>38</v>
      </c>
      <c r="E553" s="5" t="s">
        <v>126</v>
      </c>
      <c r="F553" s="5" t="s">
        <v>126</v>
      </c>
      <c r="G553" s="5" t="s">
        <v>51</v>
      </c>
      <c r="H553" s="5" t="s">
        <v>206</v>
      </c>
      <c r="I553" s="5" t="s">
        <v>207</v>
      </c>
      <c r="J553" s="5" t="s">
        <v>30</v>
      </c>
      <c r="K553" s="5" t="s">
        <v>31</v>
      </c>
      <c r="L553" s="5">
        <v>1</v>
      </c>
      <c r="M553" s="5">
        <v>65939</v>
      </c>
      <c r="N553" s="5">
        <v>15</v>
      </c>
      <c r="O553" s="5">
        <v>56048.15</v>
      </c>
      <c r="P553" s="5">
        <v>40485.599999999999</v>
      </c>
      <c r="Q553" s="5">
        <v>15562.55</v>
      </c>
      <c r="R553" s="5" t="s">
        <v>32</v>
      </c>
      <c r="S553" s="5" t="s">
        <v>33</v>
      </c>
      <c r="T553" s="5" t="s">
        <v>73</v>
      </c>
      <c r="U553" s="5">
        <v>5</v>
      </c>
      <c r="V553" s="5" t="s">
        <v>35</v>
      </c>
    </row>
    <row r="554" spans="1:22" x14ac:dyDescent="0.3">
      <c r="A554" s="5" t="s">
        <v>1058</v>
      </c>
      <c r="B554" s="6">
        <v>46111</v>
      </c>
      <c r="C554" s="5" t="s">
        <v>171</v>
      </c>
      <c r="D554" s="5" t="s">
        <v>117</v>
      </c>
      <c r="E554" s="5" t="s">
        <v>59</v>
      </c>
      <c r="F554" s="5" t="s">
        <v>60</v>
      </c>
      <c r="G554" s="5" t="s">
        <v>61</v>
      </c>
      <c r="H554" s="5" t="s">
        <v>152</v>
      </c>
      <c r="I554" s="5" t="s">
        <v>153</v>
      </c>
      <c r="J554" s="5" t="s">
        <v>54</v>
      </c>
      <c r="K554" s="5" t="s">
        <v>97</v>
      </c>
      <c r="L554" s="5">
        <v>2</v>
      </c>
      <c r="M554" s="5">
        <v>7459</v>
      </c>
      <c r="N554" s="5">
        <v>20</v>
      </c>
      <c r="O554" s="5">
        <v>11934.4</v>
      </c>
      <c r="P554" s="5">
        <v>10217.959999999999</v>
      </c>
      <c r="Q554" s="5">
        <v>1716.44</v>
      </c>
      <c r="R554" s="5" t="s">
        <v>32</v>
      </c>
      <c r="S554" s="5" t="s">
        <v>82</v>
      </c>
      <c r="T554" s="5" t="s">
        <v>65</v>
      </c>
      <c r="U554" s="5">
        <v>1</v>
      </c>
      <c r="V554" s="5" t="s">
        <v>35</v>
      </c>
    </row>
    <row r="555" spans="1:22" x14ac:dyDescent="0.3">
      <c r="A555" s="5" t="s">
        <v>1059</v>
      </c>
      <c r="B555" s="6">
        <v>46188</v>
      </c>
      <c r="C555" s="5" t="s">
        <v>1060</v>
      </c>
      <c r="D555" s="5" t="s">
        <v>24</v>
      </c>
      <c r="E555" s="5" t="s">
        <v>59</v>
      </c>
      <c r="F555" s="5" t="s">
        <v>60</v>
      </c>
      <c r="G555" s="5" t="s">
        <v>61</v>
      </c>
      <c r="H555" s="5" t="s">
        <v>574</v>
      </c>
      <c r="I555" s="5" t="s">
        <v>575</v>
      </c>
      <c r="J555" s="5" t="s">
        <v>30</v>
      </c>
      <c r="K555" s="5" t="s">
        <v>31</v>
      </c>
      <c r="L555" s="5">
        <v>3</v>
      </c>
      <c r="M555" s="5">
        <v>24869</v>
      </c>
      <c r="N555" s="5">
        <v>0</v>
      </c>
      <c r="O555" s="5">
        <v>74607</v>
      </c>
      <c r="P555" s="5">
        <v>59115.28</v>
      </c>
      <c r="Q555" s="5">
        <v>15491.72</v>
      </c>
      <c r="R555" s="5" t="s">
        <v>64</v>
      </c>
      <c r="S555" s="5" t="s">
        <v>33</v>
      </c>
      <c r="T555" s="5" t="s">
        <v>65</v>
      </c>
      <c r="U555" s="5">
        <v>5</v>
      </c>
      <c r="V555" s="5" t="s">
        <v>35</v>
      </c>
    </row>
    <row r="556" spans="1:22" x14ac:dyDescent="0.3">
      <c r="A556" s="5" t="s">
        <v>1061</v>
      </c>
      <c r="B556" s="6">
        <v>46102</v>
      </c>
      <c r="C556" s="5" t="s">
        <v>1062</v>
      </c>
      <c r="D556" s="5" t="s">
        <v>117</v>
      </c>
      <c r="E556" s="5" t="s">
        <v>77</v>
      </c>
      <c r="F556" s="5" t="s">
        <v>78</v>
      </c>
      <c r="G556" s="5" t="s">
        <v>41</v>
      </c>
      <c r="H556" s="5" t="s">
        <v>141</v>
      </c>
      <c r="I556" s="5" t="s">
        <v>142</v>
      </c>
      <c r="J556" s="5" t="s">
        <v>71</v>
      </c>
      <c r="K556" s="5" t="s">
        <v>81</v>
      </c>
      <c r="L556" s="5">
        <v>3</v>
      </c>
      <c r="M556" s="5">
        <v>57041</v>
      </c>
      <c r="N556" s="5">
        <v>0</v>
      </c>
      <c r="O556" s="5">
        <v>171123</v>
      </c>
      <c r="P556" s="5">
        <v>108745.74</v>
      </c>
      <c r="Q556" s="5">
        <v>62377.26</v>
      </c>
      <c r="R556" s="5" t="s">
        <v>44</v>
      </c>
      <c r="S556" s="5" t="s">
        <v>33</v>
      </c>
      <c r="T556" s="5" t="s">
        <v>65</v>
      </c>
      <c r="U556" s="5">
        <v>4</v>
      </c>
      <c r="V556" s="5" t="s">
        <v>35</v>
      </c>
    </row>
    <row r="557" spans="1:22" x14ac:dyDescent="0.3">
      <c r="A557" s="5" t="s">
        <v>1063</v>
      </c>
      <c r="B557" s="6">
        <v>46165</v>
      </c>
      <c r="C557" s="5" t="s">
        <v>1064</v>
      </c>
      <c r="D557" s="5" t="s">
        <v>151</v>
      </c>
      <c r="E557" s="5" t="s">
        <v>49</v>
      </c>
      <c r="F557" s="5" t="s">
        <v>50</v>
      </c>
      <c r="G557" s="5" t="s">
        <v>51</v>
      </c>
      <c r="H557" s="5" t="s">
        <v>358</v>
      </c>
      <c r="I557" s="5" t="s">
        <v>359</v>
      </c>
      <c r="J557" s="5" t="s">
        <v>102</v>
      </c>
      <c r="K557" s="5" t="s">
        <v>103</v>
      </c>
      <c r="L557" s="5">
        <v>5</v>
      </c>
      <c r="M557" s="5">
        <v>18203</v>
      </c>
      <c r="N557" s="5">
        <v>5</v>
      </c>
      <c r="O557" s="5">
        <v>86464.25</v>
      </c>
      <c r="P557" s="5">
        <v>55829.52</v>
      </c>
      <c r="Q557" s="5">
        <v>30634.73</v>
      </c>
      <c r="R557" s="5" t="s">
        <v>44</v>
      </c>
      <c r="S557" s="5" t="s">
        <v>33</v>
      </c>
      <c r="T557" s="5" t="s">
        <v>73</v>
      </c>
      <c r="U557" s="5">
        <v>5</v>
      </c>
      <c r="V557" s="5" t="s">
        <v>35</v>
      </c>
    </row>
    <row r="558" spans="1:22" x14ac:dyDescent="0.3">
      <c r="A558" s="5" t="s">
        <v>1065</v>
      </c>
      <c r="B558" s="6">
        <v>46108</v>
      </c>
      <c r="C558" s="5" t="s">
        <v>1066</v>
      </c>
      <c r="D558" s="5" t="s">
        <v>151</v>
      </c>
      <c r="E558" s="5" t="s">
        <v>94</v>
      </c>
      <c r="F558" s="5" t="s">
        <v>26</v>
      </c>
      <c r="G558" s="5" t="s">
        <v>27</v>
      </c>
      <c r="H558" s="5" t="s">
        <v>374</v>
      </c>
      <c r="I558" s="5" t="s">
        <v>375</v>
      </c>
      <c r="J558" s="5" t="s">
        <v>54</v>
      </c>
      <c r="K558" s="5" t="s">
        <v>55</v>
      </c>
      <c r="L558" s="5">
        <v>4</v>
      </c>
      <c r="M558" s="5">
        <v>7387</v>
      </c>
      <c r="N558" s="5">
        <v>10</v>
      </c>
      <c r="O558" s="5">
        <v>26593.200000000001</v>
      </c>
      <c r="P558" s="5">
        <v>21242.02</v>
      </c>
      <c r="Q558" s="5">
        <v>5351.18</v>
      </c>
      <c r="R558" s="5" t="s">
        <v>44</v>
      </c>
      <c r="S558" s="5" t="s">
        <v>33</v>
      </c>
      <c r="T558" s="5" t="s">
        <v>73</v>
      </c>
      <c r="U558" s="5">
        <v>3</v>
      </c>
      <c r="V558" s="5" t="s">
        <v>45</v>
      </c>
    </row>
    <row r="559" spans="1:22" x14ac:dyDescent="0.3">
      <c r="A559" s="5" t="s">
        <v>1067</v>
      </c>
      <c r="B559" s="6">
        <v>46149</v>
      </c>
      <c r="C559" s="5" t="s">
        <v>1066</v>
      </c>
      <c r="D559" s="5" t="s">
        <v>76</v>
      </c>
      <c r="E559" s="5" t="s">
        <v>25</v>
      </c>
      <c r="F559" s="5" t="s">
        <v>26</v>
      </c>
      <c r="G559" s="5" t="s">
        <v>27</v>
      </c>
      <c r="H559" s="5" t="s">
        <v>526</v>
      </c>
      <c r="I559" s="5" t="s">
        <v>527</v>
      </c>
      <c r="J559" s="5" t="s">
        <v>71</v>
      </c>
      <c r="K559" s="5" t="s">
        <v>81</v>
      </c>
      <c r="L559" s="5">
        <v>2</v>
      </c>
      <c r="M559" s="5">
        <v>14183</v>
      </c>
      <c r="N559" s="5">
        <v>20</v>
      </c>
      <c r="O559" s="5">
        <v>22692.799999999999</v>
      </c>
      <c r="P559" s="5">
        <v>18165.759999999998</v>
      </c>
      <c r="Q559" s="5">
        <v>4527.04</v>
      </c>
      <c r="R559" s="5" t="s">
        <v>32</v>
      </c>
      <c r="S559" s="5" t="s">
        <v>33</v>
      </c>
      <c r="T559" s="5" t="s">
        <v>73</v>
      </c>
      <c r="U559" s="5">
        <v>2</v>
      </c>
      <c r="V559" s="5" t="s">
        <v>35</v>
      </c>
    </row>
    <row r="560" spans="1:22" x14ac:dyDescent="0.3">
      <c r="A560" s="5" t="s">
        <v>1068</v>
      </c>
      <c r="B560" s="6">
        <v>46048</v>
      </c>
      <c r="C560" s="5" t="s">
        <v>418</v>
      </c>
      <c r="D560" s="5" t="s">
        <v>117</v>
      </c>
      <c r="E560" s="5" t="s">
        <v>59</v>
      </c>
      <c r="F560" s="5" t="s">
        <v>60</v>
      </c>
      <c r="G560" s="5" t="s">
        <v>61</v>
      </c>
      <c r="H560" s="5" t="s">
        <v>241</v>
      </c>
      <c r="I560" s="5" t="s">
        <v>242</v>
      </c>
      <c r="J560" s="5" t="s">
        <v>54</v>
      </c>
      <c r="K560" s="5" t="s">
        <v>55</v>
      </c>
      <c r="L560" s="5">
        <v>2</v>
      </c>
      <c r="M560" s="5">
        <v>45298</v>
      </c>
      <c r="N560" s="5">
        <v>20</v>
      </c>
      <c r="O560" s="5">
        <v>72476.800000000003</v>
      </c>
      <c r="P560" s="5">
        <v>71700.5</v>
      </c>
      <c r="Q560" s="5">
        <v>776.3</v>
      </c>
      <c r="R560" s="5" t="s">
        <v>44</v>
      </c>
      <c r="S560" s="5" t="s">
        <v>82</v>
      </c>
      <c r="T560" s="5" t="s">
        <v>34</v>
      </c>
      <c r="U560" s="5">
        <v>1</v>
      </c>
      <c r="V560" s="5" t="s">
        <v>35</v>
      </c>
    </row>
    <row r="561" spans="1:22" x14ac:dyDescent="0.3">
      <c r="A561" s="5" t="s">
        <v>1069</v>
      </c>
      <c r="B561" s="6">
        <v>46067</v>
      </c>
      <c r="C561" s="5" t="s">
        <v>1070</v>
      </c>
      <c r="D561" s="5" t="s">
        <v>110</v>
      </c>
      <c r="E561" s="5" t="s">
        <v>126</v>
      </c>
      <c r="F561" s="5" t="s">
        <v>126</v>
      </c>
      <c r="G561" s="5" t="s">
        <v>51</v>
      </c>
      <c r="H561" s="5" t="s">
        <v>284</v>
      </c>
      <c r="I561" s="5" t="s">
        <v>285</v>
      </c>
      <c r="J561" s="5" t="s">
        <v>54</v>
      </c>
      <c r="K561" s="5" t="s">
        <v>55</v>
      </c>
      <c r="L561" s="5">
        <v>2</v>
      </c>
      <c r="M561" s="5">
        <v>63932</v>
      </c>
      <c r="N561" s="5">
        <v>5</v>
      </c>
      <c r="O561" s="5">
        <v>121470.8</v>
      </c>
      <c r="P561" s="5">
        <v>80399.03</v>
      </c>
      <c r="Q561" s="5">
        <v>41071.769999999997</v>
      </c>
      <c r="R561" s="5" t="s">
        <v>64</v>
      </c>
      <c r="S561" s="5" t="s">
        <v>33</v>
      </c>
      <c r="T561" s="5" t="s">
        <v>65</v>
      </c>
      <c r="U561" s="5">
        <v>5</v>
      </c>
      <c r="V561" s="5" t="s">
        <v>45</v>
      </c>
    </row>
    <row r="562" spans="1:22" x14ac:dyDescent="0.3">
      <c r="A562" s="5" t="s">
        <v>1071</v>
      </c>
      <c r="B562" s="6">
        <v>46128</v>
      </c>
      <c r="C562" s="5" t="s">
        <v>446</v>
      </c>
      <c r="D562" s="5" t="s">
        <v>38</v>
      </c>
      <c r="E562" s="5" t="s">
        <v>126</v>
      </c>
      <c r="F562" s="5" t="s">
        <v>126</v>
      </c>
      <c r="G562" s="5" t="s">
        <v>51</v>
      </c>
      <c r="H562" s="5" t="s">
        <v>160</v>
      </c>
      <c r="I562" s="5" t="s">
        <v>161</v>
      </c>
      <c r="J562" s="5" t="s">
        <v>102</v>
      </c>
      <c r="K562" s="5" t="s">
        <v>103</v>
      </c>
      <c r="L562" s="5">
        <v>2</v>
      </c>
      <c r="M562" s="5">
        <v>51632</v>
      </c>
      <c r="N562" s="5">
        <v>5</v>
      </c>
      <c r="O562" s="5">
        <v>98100.800000000003</v>
      </c>
      <c r="P562" s="5">
        <v>80294.820000000007</v>
      </c>
      <c r="Q562" s="5">
        <v>17805.98</v>
      </c>
      <c r="R562" s="5" t="s">
        <v>64</v>
      </c>
      <c r="S562" s="5" t="s">
        <v>82</v>
      </c>
      <c r="T562" s="5" t="s">
        <v>34</v>
      </c>
      <c r="U562" s="5">
        <v>3</v>
      </c>
      <c r="V562" s="5" t="s">
        <v>35</v>
      </c>
    </row>
    <row r="563" spans="1:22" x14ac:dyDescent="0.3">
      <c r="A563" s="5" t="s">
        <v>1072</v>
      </c>
      <c r="B563" s="6">
        <v>46148</v>
      </c>
      <c r="C563" s="5" t="s">
        <v>309</v>
      </c>
      <c r="D563" s="5" t="s">
        <v>76</v>
      </c>
      <c r="E563" s="5" t="s">
        <v>126</v>
      </c>
      <c r="F563" s="5" t="s">
        <v>126</v>
      </c>
      <c r="G563" s="5" t="s">
        <v>51</v>
      </c>
      <c r="H563" s="5" t="s">
        <v>141</v>
      </c>
      <c r="I563" s="5" t="s">
        <v>142</v>
      </c>
      <c r="J563" s="5" t="s">
        <v>71</v>
      </c>
      <c r="K563" s="5" t="s">
        <v>81</v>
      </c>
      <c r="L563" s="5">
        <v>5</v>
      </c>
      <c r="M563" s="5">
        <v>32603</v>
      </c>
      <c r="N563" s="5">
        <v>20</v>
      </c>
      <c r="O563" s="5">
        <v>130412</v>
      </c>
      <c r="P563" s="5">
        <v>127876.27</v>
      </c>
      <c r="Q563" s="5">
        <v>2535.73</v>
      </c>
      <c r="R563" s="5" t="s">
        <v>44</v>
      </c>
      <c r="S563" s="5" t="s">
        <v>82</v>
      </c>
      <c r="T563" s="5" t="s">
        <v>65</v>
      </c>
      <c r="U563" s="5">
        <v>5</v>
      </c>
      <c r="V563" s="5" t="s">
        <v>35</v>
      </c>
    </row>
    <row r="564" spans="1:22" x14ac:dyDescent="0.3">
      <c r="A564" s="5" t="s">
        <v>1073</v>
      </c>
      <c r="B564" s="6">
        <v>46118</v>
      </c>
      <c r="C564" s="5" t="s">
        <v>693</v>
      </c>
      <c r="D564" s="5" t="s">
        <v>110</v>
      </c>
      <c r="E564" s="5" t="s">
        <v>77</v>
      </c>
      <c r="F564" s="5" t="s">
        <v>78</v>
      </c>
      <c r="G564" s="5" t="s">
        <v>41</v>
      </c>
      <c r="H564" s="5" t="s">
        <v>245</v>
      </c>
      <c r="I564" s="5" t="s">
        <v>246</v>
      </c>
      <c r="J564" s="5" t="s">
        <v>54</v>
      </c>
      <c r="K564" s="5" t="s">
        <v>97</v>
      </c>
      <c r="L564" s="5">
        <v>3</v>
      </c>
      <c r="M564" s="5">
        <v>60117</v>
      </c>
      <c r="N564" s="5">
        <v>5</v>
      </c>
      <c r="O564" s="5">
        <v>171333.45</v>
      </c>
      <c r="P564" s="5">
        <v>108920.61</v>
      </c>
      <c r="Q564" s="5">
        <v>62412.84</v>
      </c>
      <c r="R564" s="5" t="s">
        <v>32</v>
      </c>
      <c r="S564" s="5" t="s">
        <v>33</v>
      </c>
      <c r="T564" s="5" t="s">
        <v>34</v>
      </c>
      <c r="U564" s="5">
        <v>2</v>
      </c>
      <c r="V564" s="5" t="s">
        <v>45</v>
      </c>
    </row>
    <row r="565" spans="1:22" x14ac:dyDescent="0.3">
      <c r="A565" s="5" t="s">
        <v>1074</v>
      </c>
      <c r="B565" s="6">
        <v>46032</v>
      </c>
      <c r="C565" s="5" t="s">
        <v>1075</v>
      </c>
      <c r="D565" s="5" t="s">
        <v>58</v>
      </c>
      <c r="E565" s="5" t="s">
        <v>126</v>
      </c>
      <c r="F565" s="5" t="s">
        <v>126</v>
      </c>
      <c r="G565" s="5" t="s">
        <v>51</v>
      </c>
      <c r="H565" s="5" t="s">
        <v>384</v>
      </c>
      <c r="I565" s="5" t="s">
        <v>385</v>
      </c>
      <c r="J565" s="5" t="s">
        <v>102</v>
      </c>
      <c r="K565" s="5" t="s">
        <v>103</v>
      </c>
      <c r="L565" s="5">
        <v>5</v>
      </c>
      <c r="M565" s="5">
        <v>68161</v>
      </c>
      <c r="N565" s="5">
        <v>20</v>
      </c>
      <c r="O565" s="5">
        <v>272644</v>
      </c>
      <c r="P565" s="5">
        <v>238176.15</v>
      </c>
      <c r="Q565" s="5">
        <v>34467.85</v>
      </c>
      <c r="R565" s="5" t="s">
        <v>32</v>
      </c>
      <c r="S565" s="5" t="s">
        <v>82</v>
      </c>
      <c r="T565" s="5" t="s">
        <v>34</v>
      </c>
      <c r="U565" s="5">
        <v>1</v>
      </c>
      <c r="V565" s="5" t="s">
        <v>45</v>
      </c>
    </row>
    <row r="566" spans="1:22" x14ac:dyDescent="0.3">
      <c r="A566" s="5" t="s">
        <v>1076</v>
      </c>
      <c r="B566" s="6">
        <v>46042</v>
      </c>
      <c r="C566" s="5" t="s">
        <v>880</v>
      </c>
      <c r="D566" s="5" t="s">
        <v>68</v>
      </c>
      <c r="E566" s="5" t="s">
        <v>126</v>
      </c>
      <c r="F566" s="5" t="s">
        <v>126</v>
      </c>
      <c r="G566" s="5" t="s">
        <v>51</v>
      </c>
      <c r="H566" s="5" t="s">
        <v>156</v>
      </c>
      <c r="I566" s="5" t="s">
        <v>157</v>
      </c>
      <c r="J566" s="5" t="s">
        <v>30</v>
      </c>
      <c r="K566" s="5" t="s">
        <v>31</v>
      </c>
      <c r="L566" s="5">
        <v>1</v>
      </c>
      <c r="M566" s="5">
        <v>73353</v>
      </c>
      <c r="N566" s="5">
        <v>15</v>
      </c>
      <c r="O566" s="5">
        <v>62350.05</v>
      </c>
      <c r="P566" s="5">
        <v>47921.15</v>
      </c>
      <c r="Q566" s="5">
        <v>14428.9</v>
      </c>
      <c r="R566" s="5" t="s">
        <v>44</v>
      </c>
      <c r="S566" s="5" t="s">
        <v>33</v>
      </c>
      <c r="T566" s="5" t="s">
        <v>73</v>
      </c>
      <c r="U566" s="5">
        <v>4</v>
      </c>
      <c r="V566" s="5" t="s">
        <v>45</v>
      </c>
    </row>
    <row r="567" spans="1:22" x14ac:dyDescent="0.3">
      <c r="A567" s="5" t="s">
        <v>1077</v>
      </c>
      <c r="B567" s="6">
        <v>46130</v>
      </c>
      <c r="C567" s="5" t="s">
        <v>252</v>
      </c>
      <c r="D567" s="5" t="s">
        <v>110</v>
      </c>
      <c r="E567" s="5" t="s">
        <v>39</v>
      </c>
      <c r="F567" s="5" t="s">
        <v>40</v>
      </c>
      <c r="G567" s="5" t="s">
        <v>41</v>
      </c>
      <c r="H567" s="5" t="s">
        <v>762</v>
      </c>
      <c r="I567" s="5" t="s">
        <v>763</v>
      </c>
      <c r="J567" s="5" t="s">
        <v>54</v>
      </c>
      <c r="K567" s="5" t="s">
        <v>55</v>
      </c>
      <c r="L567" s="5">
        <v>1</v>
      </c>
      <c r="M567" s="5">
        <v>17310</v>
      </c>
      <c r="N567" s="5">
        <v>5</v>
      </c>
      <c r="O567" s="5">
        <v>16444.5</v>
      </c>
      <c r="P567" s="5">
        <v>10228.19</v>
      </c>
      <c r="Q567" s="5">
        <v>6216.31</v>
      </c>
      <c r="R567" s="5" t="s">
        <v>64</v>
      </c>
      <c r="S567" s="5" t="s">
        <v>82</v>
      </c>
      <c r="T567" s="5" t="s">
        <v>65</v>
      </c>
      <c r="U567" s="5">
        <v>4</v>
      </c>
      <c r="V567" s="5" t="s">
        <v>35</v>
      </c>
    </row>
    <row r="568" spans="1:22" x14ac:dyDescent="0.3">
      <c r="A568" s="5" t="s">
        <v>1078</v>
      </c>
      <c r="B568" s="6">
        <v>46068</v>
      </c>
      <c r="C568" s="5" t="s">
        <v>602</v>
      </c>
      <c r="D568" s="5" t="s">
        <v>48</v>
      </c>
      <c r="E568" s="5" t="s">
        <v>94</v>
      </c>
      <c r="F568" s="5" t="s">
        <v>26</v>
      </c>
      <c r="G568" s="5" t="s">
        <v>27</v>
      </c>
      <c r="H568" s="5" t="s">
        <v>62</v>
      </c>
      <c r="I568" s="5" t="s">
        <v>63</v>
      </c>
      <c r="J568" s="5" t="s">
        <v>54</v>
      </c>
      <c r="K568" s="5" t="s">
        <v>55</v>
      </c>
      <c r="L568" s="5">
        <v>3</v>
      </c>
      <c r="M568" s="5">
        <v>13802</v>
      </c>
      <c r="N568" s="5">
        <v>15</v>
      </c>
      <c r="O568" s="5">
        <v>35195.1</v>
      </c>
      <c r="P568" s="5">
        <v>32081.32</v>
      </c>
      <c r="Q568" s="5">
        <v>3113.78</v>
      </c>
      <c r="R568" s="5" t="s">
        <v>44</v>
      </c>
      <c r="S568" s="5" t="s">
        <v>82</v>
      </c>
      <c r="T568" s="5" t="s">
        <v>34</v>
      </c>
      <c r="U568" s="5">
        <v>1</v>
      </c>
      <c r="V568" s="5" t="s">
        <v>35</v>
      </c>
    </row>
    <row r="569" spans="1:22" x14ac:dyDescent="0.3">
      <c r="A569" s="5" t="s">
        <v>1079</v>
      </c>
      <c r="B569" s="6">
        <v>46073</v>
      </c>
      <c r="C569" s="5" t="s">
        <v>770</v>
      </c>
      <c r="D569" s="5" t="s">
        <v>110</v>
      </c>
      <c r="E569" s="5" t="s">
        <v>77</v>
      </c>
      <c r="F569" s="5" t="s">
        <v>78</v>
      </c>
      <c r="G569" s="5" t="s">
        <v>41</v>
      </c>
      <c r="H569" s="5" t="s">
        <v>203</v>
      </c>
      <c r="I569" s="5" t="s">
        <v>204</v>
      </c>
      <c r="J569" s="5" t="s">
        <v>71</v>
      </c>
      <c r="K569" s="5" t="s">
        <v>81</v>
      </c>
      <c r="L569" s="5">
        <v>5</v>
      </c>
      <c r="M569" s="5">
        <v>64431</v>
      </c>
      <c r="N569" s="5">
        <v>20</v>
      </c>
      <c r="O569" s="5">
        <v>257724</v>
      </c>
      <c r="P569" s="5">
        <v>266576.68</v>
      </c>
      <c r="Q569" s="5">
        <v>-8852.68</v>
      </c>
      <c r="R569" s="5" t="s">
        <v>32</v>
      </c>
      <c r="S569" s="5" t="s">
        <v>33</v>
      </c>
      <c r="T569" s="5" t="s">
        <v>34</v>
      </c>
      <c r="U569" s="5">
        <v>3</v>
      </c>
      <c r="V569" s="5" t="s">
        <v>35</v>
      </c>
    </row>
    <row r="570" spans="1:22" x14ac:dyDescent="0.3">
      <c r="A570" s="5" t="s">
        <v>1080</v>
      </c>
      <c r="B570" s="6">
        <v>46069</v>
      </c>
      <c r="C570" s="5" t="s">
        <v>23</v>
      </c>
      <c r="D570" s="5" t="s">
        <v>48</v>
      </c>
      <c r="E570" s="5" t="s">
        <v>59</v>
      </c>
      <c r="F570" s="5" t="s">
        <v>60</v>
      </c>
      <c r="G570" s="5" t="s">
        <v>61</v>
      </c>
      <c r="H570" s="5" t="s">
        <v>299</v>
      </c>
      <c r="I570" s="5" t="s">
        <v>300</v>
      </c>
      <c r="J570" s="5" t="s">
        <v>71</v>
      </c>
      <c r="K570" s="5" t="s">
        <v>72</v>
      </c>
      <c r="L570" s="5">
        <v>1</v>
      </c>
      <c r="M570" s="5">
        <v>10852</v>
      </c>
      <c r="N570" s="5">
        <v>15</v>
      </c>
      <c r="O570" s="5">
        <v>9224.2000000000007</v>
      </c>
      <c r="P570" s="5">
        <v>6066.35</v>
      </c>
      <c r="Q570" s="5">
        <v>3157.85</v>
      </c>
      <c r="R570" s="5" t="s">
        <v>64</v>
      </c>
      <c r="S570" s="5" t="s">
        <v>82</v>
      </c>
      <c r="T570" s="5" t="s">
        <v>34</v>
      </c>
      <c r="U570" s="5">
        <v>4</v>
      </c>
      <c r="V570" s="5" t="s">
        <v>35</v>
      </c>
    </row>
    <row r="571" spans="1:22" x14ac:dyDescent="0.3">
      <c r="A571" s="5" t="s">
        <v>1081</v>
      </c>
      <c r="B571" s="6">
        <v>46196</v>
      </c>
      <c r="C571" s="5" t="s">
        <v>1082</v>
      </c>
      <c r="D571" s="5" t="s">
        <v>89</v>
      </c>
      <c r="E571" s="5" t="s">
        <v>39</v>
      </c>
      <c r="F571" s="5" t="s">
        <v>40</v>
      </c>
      <c r="G571" s="5" t="s">
        <v>41</v>
      </c>
      <c r="H571" s="5" t="s">
        <v>358</v>
      </c>
      <c r="I571" s="5" t="s">
        <v>359</v>
      </c>
      <c r="J571" s="5" t="s">
        <v>102</v>
      </c>
      <c r="K571" s="5" t="s">
        <v>103</v>
      </c>
      <c r="L571" s="5">
        <v>3</v>
      </c>
      <c r="M571" s="5">
        <v>78370</v>
      </c>
      <c r="N571" s="5">
        <v>0</v>
      </c>
      <c r="O571" s="5">
        <v>235110</v>
      </c>
      <c r="P571" s="5">
        <v>148182.88</v>
      </c>
      <c r="Q571" s="5">
        <v>86927.12</v>
      </c>
      <c r="R571" s="5" t="s">
        <v>32</v>
      </c>
      <c r="S571" s="5" t="s">
        <v>33</v>
      </c>
      <c r="T571" s="5" t="s">
        <v>34</v>
      </c>
      <c r="U571" s="5">
        <v>2</v>
      </c>
      <c r="V571" s="5" t="s">
        <v>35</v>
      </c>
    </row>
    <row r="572" spans="1:22" x14ac:dyDescent="0.3">
      <c r="A572" s="5" t="s">
        <v>1083</v>
      </c>
      <c r="B572" s="6">
        <v>46063</v>
      </c>
      <c r="C572" s="5" t="s">
        <v>579</v>
      </c>
      <c r="D572" s="5" t="s">
        <v>89</v>
      </c>
      <c r="E572" s="5" t="s">
        <v>126</v>
      </c>
      <c r="F572" s="5" t="s">
        <v>126</v>
      </c>
      <c r="G572" s="5" t="s">
        <v>51</v>
      </c>
      <c r="H572" s="5" t="s">
        <v>217</v>
      </c>
      <c r="I572" s="5" t="s">
        <v>218</v>
      </c>
      <c r="J572" s="5" t="s">
        <v>54</v>
      </c>
      <c r="K572" s="5" t="s">
        <v>97</v>
      </c>
      <c r="L572" s="5">
        <v>1</v>
      </c>
      <c r="M572" s="5">
        <v>18454</v>
      </c>
      <c r="N572" s="5">
        <v>0</v>
      </c>
      <c r="O572" s="5">
        <v>18454</v>
      </c>
      <c r="P572" s="5">
        <v>14617.3</v>
      </c>
      <c r="Q572" s="5">
        <v>3836.7</v>
      </c>
      <c r="R572" s="5" t="s">
        <v>44</v>
      </c>
      <c r="S572" s="5" t="s">
        <v>82</v>
      </c>
      <c r="T572" s="5" t="s">
        <v>73</v>
      </c>
      <c r="U572" s="5">
        <v>1</v>
      </c>
      <c r="V572" s="5" t="s">
        <v>45</v>
      </c>
    </row>
    <row r="573" spans="1:22" x14ac:dyDescent="0.3">
      <c r="A573" s="5" t="s">
        <v>1084</v>
      </c>
      <c r="B573" s="6">
        <v>46148</v>
      </c>
      <c r="C573" s="5" t="s">
        <v>1085</v>
      </c>
      <c r="D573" s="5" t="s">
        <v>38</v>
      </c>
      <c r="E573" s="5" t="s">
        <v>39</v>
      </c>
      <c r="F573" s="5" t="s">
        <v>40</v>
      </c>
      <c r="G573" s="5" t="s">
        <v>41</v>
      </c>
      <c r="H573" s="5" t="s">
        <v>127</v>
      </c>
      <c r="I573" s="5" t="s">
        <v>128</v>
      </c>
      <c r="J573" s="5" t="s">
        <v>102</v>
      </c>
      <c r="K573" s="5" t="s">
        <v>103</v>
      </c>
      <c r="L573" s="5">
        <v>3</v>
      </c>
      <c r="M573" s="5">
        <v>39176</v>
      </c>
      <c r="N573" s="5">
        <v>0</v>
      </c>
      <c r="O573" s="5">
        <v>117528</v>
      </c>
      <c r="P573" s="5">
        <v>93647.61</v>
      </c>
      <c r="Q573" s="5">
        <v>23880.39</v>
      </c>
      <c r="R573" s="5" t="s">
        <v>64</v>
      </c>
      <c r="S573" s="5" t="s">
        <v>33</v>
      </c>
      <c r="T573" s="5" t="s">
        <v>65</v>
      </c>
      <c r="U573" s="5">
        <v>3</v>
      </c>
      <c r="V573" s="5" t="s">
        <v>35</v>
      </c>
    </row>
    <row r="574" spans="1:22" x14ac:dyDescent="0.3">
      <c r="A574" s="5" t="s">
        <v>1086</v>
      </c>
      <c r="B574" s="6">
        <v>46131</v>
      </c>
      <c r="C574" s="5" t="s">
        <v>1087</v>
      </c>
      <c r="D574" s="5" t="s">
        <v>48</v>
      </c>
      <c r="E574" s="5" t="s">
        <v>25</v>
      </c>
      <c r="F574" s="5" t="s">
        <v>26</v>
      </c>
      <c r="G574" s="5" t="s">
        <v>27</v>
      </c>
      <c r="H574" s="5" t="s">
        <v>816</v>
      </c>
      <c r="I574" s="5" t="s">
        <v>817</v>
      </c>
      <c r="J574" s="5" t="s">
        <v>54</v>
      </c>
      <c r="K574" s="5" t="s">
        <v>97</v>
      </c>
      <c r="L574" s="5">
        <v>5</v>
      </c>
      <c r="M574" s="5">
        <v>64678</v>
      </c>
      <c r="N574" s="5">
        <v>10</v>
      </c>
      <c r="O574" s="5">
        <v>291051</v>
      </c>
      <c r="P574" s="5">
        <v>243763.13</v>
      </c>
      <c r="Q574" s="5">
        <v>47287.87</v>
      </c>
      <c r="R574" s="5" t="s">
        <v>64</v>
      </c>
      <c r="S574" s="5" t="s">
        <v>33</v>
      </c>
      <c r="T574" s="5" t="s">
        <v>34</v>
      </c>
      <c r="U574" s="5">
        <v>3</v>
      </c>
      <c r="V574" s="5" t="s">
        <v>35</v>
      </c>
    </row>
    <row r="575" spans="1:22" x14ac:dyDescent="0.3">
      <c r="A575" s="5" t="s">
        <v>1088</v>
      </c>
      <c r="B575" s="6">
        <v>46085</v>
      </c>
      <c r="C575" s="5" t="s">
        <v>1089</v>
      </c>
      <c r="D575" s="5" t="s">
        <v>48</v>
      </c>
      <c r="E575" s="5" t="s">
        <v>77</v>
      </c>
      <c r="F575" s="5" t="s">
        <v>78</v>
      </c>
      <c r="G575" s="5" t="s">
        <v>41</v>
      </c>
      <c r="H575" s="5" t="s">
        <v>118</v>
      </c>
      <c r="I575" s="5" t="s">
        <v>119</v>
      </c>
      <c r="J575" s="5" t="s">
        <v>54</v>
      </c>
      <c r="K575" s="5" t="s">
        <v>97</v>
      </c>
      <c r="L575" s="5">
        <v>1</v>
      </c>
      <c r="M575" s="5">
        <v>5802</v>
      </c>
      <c r="N575" s="5">
        <v>15</v>
      </c>
      <c r="O575" s="5">
        <v>4931.7</v>
      </c>
      <c r="P575" s="5">
        <v>3191.75</v>
      </c>
      <c r="Q575" s="5">
        <v>1739.95</v>
      </c>
      <c r="R575" s="5" t="s">
        <v>44</v>
      </c>
      <c r="S575" s="5" t="s">
        <v>33</v>
      </c>
      <c r="T575" s="5" t="s">
        <v>73</v>
      </c>
      <c r="U575" s="5">
        <v>3</v>
      </c>
      <c r="V575" s="5" t="s">
        <v>35</v>
      </c>
    </row>
    <row r="576" spans="1:22" x14ac:dyDescent="0.3">
      <c r="A576" s="5" t="s">
        <v>1090</v>
      </c>
      <c r="B576" s="6">
        <v>46026</v>
      </c>
      <c r="C576" s="5" t="s">
        <v>272</v>
      </c>
      <c r="D576" s="5" t="s">
        <v>48</v>
      </c>
      <c r="E576" s="5" t="s">
        <v>126</v>
      </c>
      <c r="F576" s="5" t="s">
        <v>126</v>
      </c>
      <c r="G576" s="5" t="s">
        <v>51</v>
      </c>
      <c r="H576" s="5" t="s">
        <v>253</v>
      </c>
      <c r="I576" s="5" t="s">
        <v>254</v>
      </c>
      <c r="J576" s="5" t="s">
        <v>54</v>
      </c>
      <c r="K576" s="5" t="s">
        <v>55</v>
      </c>
      <c r="L576" s="5">
        <v>3</v>
      </c>
      <c r="M576" s="5">
        <v>67115</v>
      </c>
      <c r="N576" s="5">
        <v>0</v>
      </c>
      <c r="O576" s="5">
        <v>201345</v>
      </c>
      <c r="P576" s="5">
        <v>169298.67</v>
      </c>
      <c r="Q576" s="5">
        <v>32046.33</v>
      </c>
      <c r="R576" s="5" t="s">
        <v>32</v>
      </c>
      <c r="S576" s="5" t="s">
        <v>33</v>
      </c>
      <c r="T576" s="5" t="s">
        <v>34</v>
      </c>
      <c r="U576" s="5">
        <v>5</v>
      </c>
      <c r="V576" s="5" t="s">
        <v>35</v>
      </c>
    </row>
    <row r="577" spans="1:22" x14ac:dyDescent="0.3">
      <c r="A577" s="5" t="s">
        <v>1091</v>
      </c>
      <c r="B577" s="6">
        <v>46175</v>
      </c>
      <c r="C577" s="5" t="s">
        <v>99</v>
      </c>
      <c r="D577" s="5" t="s">
        <v>38</v>
      </c>
      <c r="E577" s="5" t="s">
        <v>39</v>
      </c>
      <c r="F577" s="5" t="s">
        <v>40</v>
      </c>
      <c r="G577" s="5" t="s">
        <v>41</v>
      </c>
      <c r="H577" s="5" t="s">
        <v>234</v>
      </c>
      <c r="I577" s="5" t="s">
        <v>235</v>
      </c>
      <c r="J577" s="5" t="s">
        <v>102</v>
      </c>
      <c r="K577" s="5" t="s">
        <v>103</v>
      </c>
      <c r="L577" s="5">
        <v>4</v>
      </c>
      <c r="M577" s="5">
        <v>8816</v>
      </c>
      <c r="N577" s="5">
        <v>20</v>
      </c>
      <c r="O577" s="5">
        <v>28211.200000000001</v>
      </c>
      <c r="P577" s="5">
        <v>26310.79</v>
      </c>
      <c r="Q577" s="5">
        <v>1900.41</v>
      </c>
      <c r="R577" s="5" t="s">
        <v>44</v>
      </c>
      <c r="S577" s="5" t="s">
        <v>33</v>
      </c>
      <c r="T577" s="5" t="s">
        <v>65</v>
      </c>
      <c r="U577" s="5">
        <v>3</v>
      </c>
      <c r="V577" s="5" t="s">
        <v>45</v>
      </c>
    </row>
    <row r="578" spans="1:22" x14ac:dyDescent="0.3">
      <c r="A578" s="5" t="s">
        <v>1092</v>
      </c>
      <c r="B578" s="6">
        <v>46054</v>
      </c>
      <c r="C578" s="5" t="s">
        <v>917</v>
      </c>
      <c r="D578" s="5" t="s">
        <v>48</v>
      </c>
      <c r="E578" s="5" t="s">
        <v>49</v>
      </c>
      <c r="F578" s="5" t="s">
        <v>50</v>
      </c>
      <c r="G578" s="5" t="s">
        <v>51</v>
      </c>
      <c r="H578" s="5" t="s">
        <v>391</v>
      </c>
      <c r="I578" s="5" t="s">
        <v>392</v>
      </c>
      <c r="J578" s="5" t="s">
        <v>54</v>
      </c>
      <c r="K578" s="5" t="s">
        <v>55</v>
      </c>
      <c r="L578" s="5">
        <v>2</v>
      </c>
      <c r="M578" s="5">
        <v>44533</v>
      </c>
      <c r="N578" s="5">
        <v>10</v>
      </c>
      <c r="O578" s="5">
        <v>80159.399999999994</v>
      </c>
      <c r="P578" s="5">
        <v>58877.31</v>
      </c>
      <c r="Q578" s="5">
        <v>21282.09</v>
      </c>
      <c r="R578" s="5" t="s">
        <v>64</v>
      </c>
      <c r="S578" s="5" t="s">
        <v>82</v>
      </c>
      <c r="T578" s="5" t="s">
        <v>73</v>
      </c>
      <c r="U578" s="5">
        <v>3</v>
      </c>
      <c r="V578" s="5" t="s">
        <v>35</v>
      </c>
    </row>
    <row r="579" spans="1:22" x14ac:dyDescent="0.3">
      <c r="A579" s="5" t="s">
        <v>1093</v>
      </c>
      <c r="B579" s="6">
        <v>46109</v>
      </c>
      <c r="C579" s="5" t="s">
        <v>1094</v>
      </c>
      <c r="D579" s="5" t="s">
        <v>151</v>
      </c>
      <c r="E579" s="5" t="s">
        <v>25</v>
      </c>
      <c r="F579" s="5" t="s">
        <v>26</v>
      </c>
      <c r="G579" s="5" t="s">
        <v>27</v>
      </c>
      <c r="H579" s="5" t="s">
        <v>513</v>
      </c>
      <c r="I579" s="5" t="s">
        <v>514</v>
      </c>
      <c r="J579" s="5" t="s">
        <v>71</v>
      </c>
      <c r="K579" s="5" t="s">
        <v>72</v>
      </c>
      <c r="L579" s="5">
        <v>1</v>
      </c>
      <c r="M579" s="5">
        <v>57938</v>
      </c>
      <c r="N579" s="5">
        <v>0</v>
      </c>
      <c r="O579" s="5">
        <v>57938</v>
      </c>
      <c r="P579" s="5">
        <v>48805.06</v>
      </c>
      <c r="Q579" s="5">
        <v>9132.94</v>
      </c>
      <c r="R579" s="5" t="s">
        <v>32</v>
      </c>
      <c r="S579" s="5" t="s">
        <v>82</v>
      </c>
      <c r="T579" s="5" t="s">
        <v>65</v>
      </c>
      <c r="U579" s="5">
        <v>3</v>
      </c>
      <c r="V579" s="5" t="s">
        <v>45</v>
      </c>
    </row>
    <row r="580" spans="1:22" x14ac:dyDescent="0.3">
      <c r="A580" s="5" t="s">
        <v>1095</v>
      </c>
      <c r="B580" s="6">
        <v>46143</v>
      </c>
      <c r="C580" s="5" t="s">
        <v>693</v>
      </c>
      <c r="D580" s="5" t="s">
        <v>24</v>
      </c>
      <c r="E580" s="5" t="s">
        <v>49</v>
      </c>
      <c r="F580" s="5" t="s">
        <v>50</v>
      </c>
      <c r="G580" s="5" t="s">
        <v>51</v>
      </c>
      <c r="H580" s="5" t="s">
        <v>269</v>
      </c>
      <c r="I580" s="5" t="s">
        <v>270</v>
      </c>
      <c r="J580" s="5" t="s">
        <v>71</v>
      </c>
      <c r="K580" s="5" t="s">
        <v>72</v>
      </c>
      <c r="L580" s="5">
        <v>3</v>
      </c>
      <c r="M580" s="5">
        <v>76072</v>
      </c>
      <c r="N580" s="5">
        <v>5</v>
      </c>
      <c r="O580" s="5">
        <v>216805.2</v>
      </c>
      <c r="P580" s="5">
        <v>148301.54</v>
      </c>
      <c r="Q580" s="5">
        <v>68503.66</v>
      </c>
      <c r="R580" s="5" t="s">
        <v>64</v>
      </c>
      <c r="S580" s="5" t="s">
        <v>33</v>
      </c>
      <c r="T580" s="5" t="s">
        <v>34</v>
      </c>
      <c r="U580" s="5">
        <v>3</v>
      </c>
      <c r="V580" s="5" t="s">
        <v>45</v>
      </c>
    </row>
    <row r="581" spans="1:22" x14ac:dyDescent="0.3">
      <c r="A581" s="5" t="s">
        <v>1096</v>
      </c>
      <c r="B581" s="6">
        <v>46174</v>
      </c>
      <c r="C581" s="5" t="s">
        <v>264</v>
      </c>
      <c r="D581" s="5" t="s">
        <v>24</v>
      </c>
      <c r="E581" s="5" t="s">
        <v>94</v>
      </c>
      <c r="F581" s="5" t="s">
        <v>26</v>
      </c>
      <c r="G581" s="5" t="s">
        <v>27</v>
      </c>
      <c r="H581" s="5" t="s">
        <v>574</v>
      </c>
      <c r="I581" s="5" t="s">
        <v>575</v>
      </c>
      <c r="J581" s="5" t="s">
        <v>30</v>
      </c>
      <c r="K581" s="5" t="s">
        <v>31</v>
      </c>
      <c r="L581" s="5">
        <v>1</v>
      </c>
      <c r="M581" s="5">
        <v>28403</v>
      </c>
      <c r="N581" s="5">
        <v>20</v>
      </c>
      <c r="O581" s="5">
        <v>22722.400000000001</v>
      </c>
      <c r="P581" s="5">
        <v>20513.14</v>
      </c>
      <c r="Q581" s="5">
        <v>2209.2600000000002</v>
      </c>
      <c r="R581" s="5" t="s">
        <v>32</v>
      </c>
      <c r="S581" s="5" t="s">
        <v>82</v>
      </c>
      <c r="T581" s="5" t="s">
        <v>34</v>
      </c>
      <c r="U581" s="5">
        <v>3</v>
      </c>
      <c r="V581" s="5" t="s">
        <v>35</v>
      </c>
    </row>
    <row r="582" spans="1:22" x14ac:dyDescent="0.3">
      <c r="A582" s="5" t="s">
        <v>1097</v>
      </c>
      <c r="B582" s="6">
        <v>46108</v>
      </c>
      <c r="C582" s="5" t="s">
        <v>260</v>
      </c>
      <c r="D582" s="5" t="s">
        <v>48</v>
      </c>
      <c r="E582" s="5" t="s">
        <v>94</v>
      </c>
      <c r="F582" s="5" t="s">
        <v>26</v>
      </c>
      <c r="G582" s="5" t="s">
        <v>27</v>
      </c>
      <c r="H582" s="5" t="s">
        <v>253</v>
      </c>
      <c r="I582" s="5" t="s">
        <v>254</v>
      </c>
      <c r="J582" s="5" t="s">
        <v>54</v>
      </c>
      <c r="K582" s="5" t="s">
        <v>55</v>
      </c>
      <c r="L582" s="5">
        <v>3</v>
      </c>
      <c r="M582" s="5">
        <v>77556</v>
      </c>
      <c r="N582" s="5">
        <v>0</v>
      </c>
      <c r="O582" s="5">
        <v>232668</v>
      </c>
      <c r="P582" s="5">
        <v>164372.93</v>
      </c>
      <c r="Q582" s="5">
        <v>68295.070000000007</v>
      </c>
      <c r="R582" s="5" t="s">
        <v>32</v>
      </c>
      <c r="S582" s="5" t="s">
        <v>82</v>
      </c>
      <c r="T582" s="5" t="s">
        <v>65</v>
      </c>
      <c r="U582" s="5">
        <v>5</v>
      </c>
      <c r="V582" s="5" t="s">
        <v>35</v>
      </c>
    </row>
    <row r="583" spans="1:22" x14ac:dyDescent="0.3">
      <c r="A583" s="5" t="s">
        <v>1098</v>
      </c>
      <c r="B583" s="6">
        <v>46163</v>
      </c>
      <c r="C583" s="5" t="s">
        <v>144</v>
      </c>
      <c r="D583" s="5" t="s">
        <v>76</v>
      </c>
      <c r="E583" s="5" t="s">
        <v>126</v>
      </c>
      <c r="F583" s="5" t="s">
        <v>126</v>
      </c>
      <c r="G583" s="5" t="s">
        <v>51</v>
      </c>
      <c r="H583" s="5" t="s">
        <v>384</v>
      </c>
      <c r="I583" s="5" t="s">
        <v>385</v>
      </c>
      <c r="J583" s="5" t="s">
        <v>102</v>
      </c>
      <c r="K583" s="5" t="s">
        <v>103</v>
      </c>
      <c r="L583" s="5">
        <v>4</v>
      </c>
      <c r="M583" s="5">
        <v>77085</v>
      </c>
      <c r="N583" s="5">
        <v>0</v>
      </c>
      <c r="O583" s="5">
        <v>308340</v>
      </c>
      <c r="P583" s="5">
        <v>214165.75</v>
      </c>
      <c r="Q583" s="5">
        <v>94174.25</v>
      </c>
      <c r="R583" s="5" t="s">
        <v>44</v>
      </c>
      <c r="S583" s="5" t="s">
        <v>82</v>
      </c>
      <c r="T583" s="5" t="s">
        <v>34</v>
      </c>
      <c r="U583" s="5">
        <v>3</v>
      </c>
      <c r="V583" s="5" t="s">
        <v>45</v>
      </c>
    </row>
    <row r="584" spans="1:22" x14ac:dyDescent="0.3">
      <c r="A584" s="5" t="s">
        <v>1099</v>
      </c>
      <c r="B584" s="6">
        <v>46118</v>
      </c>
      <c r="C584" s="5" t="s">
        <v>693</v>
      </c>
      <c r="D584" s="5" t="s">
        <v>76</v>
      </c>
      <c r="E584" s="5" t="s">
        <v>25</v>
      </c>
      <c r="F584" s="5" t="s">
        <v>26</v>
      </c>
      <c r="G584" s="5" t="s">
        <v>27</v>
      </c>
      <c r="H584" s="5" t="s">
        <v>253</v>
      </c>
      <c r="I584" s="5" t="s">
        <v>254</v>
      </c>
      <c r="J584" s="5" t="s">
        <v>54</v>
      </c>
      <c r="K584" s="5" t="s">
        <v>55</v>
      </c>
      <c r="L584" s="5">
        <v>5</v>
      </c>
      <c r="M584" s="5">
        <v>38951</v>
      </c>
      <c r="N584" s="5">
        <v>10</v>
      </c>
      <c r="O584" s="5">
        <v>175279.5</v>
      </c>
      <c r="P584" s="5">
        <v>131646.98000000001</v>
      </c>
      <c r="Q584" s="5">
        <v>43632.52</v>
      </c>
      <c r="R584" s="5" t="s">
        <v>44</v>
      </c>
      <c r="S584" s="5" t="s">
        <v>33</v>
      </c>
      <c r="T584" s="5" t="s">
        <v>34</v>
      </c>
      <c r="U584" s="5">
        <v>4</v>
      </c>
      <c r="V584" s="5" t="s">
        <v>45</v>
      </c>
    </row>
    <row r="585" spans="1:22" x14ac:dyDescent="0.3">
      <c r="A585" s="5" t="s">
        <v>1100</v>
      </c>
      <c r="B585" s="6">
        <v>46123</v>
      </c>
      <c r="C585" s="5" t="s">
        <v>209</v>
      </c>
      <c r="D585" s="5" t="s">
        <v>110</v>
      </c>
      <c r="E585" s="5" t="s">
        <v>39</v>
      </c>
      <c r="F585" s="5" t="s">
        <v>40</v>
      </c>
      <c r="G585" s="5" t="s">
        <v>41</v>
      </c>
      <c r="H585" s="5" t="s">
        <v>640</v>
      </c>
      <c r="I585" s="5" t="s">
        <v>641</v>
      </c>
      <c r="J585" s="5" t="s">
        <v>54</v>
      </c>
      <c r="K585" s="5" t="s">
        <v>97</v>
      </c>
      <c r="L585" s="5">
        <v>1</v>
      </c>
      <c r="M585" s="5">
        <v>52279</v>
      </c>
      <c r="N585" s="5">
        <v>15</v>
      </c>
      <c r="O585" s="5">
        <v>44437.15</v>
      </c>
      <c r="P585" s="5">
        <v>36997.21</v>
      </c>
      <c r="Q585" s="5">
        <v>7439.94</v>
      </c>
      <c r="R585" s="5" t="s">
        <v>44</v>
      </c>
      <c r="S585" s="5" t="s">
        <v>33</v>
      </c>
      <c r="T585" s="5" t="s">
        <v>65</v>
      </c>
      <c r="U585" s="5">
        <v>5</v>
      </c>
      <c r="V585" s="5" t="s">
        <v>35</v>
      </c>
    </row>
    <row r="586" spans="1:22" x14ac:dyDescent="0.3">
      <c r="A586" s="5" t="s">
        <v>1101</v>
      </c>
      <c r="B586" s="6">
        <v>46085</v>
      </c>
      <c r="C586" s="5" t="s">
        <v>560</v>
      </c>
      <c r="D586" s="5" t="s">
        <v>48</v>
      </c>
      <c r="E586" s="5" t="s">
        <v>39</v>
      </c>
      <c r="F586" s="5" t="s">
        <v>40</v>
      </c>
      <c r="G586" s="5" t="s">
        <v>41</v>
      </c>
      <c r="H586" s="5" t="s">
        <v>213</v>
      </c>
      <c r="I586" s="5" t="s">
        <v>214</v>
      </c>
      <c r="J586" s="5" t="s">
        <v>54</v>
      </c>
      <c r="K586" s="5" t="s">
        <v>97</v>
      </c>
      <c r="L586" s="5">
        <v>5</v>
      </c>
      <c r="M586" s="5">
        <v>65132</v>
      </c>
      <c r="N586" s="5">
        <v>15</v>
      </c>
      <c r="O586" s="5">
        <v>276811</v>
      </c>
      <c r="P586" s="5">
        <v>275450.68</v>
      </c>
      <c r="Q586" s="5">
        <v>1360.32</v>
      </c>
      <c r="R586" s="5" t="s">
        <v>64</v>
      </c>
      <c r="S586" s="5" t="s">
        <v>82</v>
      </c>
      <c r="T586" s="5" t="s">
        <v>65</v>
      </c>
      <c r="U586" s="5">
        <v>2</v>
      </c>
      <c r="V586" s="5" t="s">
        <v>35</v>
      </c>
    </row>
    <row r="587" spans="1:22" x14ac:dyDescent="0.3">
      <c r="A587" s="5" t="s">
        <v>1102</v>
      </c>
      <c r="B587" s="6">
        <v>46071</v>
      </c>
      <c r="C587" s="5" t="s">
        <v>1103</v>
      </c>
      <c r="D587" s="5" t="s">
        <v>58</v>
      </c>
      <c r="E587" s="5" t="s">
        <v>77</v>
      </c>
      <c r="F587" s="5" t="s">
        <v>78</v>
      </c>
      <c r="G587" s="5" t="s">
        <v>41</v>
      </c>
      <c r="H587" s="5" t="s">
        <v>440</v>
      </c>
      <c r="I587" s="5" t="s">
        <v>441</v>
      </c>
      <c r="J587" s="5" t="s">
        <v>30</v>
      </c>
      <c r="K587" s="5" t="s">
        <v>31</v>
      </c>
      <c r="L587" s="5">
        <v>2</v>
      </c>
      <c r="M587" s="5">
        <v>67367</v>
      </c>
      <c r="N587" s="5">
        <v>0</v>
      </c>
      <c r="O587" s="5">
        <v>134734</v>
      </c>
      <c r="P587" s="5">
        <v>101045.66</v>
      </c>
      <c r="Q587" s="5">
        <v>33688.339999999997</v>
      </c>
      <c r="R587" s="5" t="s">
        <v>32</v>
      </c>
      <c r="S587" s="5" t="s">
        <v>82</v>
      </c>
      <c r="T587" s="5" t="s">
        <v>65</v>
      </c>
      <c r="U587" s="5">
        <v>4</v>
      </c>
      <c r="V587" s="5" t="s">
        <v>35</v>
      </c>
    </row>
    <row r="588" spans="1:22" x14ac:dyDescent="0.3">
      <c r="A588" s="5" t="s">
        <v>1104</v>
      </c>
      <c r="B588" s="6">
        <v>46080</v>
      </c>
      <c r="C588" s="5" t="s">
        <v>809</v>
      </c>
      <c r="D588" s="5" t="s">
        <v>117</v>
      </c>
      <c r="E588" s="5" t="s">
        <v>49</v>
      </c>
      <c r="F588" s="5" t="s">
        <v>50</v>
      </c>
      <c r="G588" s="5" t="s">
        <v>51</v>
      </c>
      <c r="H588" s="5" t="s">
        <v>106</v>
      </c>
      <c r="I588" s="5" t="s">
        <v>107</v>
      </c>
      <c r="J588" s="5" t="s">
        <v>30</v>
      </c>
      <c r="K588" s="5" t="s">
        <v>31</v>
      </c>
      <c r="L588" s="5">
        <v>3</v>
      </c>
      <c r="M588" s="5">
        <v>46627</v>
      </c>
      <c r="N588" s="5">
        <v>15</v>
      </c>
      <c r="O588" s="5">
        <v>118898.85</v>
      </c>
      <c r="P588" s="5">
        <v>113689.42</v>
      </c>
      <c r="Q588" s="5">
        <v>5209.43</v>
      </c>
      <c r="R588" s="5" t="s">
        <v>32</v>
      </c>
      <c r="S588" s="5" t="s">
        <v>33</v>
      </c>
      <c r="T588" s="5" t="s">
        <v>73</v>
      </c>
      <c r="U588" s="5">
        <v>4</v>
      </c>
      <c r="V588" s="5" t="s">
        <v>45</v>
      </c>
    </row>
    <row r="589" spans="1:22" x14ac:dyDescent="0.3">
      <c r="A589" s="5" t="s">
        <v>1105</v>
      </c>
      <c r="B589" s="6">
        <v>46154</v>
      </c>
      <c r="C589" s="5" t="s">
        <v>57</v>
      </c>
      <c r="D589" s="5" t="s">
        <v>117</v>
      </c>
      <c r="E589" s="5" t="s">
        <v>126</v>
      </c>
      <c r="F589" s="5" t="s">
        <v>126</v>
      </c>
      <c r="G589" s="5" t="s">
        <v>51</v>
      </c>
      <c r="H589" s="5" t="s">
        <v>90</v>
      </c>
      <c r="I589" s="5" t="s">
        <v>91</v>
      </c>
      <c r="J589" s="5" t="s">
        <v>71</v>
      </c>
      <c r="K589" s="5" t="s">
        <v>81</v>
      </c>
      <c r="L589" s="5">
        <v>1</v>
      </c>
      <c r="M589" s="5">
        <v>9370</v>
      </c>
      <c r="N589" s="5">
        <v>10</v>
      </c>
      <c r="O589" s="5">
        <v>8433</v>
      </c>
      <c r="P589" s="5">
        <v>7475.84</v>
      </c>
      <c r="Q589" s="5">
        <v>957.16</v>
      </c>
      <c r="R589" s="5" t="s">
        <v>64</v>
      </c>
      <c r="S589" s="5" t="s">
        <v>33</v>
      </c>
      <c r="T589" s="5" t="s">
        <v>73</v>
      </c>
      <c r="U589" s="5">
        <v>4</v>
      </c>
      <c r="V589" s="5" t="s">
        <v>45</v>
      </c>
    </row>
    <row r="590" spans="1:22" x14ac:dyDescent="0.3">
      <c r="A590" s="5" t="s">
        <v>1106</v>
      </c>
      <c r="B590" s="6">
        <v>46096</v>
      </c>
      <c r="C590" s="5" t="s">
        <v>171</v>
      </c>
      <c r="D590" s="5" t="s">
        <v>117</v>
      </c>
      <c r="E590" s="5" t="s">
        <v>39</v>
      </c>
      <c r="F590" s="5" t="s">
        <v>40</v>
      </c>
      <c r="G590" s="5" t="s">
        <v>41</v>
      </c>
      <c r="H590" s="5" t="s">
        <v>367</v>
      </c>
      <c r="I590" s="5" t="s">
        <v>368</v>
      </c>
      <c r="J590" s="5" t="s">
        <v>71</v>
      </c>
      <c r="K590" s="5" t="s">
        <v>72</v>
      </c>
      <c r="L590" s="5">
        <v>3</v>
      </c>
      <c r="M590" s="5">
        <v>35136</v>
      </c>
      <c r="N590" s="5">
        <v>20</v>
      </c>
      <c r="O590" s="5">
        <v>84326.399999999994</v>
      </c>
      <c r="P590" s="5">
        <v>87238.96</v>
      </c>
      <c r="Q590" s="5">
        <v>-2912.56</v>
      </c>
      <c r="R590" s="5" t="s">
        <v>44</v>
      </c>
      <c r="S590" s="5" t="s">
        <v>33</v>
      </c>
      <c r="T590" s="5" t="s">
        <v>34</v>
      </c>
      <c r="U590" s="5">
        <v>5</v>
      </c>
      <c r="V590" s="5" t="s">
        <v>45</v>
      </c>
    </row>
    <row r="591" spans="1:22" x14ac:dyDescent="0.3">
      <c r="A591" s="5" t="s">
        <v>1107</v>
      </c>
      <c r="B591" s="6">
        <v>46062</v>
      </c>
      <c r="C591" s="5" t="s">
        <v>774</v>
      </c>
      <c r="D591" s="5" t="s">
        <v>89</v>
      </c>
      <c r="E591" s="5" t="s">
        <v>59</v>
      </c>
      <c r="F591" s="5" t="s">
        <v>60</v>
      </c>
      <c r="G591" s="5" t="s">
        <v>61</v>
      </c>
      <c r="H591" s="5" t="s">
        <v>62</v>
      </c>
      <c r="I591" s="5" t="s">
        <v>63</v>
      </c>
      <c r="J591" s="5" t="s">
        <v>54</v>
      </c>
      <c r="K591" s="5" t="s">
        <v>55</v>
      </c>
      <c r="L591" s="5">
        <v>1</v>
      </c>
      <c r="M591" s="5">
        <v>70815</v>
      </c>
      <c r="N591" s="5">
        <v>15</v>
      </c>
      <c r="O591" s="5">
        <v>60192.75</v>
      </c>
      <c r="P591" s="5">
        <v>41453.58</v>
      </c>
      <c r="Q591" s="5">
        <v>18739.169999999998</v>
      </c>
      <c r="R591" s="5" t="s">
        <v>64</v>
      </c>
      <c r="S591" s="5" t="s">
        <v>82</v>
      </c>
      <c r="T591" s="5" t="s">
        <v>65</v>
      </c>
      <c r="U591" s="5">
        <v>2</v>
      </c>
      <c r="V591" s="5" t="s">
        <v>45</v>
      </c>
    </row>
    <row r="592" spans="1:22" x14ac:dyDescent="0.3">
      <c r="A592" s="5" t="s">
        <v>1108</v>
      </c>
      <c r="B592" s="6">
        <v>46138</v>
      </c>
      <c r="C592" s="5" t="s">
        <v>332</v>
      </c>
      <c r="D592" s="5" t="s">
        <v>68</v>
      </c>
      <c r="E592" s="5" t="s">
        <v>126</v>
      </c>
      <c r="F592" s="5" t="s">
        <v>126</v>
      </c>
      <c r="G592" s="5" t="s">
        <v>51</v>
      </c>
      <c r="H592" s="5" t="s">
        <v>241</v>
      </c>
      <c r="I592" s="5" t="s">
        <v>242</v>
      </c>
      <c r="J592" s="5" t="s">
        <v>54</v>
      </c>
      <c r="K592" s="5" t="s">
        <v>55</v>
      </c>
      <c r="L592" s="5">
        <v>5</v>
      </c>
      <c r="M592" s="5">
        <v>77696</v>
      </c>
      <c r="N592" s="5">
        <v>0</v>
      </c>
      <c r="O592" s="5">
        <v>388480</v>
      </c>
      <c r="P592" s="5">
        <v>281458.67</v>
      </c>
      <c r="Q592" s="5">
        <v>107021.33</v>
      </c>
      <c r="R592" s="5" t="s">
        <v>32</v>
      </c>
      <c r="S592" s="5" t="s">
        <v>82</v>
      </c>
      <c r="T592" s="5" t="s">
        <v>73</v>
      </c>
      <c r="U592" s="5">
        <v>4</v>
      </c>
      <c r="V592" s="5" t="s">
        <v>35</v>
      </c>
    </row>
    <row r="593" spans="1:22" x14ac:dyDescent="0.3">
      <c r="A593" s="5" t="s">
        <v>1109</v>
      </c>
      <c r="B593" s="6">
        <v>46038</v>
      </c>
      <c r="C593" s="5" t="s">
        <v>919</v>
      </c>
      <c r="D593" s="5" t="s">
        <v>117</v>
      </c>
      <c r="E593" s="5" t="s">
        <v>77</v>
      </c>
      <c r="F593" s="5" t="s">
        <v>78</v>
      </c>
      <c r="G593" s="5" t="s">
        <v>41</v>
      </c>
      <c r="H593" s="5" t="s">
        <v>312</v>
      </c>
      <c r="I593" s="5" t="s">
        <v>313</v>
      </c>
      <c r="J593" s="5" t="s">
        <v>54</v>
      </c>
      <c r="K593" s="5" t="s">
        <v>97</v>
      </c>
      <c r="L593" s="5">
        <v>3</v>
      </c>
      <c r="M593" s="5">
        <v>72357</v>
      </c>
      <c r="N593" s="5">
        <v>15</v>
      </c>
      <c r="O593" s="5">
        <v>184510.35</v>
      </c>
      <c r="P593" s="5">
        <v>135413.62</v>
      </c>
      <c r="Q593" s="5">
        <v>49096.73</v>
      </c>
      <c r="R593" s="5" t="s">
        <v>32</v>
      </c>
      <c r="S593" s="5" t="s">
        <v>82</v>
      </c>
      <c r="T593" s="5" t="s">
        <v>65</v>
      </c>
      <c r="U593" s="5">
        <v>2</v>
      </c>
      <c r="V593" s="5" t="s">
        <v>45</v>
      </c>
    </row>
    <row r="594" spans="1:22" x14ac:dyDescent="0.3">
      <c r="A594" s="5" t="s">
        <v>1110</v>
      </c>
      <c r="B594" s="6">
        <v>46170</v>
      </c>
      <c r="C594" s="5" t="s">
        <v>545</v>
      </c>
      <c r="D594" s="5" t="s">
        <v>68</v>
      </c>
      <c r="E594" s="5" t="s">
        <v>39</v>
      </c>
      <c r="F594" s="5" t="s">
        <v>40</v>
      </c>
      <c r="G594" s="5" t="s">
        <v>41</v>
      </c>
      <c r="H594" s="5" t="s">
        <v>100</v>
      </c>
      <c r="I594" s="5" t="s">
        <v>101</v>
      </c>
      <c r="J594" s="5" t="s">
        <v>102</v>
      </c>
      <c r="K594" s="5" t="s">
        <v>103</v>
      </c>
      <c r="L594" s="5">
        <v>3</v>
      </c>
      <c r="M594" s="5">
        <v>63432</v>
      </c>
      <c r="N594" s="5">
        <v>0</v>
      </c>
      <c r="O594" s="5">
        <v>190296</v>
      </c>
      <c r="P594" s="5">
        <v>151928.04</v>
      </c>
      <c r="Q594" s="5">
        <v>38367.96</v>
      </c>
      <c r="R594" s="5" t="s">
        <v>44</v>
      </c>
      <c r="S594" s="5" t="s">
        <v>82</v>
      </c>
      <c r="T594" s="5" t="s">
        <v>34</v>
      </c>
      <c r="U594" s="5">
        <v>3</v>
      </c>
      <c r="V594" s="5" t="s">
        <v>45</v>
      </c>
    </row>
    <row r="595" spans="1:22" x14ac:dyDescent="0.3">
      <c r="A595" s="5" t="s">
        <v>1111</v>
      </c>
      <c r="B595" s="6">
        <v>46161</v>
      </c>
      <c r="C595" s="5" t="s">
        <v>1085</v>
      </c>
      <c r="D595" s="5" t="s">
        <v>117</v>
      </c>
      <c r="E595" s="5" t="s">
        <v>25</v>
      </c>
      <c r="F595" s="5" t="s">
        <v>26</v>
      </c>
      <c r="G595" s="5" t="s">
        <v>27</v>
      </c>
      <c r="H595" s="5" t="s">
        <v>118</v>
      </c>
      <c r="I595" s="5" t="s">
        <v>119</v>
      </c>
      <c r="J595" s="5" t="s">
        <v>54</v>
      </c>
      <c r="K595" s="5" t="s">
        <v>97</v>
      </c>
      <c r="L595" s="5">
        <v>5</v>
      </c>
      <c r="M595" s="5">
        <v>16147</v>
      </c>
      <c r="N595" s="5">
        <v>5</v>
      </c>
      <c r="O595" s="5">
        <v>76698.25</v>
      </c>
      <c r="P595" s="5">
        <v>51006.57</v>
      </c>
      <c r="Q595" s="5">
        <v>25691.68</v>
      </c>
      <c r="R595" s="5" t="s">
        <v>64</v>
      </c>
      <c r="S595" s="5" t="s">
        <v>33</v>
      </c>
      <c r="T595" s="5" t="s">
        <v>34</v>
      </c>
      <c r="U595" s="5">
        <v>4</v>
      </c>
      <c r="V595" s="5" t="s">
        <v>35</v>
      </c>
    </row>
    <row r="596" spans="1:22" x14ac:dyDescent="0.3">
      <c r="A596" s="5" t="s">
        <v>1112</v>
      </c>
      <c r="B596" s="6">
        <v>46123</v>
      </c>
      <c r="C596" s="5" t="s">
        <v>150</v>
      </c>
      <c r="D596" s="5" t="s">
        <v>24</v>
      </c>
      <c r="E596" s="5" t="s">
        <v>49</v>
      </c>
      <c r="F596" s="5" t="s">
        <v>50</v>
      </c>
      <c r="G596" s="5" t="s">
        <v>51</v>
      </c>
      <c r="H596" s="5" t="s">
        <v>172</v>
      </c>
      <c r="I596" s="5" t="s">
        <v>173</v>
      </c>
      <c r="J596" s="5" t="s">
        <v>54</v>
      </c>
      <c r="K596" s="5" t="s">
        <v>97</v>
      </c>
      <c r="L596" s="5">
        <v>4</v>
      </c>
      <c r="M596" s="5">
        <v>30431</v>
      </c>
      <c r="N596" s="5">
        <v>20</v>
      </c>
      <c r="O596" s="5">
        <v>97379.199999999997</v>
      </c>
      <c r="P596" s="5">
        <v>70778.52</v>
      </c>
      <c r="Q596" s="5">
        <v>26600.68</v>
      </c>
      <c r="R596" s="5" t="s">
        <v>44</v>
      </c>
      <c r="S596" s="5" t="s">
        <v>82</v>
      </c>
      <c r="T596" s="5" t="s">
        <v>34</v>
      </c>
      <c r="U596" s="5">
        <v>2</v>
      </c>
      <c r="V596" s="5" t="s">
        <v>35</v>
      </c>
    </row>
    <row r="597" spans="1:22" x14ac:dyDescent="0.3">
      <c r="A597" s="5" t="s">
        <v>1113</v>
      </c>
      <c r="B597" s="6">
        <v>46184</v>
      </c>
      <c r="C597" s="5" t="s">
        <v>274</v>
      </c>
      <c r="D597" s="5" t="s">
        <v>117</v>
      </c>
      <c r="E597" s="5" t="s">
        <v>25</v>
      </c>
      <c r="F597" s="5" t="s">
        <v>26</v>
      </c>
      <c r="G597" s="5" t="s">
        <v>27</v>
      </c>
      <c r="H597" s="5" t="s">
        <v>42</v>
      </c>
      <c r="I597" s="5" t="s">
        <v>43</v>
      </c>
      <c r="J597" s="5" t="s">
        <v>30</v>
      </c>
      <c r="K597" s="5" t="s">
        <v>31</v>
      </c>
      <c r="L597" s="5">
        <v>5</v>
      </c>
      <c r="M597" s="5">
        <v>66143</v>
      </c>
      <c r="N597" s="5">
        <v>0</v>
      </c>
      <c r="O597" s="5">
        <v>330715</v>
      </c>
      <c r="P597" s="5">
        <v>232684.49</v>
      </c>
      <c r="Q597" s="5">
        <v>98030.51</v>
      </c>
      <c r="R597" s="5" t="s">
        <v>64</v>
      </c>
      <c r="S597" s="5" t="s">
        <v>82</v>
      </c>
      <c r="T597" s="5" t="s">
        <v>34</v>
      </c>
      <c r="U597" s="5">
        <v>5</v>
      </c>
      <c r="V597" s="5" t="s">
        <v>35</v>
      </c>
    </row>
    <row r="598" spans="1:22" x14ac:dyDescent="0.3">
      <c r="A598" s="5" t="s">
        <v>1114</v>
      </c>
      <c r="B598" s="6">
        <v>46175</v>
      </c>
      <c r="C598" s="5" t="s">
        <v>1060</v>
      </c>
      <c r="D598" s="5" t="s">
        <v>117</v>
      </c>
      <c r="E598" s="5" t="s">
        <v>25</v>
      </c>
      <c r="F598" s="5" t="s">
        <v>26</v>
      </c>
      <c r="G598" s="5" t="s">
        <v>27</v>
      </c>
      <c r="H598" s="5" t="s">
        <v>156</v>
      </c>
      <c r="I598" s="5" t="s">
        <v>157</v>
      </c>
      <c r="J598" s="5" t="s">
        <v>30</v>
      </c>
      <c r="K598" s="5" t="s">
        <v>31</v>
      </c>
      <c r="L598" s="5">
        <v>4</v>
      </c>
      <c r="M598" s="5">
        <v>12431</v>
      </c>
      <c r="N598" s="5">
        <v>20</v>
      </c>
      <c r="O598" s="5">
        <v>39779.199999999997</v>
      </c>
      <c r="P598" s="5">
        <v>35520.79</v>
      </c>
      <c r="Q598" s="5">
        <v>4258.41</v>
      </c>
      <c r="R598" s="5" t="s">
        <v>32</v>
      </c>
      <c r="S598" s="5" t="s">
        <v>33</v>
      </c>
      <c r="T598" s="5" t="s">
        <v>73</v>
      </c>
      <c r="U598" s="5">
        <v>4</v>
      </c>
      <c r="V598" s="5" t="s">
        <v>35</v>
      </c>
    </row>
    <row r="599" spans="1:22" x14ac:dyDescent="0.3">
      <c r="A599" s="5" t="s">
        <v>1115</v>
      </c>
      <c r="B599" s="6">
        <v>46082</v>
      </c>
      <c r="C599" s="5" t="s">
        <v>1060</v>
      </c>
      <c r="D599" s="5" t="s">
        <v>68</v>
      </c>
      <c r="E599" s="5" t="s">
        <v>59</v>
      </c>
      <c r="F599" s="5" t="s">
        <v>60</v>
      </c>
      <c r="G599" s="5" t="s">
        <v>61</v>
      </c>
      <c r="H599" s="5" t="s">
        <v>431</v>
      </c>
      <c r="I599" s="5" t="s">
        <v>432</v>
      </c>
      <c r="J599" s="5" t="s">
        <v>30</v>
      </c>
      <c r="K599" s="5" t="s">
        <v>31</v>
      </c>
      <c r="L599" s="5">
        <v>1</v>
      </c>
      <c r="M599" s="5">
        <v>21038</v>
      </c>
      <c r="N599" s="5">
        <v>15</v>
      </c>
      <c r="O599" s="5">
        <v>17882.3</v>
      </c>
      <c r="P599" s="5">
        <v>16558.150000000001</v>
      </c>
      <c r="Q599" s="5">
        <v>1324.15</v>
      </c>
      <c r="R599" s="5" t="s">
        <v>64</v>
      </c>
      <c r="S599" s="5" t="s">
        <v>33</v>
      </c>
      <c r="T599" s="5" t="s">
        <v>34</v>
      </c>
      <c r="U599" s="5">
        <v>4</v>
      </c>
      <c r="V599" s="5" t="s">
        <v>45</v>
      </c>
    </row>
    <row r="600" spans="1:22" x14ac:dyDescent="0.3">
      <c r="A600" s="5" t="s">
        <v>1116</v>
      </c>
      <c r="B600" s="6">
        <v>46189</v>
      </c>
      <c r="C600" s="5" t="s">
        <v>446</v>
      </c>
      <c r="D600" s="5" t="s">
        <v>89</v>
      </c>
      <c r="E600" s="5" t="s">
        <v>25</v>
      </c>
      <c r="F600" s="5" t="s">
        <v>26</v>
      </c>
      <c r="G600" s="5" t="s">
        <v>27</v>
      </c>
      <c r="H600" s="5" t="s">
        <v>277</v>
      </c>
      <c r="I600" s="5" t="s">
        <v>278</v>
      </c>
      <c r="J600" s="5" t="s">
        <v>71</v>
      </c>
      <c r="K600" s="5" t="s">
        <v>81</v>
      </c>
      <c r="L600" s="5">
        <v>3</v>
      </c>
      <c r="M600" s="5">
        <v>62555</v>
      </c>
      <c r="N600" s="5">
        <v>15</v>
      </c>
      <c r="O600" s="5">
        <v>159515.25</v>
      </c>
      <c r="P600" s="5">
        <v>142422.16</v>
      </c>
      <c r="Q600" s="5">
        <v>17093.09</v>
      </c>
      <c r="R600" s="5" t="s">
        <v>44</v>
      </c>
      <c r="S600" s="5" t="s">
        <v>33</v>
      </c>
      <c r="T600" s="5" t="s">
        <v>73</v>
      </c>
      <c r="U600" s="5">
        <v>4</v>
      </c>
      <c r="V600" s="5" t="s">
        <v>45</v>
      </c>
    </row>
    <row r="601" spans="1:22" x14ac:dyDescent="0.3">
      <c r="A601" s="5" t="s">
        <v>1117</v>
      </c>
      <c r="B601" s="6">
        <v>46202</v>
      </c>
      <c r="C601" s="5" t="s">
        <v>260</v>
      </c>
      <c r="D601" s="5" t="s">
        <v>110</v>
      </c>
      <c r="E601" s="5" t="s">
        <v>39</v>
      </c>
      <c r="F601" s="5" t="s">
        <v>40</v>
      </c>
      <c r="G601" s="5" t="s">
        <v>41</v>
      </c>
      <c r="H601" s="5" t="s">
        <v>90</v>
      </c>
      <c r="I601" s="5" t="s">
        <v>91</v>
      </c>
      <c r="J601" s="5" t="s">
        <v>71</v>
      </c>
      <c r="K601" s="5" t="s">
        <v>81</v>
      </c>
      <c r="L601" s="5">
        <v>2</v>
      </c>
      <c r="M601" s="5">
        <v>49283</v>
      </c>
      <c r="N601" s="5">
        <v>5</v>
      </c>
      <c r="O601" s="5">
        <v>93637.7</v>
      </c>
      <c r="P601" s="5">
        <v>66340.009999999995</v>
      </c>
      <c r="Q601" s="5">
        <v>27297.69</v>
      </c>
      <c r="R601" s="5" t="s">
        <v>64</v>
      </c>
      <c r="S601" s="5" t="s">
        <v>33</v>
      </c>
      <c r="T601" s="5" t="s">
        <v>34</v>
      </c>
      <c r="U601" s="5">
        <v>5</v>
      </c>
      <c r="V601" s="5" t="s">
        <v>35</v>
      </c>
    </row>
    <row r="602" spans="1:22" x14ac:dyDescent="0.3">
      <c r="A602" s="5" t="s">
        <v>1118</v>
      </c>
      <c r="B602" s="6">
        <v>46128</v>
      </c>
      <c r="C602" s="5" t="s">
        <v>631</v>
      </c>
      <c r="D602" s="5" t="s">
        <v>89</v>
      </c>
      <c r="E602" s="5" t="s">
        <v>126</v>
      </c>
      <c r="F602" s="5" t="s">
        <v>126</v>
      </c>
      <c r="G602" s="5" t="s">
        <v>51</v>
      </c>
      <c r="H602" s="5" t="s">
        <v>79</v>
      </c>
      <c r="I602" s="5" t="s">
        <v>80</v>
      </c>
      <c r="J602" s="5" t="s">
        <v>71</v>
      </c>
      <c r="K602" s="5" t="s">
        <v>81</v>
      </c>
      <c r="L602" s="5">
        <v>3</v>
      </c>
      <c r="M602" s="5">
        <v>55226</v>
      </c>
      <c r="N602" s="5">
        <v>10</v>
      </c>
      <c r="O602" s="5">
        <v>149110.20000000001</v>
      </c>
      <c r="P602" s="5">
        <v>108232.98</v>
      </c>
      <c r="Q602" s="5">
        <v>40877.22</v>
      </c>
      <c r="R602" s="5" t="s">
        <v>32</v>
      </c>
      <c r="S602" s="5" t="s">
        <v>33</v>
      </c>
      <c r="T602" s="5" t="s">
        <v>73</v>
      </c>
      <c r="U602" s="5">
        <v>5</v>
      </c>
      <c r="V602" s="5" t="s">
        <v>45</v>
      </c>
    </row>
    <row r="603" spans="1:22" x14ac:dyDescent="0.3">
      <c r="A603" s="5" t="s">
        <v>1119</v>
      </c>
      <c r="B603" s="6">
        <v>46068</v>
      </c>
      <c r="C603" s="5" t="s">
        <v>351</v>
      </c>
      <c r="D603" s="5" t="s">
        <v>117</v>
      </c>
      <c r="E603" s="5" t="s">
        <v>59</v>
      </c>
      <c r="F603" s="5" t="s">
        <v>60</v>
      </c>
      <c r="G603" s="5" t="s">
        <v>61</v>
      </c>
      <c r="H603" s="5" t="s">
        <v>396</v>
      </c>
      <c r="I603" s="5" t="s">
        <v>397</v>
      </c>
      <c r="J603" s="5" t="s">
        <v>54</v>
      </c>
      <c r="K603" s="5" t="s">
        <v>55</v>
      </c>
      <c r="L603" s="5">
        <v>2</v>
      </c>
      <c r="M603" s="5">
        <v>54135</v>
      </c>
      <c r="N603" s="5">
        <v>20</v>
      </c>
      <c r="O603" s="5">
        <v>86616</v>
      </c>
      <c r="P603" s="5">
        <v>67561.850000000006</v>
      </c>
      <c r="Q603" s="5">
        <v>19054.150000000001</v>
      </c>
      <c r="R603" s="5" t="s">
        <v>64</v>
      </c>
      <c r="S603" s="5" t="s">
        <v>82</v>
      </c>
      <c r="T603" s="5" t="s">
        <v>34</v>
      </c>
      <c r="U603" s="5">
        <v>2</v>
      </c>
      <c r="V603" s="5" t="s">
        <v>35</v>
      </c>
    </row>
    <row r="604" spans="1:22" x14ac:dyDescent="0.3">
      <c r="A604" s="5" t="s">
        <v>1120</v>
      </c>
      <c r="B604" s="6">
        <v>46189</v>
      </c>
      <c r="C604" s="5" t="s">
        <v>675</v>
      </c>
      <c r="D604" s="5" t="s">
        <v>110</v>
      </c>
      <c r="E604" s="5" t="s">
        <v>25</v>
      </c>
      <c r="F604" s="5" t="s">
        <v>26</v>
      </c>
      <c r="G604" s="5" t="s">
        <v>27</v>
      </c>
      <c r="H604" s="5" t="s">
        <v>69</v>
      </c>
      <c r="I604" s="5" t="s">
        <v>70</v>
      </c>
      <c r="J604" s="5" t="s">
        <v>71</v>
      </c>
      <c r="K604" s="5" t="s">
        <v>72</v>
      </c>
      <c r="L604" s="5">
        <v>1</v>
      </c>
      <c r="M604" s="5">
        <v>13639</v>
      </c>
      <c r="N604" s="5">
        <v>15</v>
      </c>
      <c r="O604" s="5">
        <v>11593.15</v>
      </c>
      <c r="P604" s="5">
        <v>9044.18</v>
      </c>
      <c r="Q604" s="5">
        <v>2548.9699999999998</v>
      </c>
      <c r="R604" s="5" t="s">
        <v>44</v>
      </c>
      <c r="S604" s="5" t="s">
        <v>33</v>
      </c>
      <c r="T604" s="5" t="s">
        <v>73</v>
      </c>
      <c r="U604" s="5">
        <v>1</v>
      </c>
      <c r="V604" s="5" t="s">
        <v>45</v>
      </c>
    </row>
    <row r="605" spans="1:22" x14ac:dyDescent="0.3">
      <c r="A605" s="5" t="s">
        <v>1121</v>
      </c>
      <c r="B605" s="6">
        <v>46160</v>
      </c>
      <c r="C605" s="5" t="s">
        <v>294</v>
      </c>
      <c r="D605" s="5" t="s">
        <v>89</v>
      </c>
      <c r="E605" s="5" t="s">
        <v>126</v>
      </c>
      <c r="F605" s="5" t="s">
        <v>126</v>
      </c>
      <c r="G605" s="5" t="s">
        <v>51</v>
      </c>
      <c r="H605" s="5" t="s">
        <v>69</v>
      </c>
      <c r="I605" s="5" t="s">
        <v>70</v>
      </c>
      <c r="J605" s="5" t="s">
        <v>71</v>
      </c>
      <c r="K605" s="5" t="s">
        <v>72</v>
      </c>
      <c r="L605" s="5">
        <v>5</v>
      </c>
      <c r="M605" s="5">
        <v>26446</v>
      </c>
      <c r="N605" s="5">
        <v>10</v>
      </c>
      <c r="O605" s="5">
        <v>119007</v>
      </c>
      <c r="P605" s="5">
        <v>112104.83</v>
      </c>
      <c r="Q605" s="5">
        <v>6902.17</v>
      </c>
      <c r="R605" s="5" t="s">
        <v>44</v>
      </c>
      <c r="S605" s="5" t="s">
        <v>82</v>
      </c>
      <c r="T605" s="5" t="s">
        <v>73</v>
      </c>
      <c r="U605" s="5">
        <v>3</v>
      </c>
      <c r="V605" s="5" t="s">
        <v>45</v>
      </c>
    </row>
    <row r="606" spans="1:22" x14ac:dyDescent="0.3">
      <c r="A606" s="5" t="s">
        <v>1122</v>
      </c>
      <c r="B606" s="6">
        <v>46069</v>
      </c>
      <c r="C606" s="5" t="s">
        <v>337</v>
      </c>
      <c r="D606" s="5" t="s">
        <v>24</v>
      </c>
      <c r="E606" s="5" t="s">
        <v>49</v>
      </c>
      <c r="F606" s="5" t="s">
        <v>50</v>
      </c>
      <c r="G606" s="5" t="s">
        <v>51</v>
      </c>
      <c r="H606" s="5" t="s">
        <v>152</v>
      </c>
      <c r="I606" s="5" t="s">
        <v>153</v>
      </c>
      <c r="J606" s="5" t="s">
        <v>54</v>
      </c>
      <c r="K606" s="5" t="s">
        <v>97</v>
      </c>
      <c r="L606" s="5">
        <v>1</v>
      </c>
      <c r="M606" s="5">
        <v>40696</v>
      </c>
      <c r="N606" s="5">
        <v>20</v>
      </c>
      <c r="O606" s="5">
        <v>32556.799999999999</v>
      </c>
      <c r="P606" s="5">
        <v>27929.3</v>
      </c>
      <c r="Q606" s="5">
        <v>4627.5</v>
      </c>
      <c r="R606" s="5" t="s">
        <v>32</v>
      </c>
      <c r="S606" s="5" t="s">
        <v>82</v>
      </c>
      <c r="T606" s="5" t="s">
        <v>34</v>
      </c>
      <c r="U606" s="5">
        <v>1</v>
      </c>
      <c r="V606" s="5" t="s">
        <v>45</v>
      </c>
    </row>
    <row r="607" spans="1:22" x14ac:dyDescent="0.3">
      <c r="A607" s="5" t="s">
        <v>1123</v>
      </c>
      <c r="B607" s="6">
        <v>46105</v>
      </c>
      <c r="C607" s="5" t="s">
        <v>492</v>
      </c>
      <c r="D607" s="5" t="s">
        <v>76</v>
      </c>
      <c r="E607" s="5" t="s">
        <v>49</v>
      </c>
      <c r="F607" s="5" t="s">
        <v>50</v>
      </c>
      <c r="G607" s="5" t="s">
        <v>51</v>
      </c>
      <c r="H607" s="5" t="s">
        <v>566</v>
      </c>
      <c r="I607" s="5" t="s">
        <v>567</v>
      </c>
      <c r="J607" s="5" t="s">
        <v>54</v>
      </c>
      <c r="K607" s="5" t="s">
        <v>55</v>
      </c>
      <c r="L607" s="5">
        <v>4</v>
      </c>
      <c r="M607" s="5">
        <v>47984</v>
      </c>
      <c r="N607" s="5">
        <v>15</v>
      </c>
      <c r="O607" s="5">
        <v>163145.60000000001</v>
      </c>
      <c r="P607" s="5">
        <v>132666.22</v>
      </c>
      <c r="Q607" s="5">
        <v>30479.38</v>
      </c>
      <c r="R607" s="5" t="s">
        <v>32</v>
      </c>
      <c r="S607" s="5" t="s">
        <v>82</v>
      </c>
      <c r="T607" s="5" t="s">
        <v>34</v>
      </c>
      <c r="U607" s="5">
        <v>2</v>
      </c>
      <c r="V607" s="5" t="s">
        <v>35</v>
      </c>
    </row>
    <row r="608" spans="1:22" x14ac:dyDescent="0.3">
      <c r="A608" s="5" t="s">
        <v>1124</v>
      </c>
      <c r="B608" s="6">
        <v>46169</v>
      </c>
      <c r="C608" s="5" t="s">
        <v>1066</v>
      </c>
      <c r="D608" s="5" t="s">
        <v>38</v>
      </c>
      <c r="E608" s="5" t="s">
        <v>59</v>
      </c>
      <c r="F608" s="5" t="s">
        <v>60</v>
      </c>
      <c r="G608" s="5" t="s">
        <v>61</v>
      </c>
      <c r="H608" s="5" t="s">
        <v>172</v>
      </c>
      <c r="I608" s="5" t="s">
        <v>173</v>
      </c>
      <c r="J608" s="5" t="s">
        <v>54</v>
      </c>
      <c r="K608" s="5" t="s">
        <v>97</v>
      </c>
      <c r="L608" s="5">
        <v>5</v>
      </c>
      <c r="M608" s="5">
        <v>79898</v>
      </c>
      <c r="N608" s="5">
        <v>5</v>
      </c>
      <c r="O608" s="5">
        <v>379515.5</v>
      </c>
      <c r="P608" s="5">
        <v>280415.49</v>
      </c>
      <c r="Q608" s="5">
        <v>99100.01</v>
      </c>
      <c r="R608" s="5" t="s">
        <v>32</v>
      </c>
      <c r="S608" s="5" t="s">
        <v>82</v>
      </c>
      <c r="T608" s="5" t="s">
        <v>65</v>
      </c>
      <c r="U608" s="5">
        <v>2</v>
      </c>
      <c r="V608" s="5" t="s">
        <v>35</v>
      </c>
    </row>
    <row r="609" spans="1:22" x14ac:dyDescent="0.3">
      <c r="A609" s="5" t="s">
        <v>1125</v>
      </c>
      <c r="B609" s="6">
        <v>46185</v>
      </c>
      <c r="C609" s="5" t="s">
        <v>260</v>
      </c>
      <c r="D609" s="5" t="s">
        <v>58</v>
      </c>
      <c r="E609" s="5" t="s">
        <v>39</v>
      </c>
      <c r="F609" s="5" t="s">
        <v>40</v>
      </c>
      <c r="G609" s="5" t="s">
        <v>41</v>
      </c>
      <c r="H609" s="5" t="s">
        <v>557</v>
      </c>
      <c r="I609" s="5" t="s">
        <v>558</v>
      </c>
      <c r="J609" s="5" t="s">
        <v>54</v>
      </c>
      <c r="K609" s="5" t="s">
        <v>97</v>
      </c>
      <c r="L609" s="5">
        <v>5</v>
      </c>
      <c r="M609" s="5">
        <v>47877</v>
      </c>
      <c r="N609" s="5">
        <v>5</v>
      </c>
      <c r="O609" s="5">
        <v>227415.75</v>
      </c>
      <c r="P609" s="5">
        <v>161751.65</v>
      </c>
      <c r="Q609" s="5">
        <v>65664.100000000006</v>
      </c>
      <c r="R609" s="5" t="s">
        <v>32</v>
      </c>
      <c r="S609" s="5" t="s">
        <v>82</v>
      </c>
      <c r="T609" s="5" t="s">
        <v>73</v>
      </c>
      <c r="U609" s="5">
        <v>3</v>
      </c>
      <c r="V609" s="5" t="s">
        <v>35</v>
      </c>
    </row>
    <row r="610" spans="1:22" x14ac:dyDescent="0.3">
      <c r="A610" s="5" t="s">
        <v>1126</v>
      </c>
      <c r="B610" s="6">
        <v>46037</v>
      </c>
      <c r="C610" s="5" t="s">
        <v>1089</v>
      </c>
      <c r="D610" s="5" t="s">
        <v>58</v>
      </c>
      <c r="E610" s="5" t="s">
        <v>77</v>
      </c>
      <c r="F610" s="5" t="s">
        <v>78</v>
      </c>
      <c r="G610" s="5" t="s">
        <v>41</v>
      </c>
      <c r="H610" s="5" t="s">
        <v>447</v>
      </c>
      <c r="I610" s="5" t="s">
        <v>448</v>
      </c>
      <c r="J610" s="5" t="s">
        <v>71</v>
      </c>
      <c r="K610" s="5" t="s">
        <v>72</v>
      </c>
      <c r="L610" s="5">
        <v>4</v>
      </c>
      <c r="M610" s="5">
        <v>23578</v>
      </c>
      <c r="N610" s="5">
        <v>20</v>
      </c>
      <c r="O610" s="5">
        <v>75449.600000000006</v>
      </c>
      <c r="P610" s="5">
        <v>59018.07</v>
      </c>
      <c r="Q610" s="5">
        <v>16431.53</v>
      </c>
      <c r="R610" s="5" t="s">
        <v>64</v>
      </c>
      <c r="S610" s="5" t="s">
        <v>82</v>
      </c>
      <c r="T610" s="5" t="s">
        <v>65</v>
      </c>
      <c r="U610" s="5">
        <v>5</v>
      </c>
      <c r="V610" s="5" t="s">
        <v>35</v>
      </c>
    </row>
    <row r="611" spans="1:22" x14ac:dyDescent="0.3">
      <c r="A611" s="5" t="s">
        <v>1127</v>
      </c>
      <c r="B611" s="6">
        <v>46046</v>
      </c>
      <c r="C611" s="5" t="s">
        <v>494</v>
      </c>
      <c r="D611" s="5" t="s">
        <v>58</v>
      </c>
      <c r="E611" s="5" t="s">
        <v>59</v>
      </c>
      <c r="F611" s="5" t="s">
        <v>60</v>
      </c>
      <c r="G611" s="5" t="s">
        <v>61</v>
      </c>
      <c r="H611" s="5" t="s">
        <v>234</v>
      </c>
      <c r="I611" s="5" t="s">
        <v>235</v>
      </c>
      <c r="J611" s="5" t="s">
        <v>102</v>
      </c>
      <c r="K611" s="5" t="s">
        <v>103</v>
      </c>
      <c r="L611" s="5">
        <v>1</v>
      </c>
      <c r="M611" s="5">
        <v>79494</v>
      </c>
      <c r="N611" s="5">
        <v>0</v>
      </c>
      <c r="O611" s="5">
        <v>79494</v>
      </c>
      <c r="P611" s="5">
        <v>49593.21</v>
      </c>
      <c r="Q611" s="5">
        <v>29900.79</v>
      </c>
      <c r="R611" s="5" t="s">
        <v>64</v>
      </c>
      <c r="S611" s="5" t="s">
        <v>82</v>
      </c>
      <c r="T611" s="5" t="s">
        <v>73</v>
      </c>
      <c r="U611" s="5">
        <v>2</v>
      </c>
      <c r="V611" s="5" t="s">
        <v>45</v>
      </c>
    </row>
    <row r="612" spans="1:22" x14ac:dyDescent="0.3">
      <c r="A612" s="5" t="s">
        <v>1128</v>
      </c>
      <c r="B612" s="6">
        <v>46074</v>
      </c>
      <c r="C612" s="5" t="s">
        <v>751</v>
      </c>
      <c r="D612" s="5" t="s">
        <v>48</v>
      </c>
      <c r="E612" s="5" t="s">
        <v>49</v>
      </c>
      <c r="F612" s="5" t="s">
        <v>50</v>
      </c>
      <c r="G612" s="5" t="s">
        <v>51</v>
      </c>
      <c r="H612" s="5" t="s">
        <v>371</v>
      </c>
      <c r="I612" s="5" t="s">
        <v>372</v>
      </c>
      <c r="J612" s="5" t="s">
        <v>71</v>
      </c>
      <c r="K612" s="5" t="s">
        <v>72</v>
      </c>
      <c r="L612" s="5">
        <v>3</v>
      </c>
      <c r="M612" s="5">
        <v>65011</v>
      </c>
      <c r="N612" s="5">
        <v>20</v>
      </c>
      <c r="O612" s="5">
        <v>156026.4</v>
      </c>
      <c r="P612" s="5">
        <v>125688.73</v>
      </c>
      <c r="Q612" s="5">
        <v>30337.67</v>
      </c>
      <c r="R612" s="5" t="s">
        <v>44</v>
      </c>
      <c r="S612" s="5" t="s">
        <v>33</v>
      </c>
      <c r="T612" s="5" t="s">
        <v>65</v>
      </c>
      <c r="U612" s="5">
        <v>4</v>
      </c>
      <c r="V612" s="5" t="s">
        <v>35</v>
      </c>
    </row>
    <row r="613" spans="1:22" x14ac:dyDescent="0.3">
      <c r="A613" s="5" t="s">
        <v>1129</v>
      </c>
      <c r="B613" s="6">
        <v>46138</v>
      </c>
      <c r="C613" s="5" t="s">
        <v>144</v>
      </c>
      <c r="D613" s="5" t="s">
        <v>48</v>
      </c>
      <c r="E613" s="5" t="s">
        <v>59</v>
      </c>
      <c r="F613" s="5" t="s">
        <v>60</v>
      </c>
      <c r="G613" s="5" t="s">
        <v>61</v>
      </c>
      <c r="H613" s="5" t="s">
        <v>197</v>
      </c>
      <c r="I613" s="5" t="s">
        <v>198</v>
      </c>
      <c r="J613" s="5" t="s">
        <v>30</v>
      </c>
      <c r="K613" s="5" t="s">
        <v>31</v>
      </c>
      <c r="L613" s="5">
        <v>5</v>
      </c>
      <c r="M613" s="5">
        <v>23291</v>
      </c>
      <c r="N613" s="5">
        <v>20</v>
      </c>
      <c r="O613" s="5">
        <v>93164</v>
      </c>
      <c r="P613" s="5">
        <v>84073.49</v>
      </c>
      <c r="Q613" s="5">
        <v>9090.51</v>
      </c>
      <c r="R613" s="5" t="s">
        <v>32</v>
      </c>
      <c r="S613" s="5" t="s">
        <v>82</v>
      </c>
      <c r="T613" s="5" t="s">
        <v>34</v>
      </c>
      <c r="U613" s="5">
        <v>3</v>
      </c>
      <c r="V613" s="5" t="s">
        <v>45</v>
      </c>
    </row>
    <row r="614" spans="1:22" x14ac:dyDescent="0.3">
      <c r="A614" s="5" t="s">
        <v>1130</v>
      </c>
      <c r="B614" s="6">
        <v>46063</v>
      </c>
      <c r="C614" s="5" t="s">
        <v>304</v>
      </c>
      <c r="D614" s="5" t="s">
        <v>58</v>
      </c>
      <c r="E614" s="5" t="s">
        <v>77</v>
      </c>
      <c r="F614" s="5" t="s">
        <v>78</v>
      </c>
      <c r="G614" s="5" t="s">
        <v>41</v>
      </c>
      <c r="H614" s="5" t="s">
        <v>118</v>
      </c>
      <c r="I614" s="5" t="s">
        <v>119</v>
      </c>
      <c r="J614" s="5" t="s">
        <v>54</v>
      </c>
      <c r="K614" s="5" t="s">
        <v>97</v>
      </c>
      <c r="L614" s="5">
        <v>1</v>
      </c>
      <c r="M614" s="5">
        <v>27465</v>
      </c>
      <c r="N614" s="5">
        <v>20</v>
      </c>
      <c r="O614" s="5">
        <v>21972</v>
      </c>
      <c r="P614" s="5">
        <v>23297.09</v>
      </c>
      <c r="Q614" s="5">
        <v>-1325.09</v>
      </c>
      <c r="R614" s="5" t="s">
        <v>44</v>
      </c>
      <c r="S614" s="5" t="s">
        <v>33</v>
      </c>
      <c r="T614" s="5" t="s">
        <v>65</v>
      </c>
      <c r="U614" s="5">
        <v>1</v>
      </c>
      <c r="V614" s="5" t="s">
        <v>35</v>
      </c>
    </row>
    <row r="615" spans="1:22" x14ac:dyDescent="0.3">
      <c r="A615" s="5" t="s">
        <v>1131</v>
      </c>
      <c r="B615" s="6">
        <v>46148</v>
      </c>
      <c r="C615" s="5" t="s">
        <v>144</v>
      </c>
      <c r="D615" s="5" t="s">
        <v>38</v>
      </c>
      <c r="E615" s="5" t="s">
        <v>39</v>
      </c>
      <c r="F615" s="5" t="s">
        <v>40</v>
      </c>
      <c r="G615" s="5" t="s">
        <v>41</v>
      </c>
      <c r="H615" s="5" t="s">
        <v>574</v>
      </c>
      <c r="I615" s="5" t="s">
        <v>575</v>
      </c>
      <c r="J615" s="5" t="s">
        <v>30</v>
      </c>
      <c r="K615" s="5" t="s">
        <v>31</v>
      </c>
      <c r="L615" s="5">
        <v>5</v>
      </c>
      <c r="M615" s="5">
        <v>50776</v>
      </c>
      <c r="N615" s="5">
        <v>15</v>
      </c>
      <c r="O615" s="5">
        <v>215798</v>
      </c>
      <c r="P615" s="5">
        <v>140460.46</v>
      </c>
      <c r="Q615" s="5">
        <v>75337.539999999994</v>
      </c>
      <c r="R615" s="5" t="s">
        <v>44</v>
      </c>
      <c r="S615" s="5" t="s">
        <v>33</v>
      </c>
      <c r="T615" s="5" t="s">
        <v>65</v>
      </c>
      <c r="U615" s="5">
        <v>2</v>
      </c>
      <c r="V615" s="5" t="s">
        <v>45</v>
      </c>
    </row>
    <row r="616" spans="1:22" x14ac:dyDescent="0.3">
      <c r="A616" s="5" t="s">
        <v>1132</v>
      </c>
      <c r="B616" s="6">
        <v>46127</v>
      </c>
      <c r="C616" s="5" t="s">
        <v>877</v>
      </c>
      <c r="D616" s="5" t="s">
        <v>24</v>
      </c>
      <c r="E616" s="5" t="s">
        <v>39</v>
      </c>
      <c r="F616" s="5" t="s">
        <v>40</v>
      </c>
      <c r="G616" s="5" t="s">
        <v>41</v>
      </c>
      <c r="H616" s="5" t="s">
        <v>717</v>
      </c>
      <c r="I616" s="5" t="s">
        <v>718</v>
      </c>
      <c r="J616" s="5" t="s">
        <v>102</v>
      </c>
      <c r="K616" s="5" t="s">
        <v>103</v>
      </c>
      <c r="L616" s="5">
        <v>2</v>
      </c>
      <c r="M616" s="5">
        <v>29886</v>
      </c>
      <c r="N616" s="5">
        <v>15</v>
      </c>
      <c r="O616" s="5">
        <v>50806.2</v>
      </c>
      <c r="P616" s="5">
        <v>41981.18</v>
      </c>
      <c r="Q616" s="5">
        <v>8825.02</v>
      </c>
      <c r="R616" s="5" t="s">
        <v>64</v>
      </c>
      <c r="S616" s="5" t="s">
        <v>82</v>
      </c>
      <c r="T616" s="5" t="s">
        <v>65</v>
      </c>
      <c r="U616" s="5">
        <v>5</v>
      </c>
      <c r="V616" s="5" t="s">
        <v>35</v>
      </c>
    </row>
    <row r="617" spans="1:22" x14ac:dyDescent="0.3">
      <c r="A617" s="5" t="s">
        <v>1133</v>
      </c>
      <c r="B617" s="6">
        <v>46158</v>
      </c>
      <c r="C617" s="5" t="s">
        <v>330</v>
      </c>
      <c r="D617" s="5" t="s">
        <v>38</v>
      </c>
      <c r="E617" s="5" t="s">
        <v>77</v>
      </c>
      <c r="F617" s="5" t="s">
        <v>78</v>
      </c>
      <c r="G617" s="5" t="s">
        <v>41</v>
      </c>
      <c r="H617" s="5" t="s">
        <v>106</v>
      </c>
      <c r="I617" s="5" t="s">
        <v>107</v>
      </c>
      <c r="J617" s="5" t="s">
        <v>30</v>
      </c>
      <c r="K617" s="5" t="s">
        <v>31</v>
      </c>
      <c r="L617" s="5">
        <v>3</v>
      </c>
      <c r="M617" s="5">
        <v>43167</v>
      </c>
      <c r="N617" s="5">
        <v>0</v>
      </c>
      <c r="O617" s="5">
        <v>129501</v>
      </c>
      <c r="P617" s="5">
        <v>74419.25</v>
      </c>
      <c r="Q617" s="5">
        <v>55081.75</v>
      </c>
      <c r="R617" s="5" t="s">
        <v>64</v>
      </c>
      <c r="S617" s="5" t="s">
        <v>33</v>
      </c>
      <c r="T617" s="5" t="s">
        <v>73</v>
      </c>
      <c r="U617" s="5">
        <v>1</v>
      </c>
      <c r="V617" s="5" t="s">
        <v>35</v>
      </c>
    </row>
    <row r="618" spans="1:22" x14ac:dyDescent="0.3">
      <c r="A618" s="5" t="s">
        <v>1134</v>
      </c>
      <c r="B618" s="6">
        <v>46028</v>
      </c>
      <c r="C618" s="5" t="s">
        <v>423</v>
      </c>
      <c r="D618" s="5" t="s">
        <v>151</v>
      </c>
      <c r="E618" s="5" t="s">
        <v>39</v>
      </c>
      <c r="F618" s="5" t="s">
        <v>40</v>
      </c>
      <c r="G618" s="5" t="s">
        <v>41</v>
      </c>
      <c r="H618" s="5" t="s">
        <v>62</v>
      </c>
      <c r="I618" s="5" t="s">
        <v>63</v>
      </c>
      <c r="J618" s="5" t="s">
        <v>54</v>
      </c>
      <c r="K618" s="5" t="s">
        <v>55</v>
      </c>
      <c r="L618" s="5">
        <v>3</v>
      </c>
      <c r="M618" s="5">
        <v>60497</v>
      </c>
      <c r="N618" s="5">
        <v>20</v>
      </c>
      <c r="O618" s="5">
        <v>145192.79999999999</v>
      </c>
      <c r="P618" s="5">
        <v>136033.72</v>
      </c>
      <c r="Q618" s="5">
        <v>9159.08</v>
      </c>
      <c r="R618" s="5" t="s">
        <v>32</v>
      </c>
      <c r="S618" s="5" t="s">
        <v>82</v>
      </c>
      <c r="T618" s="5" t="s">
        <v>65</v>
      </c>
      <c r="U618" s="5">
        <v>3</v>
      </c>
      <c r="V618" s="5" t="s">
        <v>35</v>
      </c>
    </row>
    <row r="619" spans="1:22" x14ac:dyDescent="0.3">
      <c r="A619" s="5" t="s">
        <v>1135</v>
      </c>
      <c r="B619" s="6">
        <v>46094</v>
      </c>
      <c r="C619" s="5" t="s">
        <v>138</v>
      </c>
      <c r="D619" s="5" t="s">
        <v>58</v>
      </c>
      <c r="E619" s="5" t="s">
        <v>59</v>
      </c>
      <c r="F619" s="5" t="s">
        <v>60</v>
      </c>
      <c r="G619" s="5" t="s">
        <v>61</v>
      </c>
      <c r="H619" s="5" t="s">
        <v>277</v>
      </c>
      <c r="I619" s="5" t="s">
        <v>278</v>
      </c>
      <c r="J619" s="5" t="s">
        <v>71</v>
      </c>
      <c r="K619" s="5" t="s">
        <v>81</v>
      </c>
      <c r="L619" s="5">
        <v>4</v>
      </c>
      <c r="M619" s="5">
        <v>51383</v>
      </c>
      <c r="N619" s="5">
        <v>15</v>
      </c>
      <c r="O619" s="5">
        <v>174702.2</v>
      </c>
      <c r="P619" s="5">
        <v>150009.32</v>
      </c>
      <c r="Q619" s="5">
        <v>24692.880000000001</v>
      </c>
      <c r="R619" s="5" t="s">
        <v>32</v>
      </c>
      <c r="S619" s="5" t="s">
        <v>33</v>
      </c>
      <c r="T619" s="5" t="s">
        <v>73</v>
      </c>
      <c r="U619" s="5">
        <v>4</v>
      </c>
      <c r="V619" s="5" t="s">
        <v>45</v>
      </c>
    </row>
    <row r="620" spans="1:22" x14ac:dyDescent="0.3">
      <c r="A620" s="5" t="s">
        <v>1136</v>
      </c>
      <c r="B620" s="6">
        <v>46051</v>
      </c>
      <c r="C620" s="5" t="s">
        <v>723</v>
      </c>
      <c r="D620" s="5" t="s">
        <v>151</v>
      </c>
      <c r="E620" s="5" t="s">
        <v>25</v>
      </c>
      <c r="F620" s="5" t="s">
        <v>26</v>
      </c>
      <c r="G620" s="5" t="s">
        <v>27</v>
      </c>
      <c r="H620" s="5" t="s">
        <v>415</v>
      </c>
      <c r="I620" s="5" t="s">
        <v>416</v>
      </c>
      <c r="J620" s="5" t="s">
        <v>30</v>
      </c>
      <c r="K620" s="5" t="s">
        <v>31</v>
      </c>
      <c r="L620" s="5">
        <v>3</v>
      </c>
      <c r="M620" s="5">
        <v>4587</v>
      </c>
      <c r="N620" s="5">
        <v>15</v>
      </c>
      <c r="O620" s="5">
        <v>11696.85</v>
      </c>
      <c r="P620" s="5">
        <v>10389.39</v>
      </c>
      <c r="Q620" s="5">
        <v>1307.46</v>
      </c>
      <c r="R620" s="5" t="s">
        <v>32</v>
      </c>
      <c r="S620" s="5" t="s">
        <v>82</v>
      </c>
      <c r="T620" s="5" t="s">
        <v>34</v>
      </c>
      <c r="U620" s="5">
        <v>4</v>
      </c>
      <c r="V620" s="5" t="s">
        <v>45</v>
      </c>
    </row>
    <row r="621" spans="1:22" x14ac:dyDescent="0.3">
      <c r="A621" s="5" t="s">
        <v>1137</v>
      </c>
      <c r="B621" s="6">
        <v>46197</v>
      </c>
      <c r="C621" s="5" t="s">
        <v>749</v>
      </c>
      <c r="D621" s="5" t="s">
        <v>110</v>
      </c>
      <c r="E621" s="5" t="s">
        <v>25</v>
      </c>
      <c r="F621" s="5" t="s">
        <v>26</v>
      </c>
      <c r="G621" s="5" t="s">
        <v>27</v>
      </c>
      <c r="H621" s="5" t="s">
        <v>206</v>
      </c>
      <c r="I621" s="5" t="s">
        <v>207</v>
      </c>
      <c r="J621" s="5" t="s">
        <v>30</v>
      </c>
      <c r="K621" s="5" t="s">
        <v>31</v>
      </c>
      <c r="L621" s="5">
        <v>1</v>
      </c>
      <c r="M621" s="5">
        <v>72106</v>
      </c>
      <c r="N621" s="5">
        <v>5</v>
      </c>
      <c r="O621" s="5">
        <v>68500.7</v>
      </c>
      <c r="P621" s="5">
        <v>52557.69</v>
      </c>
      <c r="Q621" s="5">
        <v>15943.01</v>
      </c>
      <c r="R621" s="5" t="s">
        <v>64</v>
      </c>
      <c r="S621" s="5" t="s">
        <v>33</v>
      </c>
      <c r="T621" s="5" t="s">
        <v>65</v>
      </c>
      <c r="U621" s="5">
        <v>2</v>
      </c>
      <c r="V621" s="5" t="s">
        <v>45</v>
      </c>
    </row>
    <row r="622" spans="1:22" x14ac:dyDescent="0.3">
      <c r="A622" s="5" t="s">
        <v>1138</v>
      </c>
      <c r="B622" s="6">
        <v>46151</v>
      </c>
      <c r="C622" s="5" t="s">
        <v>175</v>
      </c>
      <c r="D622" s="5" t="s">
        <v>89</v>
      </c>
      <c r="E622" s="5" t="s">
        <v>77</v>
      </c>
      <c r="F622" s="5" t="s">
        <v>78</v>
      </c>
      <c r="G622" s="5" t="s">
        <v>41</v>
      </c>
      <c r="H622" s="5" t="s">
        <v>299</v>
      </c>
      <c r="I622" s="5" t="s">
        <v>300</v>
      </c>
      <c r="J622" s="5" t="s">
        <v>71</v>
      </c>
      <c r="K622" s="5" t="s">
        <v>72</v>
      </c>
      <c r="L622" s="5">
        <v>3</v>
      </c>
      <c r="M622" s="5">
        <v>52078</v>
      </c>
      <c r="N622" s="5">
        <v>10</v>
      </c>
      <c r="O622" s="5">
        <v>140610.6</v>
      </c>
      <c r="P622" s="5">
        <v>121928.47</v>
      </c>
      <c r="Q622" s="5">
        <v>18682.13</v>
      </c>
      <c r="R622" s="5" t="s">
        <v>44</v>
      </c>
      <c r="S622" s="5" t="s">
        <v>33</v>
      </c>
      <c r="T622" s="5" t="s">
        <v>34</v>
      </c>
      <c r="U622" s="5">
        <v>4</v>
      </c>
      <c r="V622" s="5" t="s">
        <v>45</v>
      </c>
    </row>
    <row r="623" spans="1:22" x14ac:dyDescent="0.3">
      <c r="A623" s="5" t="s">
        <v>1139</v>
      </c>
      <c r="B623" s="6">
        <v>46078</v>
      </c>
      <c r="C623" s="5" t="s">
        <v>690</v>
      </c>
      <c r="D623" s="5" t="s">
        <v>58</v>
      </c>
      <c r="E623" s="5" t="s">
        <v>25</v>
      </c>
      <c r="F623" s="5" t="s">
        <v>26</v>
      </c>
      <c r="G623" s="5" t="s">
        <v>27</v>
      </c>
      <c r="H623" s="5" t="s">
        <v>557</v>
      </c>
      <c r="I623" s="5" t="s">
        <v>558</v>
      </c>
      <c r="J623" s="5" t="s">
        <v>54</v>
      </c>
      <c r="K623" s="5" t="s">
        <v>97</v>
      </c>
      <c r="L623" s="5">
        <v>3</v>
      </c>
      <c r="M623" s="5">
        <v>78250</v>
      </c>
      <c r="N623" s="5">
        <v>0</v>
      </c>
      <c r="O623" s="5">
        <v>234750</v>
      </c>
      <c r="P623" s="5">
        <v>135035.47</v>
      </c>
      <c r="Q623" s="5">
        <v>99714.53</v>
      </c>
      <c r="R623" s="5" t="s">
        <v>64</v>
      </c>
      <c r="S623" s="5" t="s">
        <v>82</v>
      </c>
      <c r="T623" s="5" t="s">
        <v>65</v>
      </c>
      <c r="U623" s="5">
        <v>4</v>
      </c>
      <c r="V623" s="5" t="s">
        <v>45</v>
      </c>
    </row>
    <row r="624" spans="1:22" x14ac:dyDescent="0.3">
      <c r="A624" s="5" t="s">
        <v>1140</v>
      </c>
      <c r="B624" s="6">
        <v>46148</v>
      </c>
      <c r="C624" s="5" t="s">
        <v>516</v>
      </c>
      <c r="D624" s="5" t="s">
        <v>58</v>
      </c>
      <c r="E624" s="5" t="s">
        <v>59</v>
      </c>
      <c r="F624" s="5" t="s">
        <v>60</v>
      </c>
      <c r="G624" s="5" t="s">
        <v>61</v>
      </c>
      <c r="H624" s="5" t="s">
        <v>69</v>
      </c>
      <c r="I624" s="5" t="s">
        <v>70</v>
      </c>
      <c r="J624" s="5" t="s">
        <v>71</v>
      </c>
      <c r="K624" s="5" t="s">
        <v>72</v>
      </c>
      <c r="L624" s="5">
        <v>5</v>
      </c>
      <c r="M624" s="5">
        <v>20490</v>
      </c>
      <c r="N624" s="5">
        <v>5</v>
      </c>
      <c r="O624" s="5">
        <v>97327.5</v>
      </c>
      <c r="P624" s="5">
        <v>79388.33</v>
      </c>
      <c r="Q624" s="5">
        <v>17939.169999999998</v>
      </c>
      <c r="R624" s="5" t="s">
        <v>64</v>
      </c>
      <c r="S624" s="5" t="s">
        <v>82</v>
      </c>
      <c r="T624" s="5" t="s">
        <v>34</v>
      </c>
      <c r="U624" s="5">
        <v>4</v>
      </c>
      <c r="V624" s="5" t="s">
        <v>35</v>
      </c>
    </row>
    <row r="625" spans="1:22" x14ac:dyDescent="0.3">
      <c r="A625" s="5" t="s">
        <v>1141</v>
      </c>
      <c r="B625" s="6">
        <v>46149</v>
      </c>
      <c r="C625" s="5" t="s">
        <v>1070</v>
      </c>
      <c r="D625" s="5" t="s">
        <v>110</v>
      </c>
      <c r="E625" s="5" t="s">
        <v>77</v>
      </c>
      <c r="F625" s="5" t="s">
        <v>78</v>
      </c>
      <c r="G625" s="5" t="s">
        <v>41</v>
      </c>
      <c r="H625" s="5" t="s">
        <v>526</v>
      </c>
      <c r="I625" s="5" t="s">
        <v>527</v>
      </c>
      <c r="J625" s="5" t="s">
        <v>71</v>
      </c>
      <c r="K625" s="5" t="s">
        <v>81</v>
      </c>
      <c r="L625" s="5">
        <v>4</v>
      </c>
      <c r="M625" s="5">
        <v>60259</v>
      </c>
      <c r="N625" s="5">
        <v>20</v>
      </c>
      <c r="O625" s="5">
        <v>192828.79999999999</v>
      </c>
      <c r="P625" s="5">
        <v>198030.83</v>
      </c>
      <c r="Q625" s="5">
        <v>-5202.03</v>
      </c>
      <c r="R625" s="5" t="s">
        <v>32</v>
      </c>
      <c r="S625" s="5" t="s">
        <v>82</v>
      </c>
      <c r="T625" s="5" t="s">
        <v>34</v>
      </c>
      <c r="U625" s="5">
        <v>1</v>
      </c>
      <c r="V625" s="5" t="s">
        <v>35</v>
      </c>
    </row>
    <row r="626" spans="1:22" x14ac:dyDescent="0.3">
      <c r="A626" s="5" t="s">
        <v>1142</v>
      </c>
      <c r="B626" s="6">
        <v>46031</v>
      </c>
      <c r="C626" s="5" t="s">
        <v>1143</v>
      </c>
      <c r="D626" s="5" t="s">
        <v>24</v>
      </c>
      <c r="E626" s="5" t="s">
        <v>59</v>
      </c>
      <c r="F626" s="5" t="s">
        <v>60</v>
      </c>
      <c r="G626" s="5" t="s">
        <v>61</v>
      </c>
      <c r="H626" s="5" t="s">
        <v>131</v>
      </c>
      <c r="I626" s="5" t="s">
        <v>132</v>
      </c>
      <c r="J626" s="5" t="s">
        <v>71</v>
      </c>
      <c r="K626" s="5" t="s">
        <v>81</v>
      </c>
      <c r="L626" s="5">
        <v>2</v>
      </c>
      <c r="M626" s="5">
        <v>33135</v>
      </c>
      <c r="N626" s="5">
        <v>0</v>
      </c>
      <c r="O626" s="5">
        <v>66270</v>
      </c>
      <c r="P626" s="5">
        <v>45436.7</v>
      </c>
      <c r="Q626" s="5">
        <v>20833.3</v>
      </c>
      <c r="R626" s="5" t="s">
        <v>64</v>
      </c>
      <c r="S626" s="5" t="s">
        <v>82</v>
      </c>
      <c r="T626" s="5" t="s">
        <v>34</v>
      </c>
      <c r="U626" s="5">
        <v>5</v>
      </c>
      <c r="V626" s="5" t="s">
        <v>45</v>
      </c>
    </row>
    <row r="627" spans="1:22" x14ac:dyDescent="0.3">
      <c r="A627" s="5" t="s">
        <v>1144</v>
      </c>
      <c r="B627" s="6">
        <v>46056</v>
      </c>
      <c r="C627" s="5" t="s">
        <v>292</v>
      </c>
      <c r="D627" s="5" t="s">
        <v>151</v>
      </c>
      <c r="E627" s="5" t="s">
        <v>59</v>
      </c>
      <c r="F627" s="5" t="s">
        <v>60</v>
      </c>
      <c r="G627" s="5" t="s">
        <v>61</v>
      </c>
      <c r="H627" s="5" t="s">
        <v>234</v>
      </c>
      <c r="I627" s="5" t="s">
        <v>235</v>
      </c>
      <c r="J627" s="5" t="s">
        <v>102</v>
      </c>
      <c r="K627" s="5" t="s">
        <v>103</v>
      </c>
      <c r="L627" s="5">
        <v>4</v>
      </c>
      <c r="M627" s="5">
        <v>52018</v>
      </c>
      <c r="N627" s="5">
        <v>20</v>
      </c>
      <c r="O627" s="5">
        <v>166457.60000000001</v>
      </c>
      <c r="P627" s="5">
        <v>127220.73</v>
      </c>
      <c r="Q627" s="5">
        <v>39236.870000000003</v>
      </c>
      <c r="R627" s="5" t="s">
        <v>64</v>
      </c>
      <c r="S627" s="5" t="s">
        <v>33</v>
      </c>
      <c r="T627" s="5" t="s">
        <v>73</v>
      </c>
      <c r="U627" s="5">
        <v>3</v>
      </c>
      <c r="V627" s="5" t="s">
        <v>35</v>
      </c>
    </row>
    <row r="628" spans="1:22" x14ac:dyDescent="0.3">
      <c r="A628" s="5" t="s">
        <v>1145</v>
      </c>
      <c r="B628" s="6">
        <v>46182</v>
      </c>
      <c r="C628" s="5" t="s">
        <v>464</v>
      </c>
      <c r="D628" s="5" t="s">
        <v>38</v>
      </c>
      <c r="E628" s="5" t="s">
        <v>25</v>
      </c>
      <c r="F628" s="5" t="s">
        <v>26</v>
      </c>
      <c r="G628" s="5" t="s">
        <v>27</v>
      </c>
      <c r="H628" s="5" t="s">
        <v>553</v>
      </c>
      <c r="I628" s="5" t="s">
        <v>554</v>
      </c>
      <c r="J628" s="5" t="s">
        <v>54</v>
      </c>
      <c r="K628" s="5" t="s">
        <v>55</v>
      </c>
      <c r="L628" s="5">
        <v>2</v>
      </c>
      <c r="M628" s="5">
        <v>26205</v>
      </c>
      <c r="N628" s="5">
        <v>5</v>
      </c>
      <c r="O628" s="5">
        <v>49789.5</v>
      </c>
      <c r="P628" s="5">
        <v>42648.87</v>
      </c>
      <c r="Q628" s="5">
        <v>7140.63</v>
      </c>
      <c r="R628" s="5" t="s">
        <v>64</v>
      </c>
      <c r="S628" s="5" t="s">
        <v>33</v>
      </c>
      <c r="T628" s="5" t="s">
        <v>34</v>
      </c>
      <c r="U628" s="5">
        <v>4</v>
      </c>
      <c r="V628" s="5" t="s">
        <v>45</v>
      </c>
    </row>
    <row r="629" spans="1:22" x14ac:dyDescent="0.3">
      <c r="A629" s="5" t="s">
        <v>1146</v>
      </c>
      <c r="B629" s="6">
        <v>46065</v>
      </c>
      <c r="C629" s="5" t="s">
        <v>545</v>
      </c>
      <c r="D629" s="5" t="s">
        <v>117</v>
      </c>
      <c r="E629" s="5" t="s">
        <v>59</v>
      </c>
      <c r="F629" s="5" t="s">
        <v>60</v>
      </c>
      <c r="G629" s="5" t="s">
        <v>61</v>
      </c>
      <c r="H629" s="5" t="s">
        <v>717</v>
      </c>
      <c r="I629" s="5" t="s">
        <v>718</v>
      </c>
      <c r="J629" s="5" t="s">
        <v>102</v>
      </c>
      <c r="K629" s="5" t="s">
        <v>103</v>
      </c>
      <c r="L629" s="5">
        <v>3</v>
      </c>
      <c r="M629" s="5">
        <v>68027</v>
      </c>
      <c r="N629" s="5">
        <v>15</v>
      </c>
      <c r="O629" s="5">
        <v>173468.85</v>
      </c>
      <c r="P629" s="5">
        <v>157984.4</v>
      </c>
      <c r="Q629" s="5">
        <v>15484.45</v>
      </c>
      <c r="R629" s="5" t="s">
        <v>44</v>
      </c>
      <c r="S629" s="5" t="s">
        <v>33</v>
      </c>
      <c r="T629" s="5" t="s">
        <v>65</v>
      </c>
      <c r="U629" s="5">
        <v>3</v>
      </c>
      <c r="V629" s="5" t="s">
        <v>35</v>
      </c>
    </row>
    <row r="630" spans="1:22" x14ac:dyDescent="0.3">
      <c r="A630" s="5" t="s">
        <v>1147</v>
      </c>
      <c r="B630" s="6">
        <v>46045</v>
      </c>
      <c r="C630" s="5" t="s">
        <v>187</v>
      </c>
      <c r="D630" s="5" t="s">
        <v>58</v>
      </c>
      <c r="E630" s="5" t="s">
        <v>126</v>
      </c>
      <c r="F630" s="5" t="s">
        <v>126</v>
      </c>
      <c r="G630" s="5" t="s">
        <v>51</v>
      </c>
      <c r="H630" s="5" t="s">
        <v>253</v>
      </c>
      <c r="I630" s="5" t="s">
        <v>254</v>
      </c>
      <c r="J630" s="5" t="s">
        <v>54</v>
      </c>
      <c r="K630" s="5" t="s">
        <v>55</v>
      </c>
      <c r="L630" s="5">
        <v>1</v>
      </c>
      <c r="M630" s="5">
        <v>12507</v>
      </c>
      <c r="N630" s="5">
        <v>20</v>
      </c>
      <c r="O630" s="5">
        <v>10005.6</v>
      </c>
      <c r="P630" s="5">
        <v>10559</v>
      </c>
      <c r="Q630" s="5">
        <v>-553.4</v>
      </c>
      <c r="R630" s="5" t="s">
        <v>64</v>
      </c>
      <c r="S630" s="5" t="s">
        <v>82</v>
      </c>
      <c r="T630" s="5" t="s">
        <v>65</v>
      </c>
      <c r="U630" s="5">
        <v>2</v>
      </c>
      <c r="V630" s="5" t="s">
        <v>35</v>
      </c>
    </row>
    <row r="631" spans="1:22" x14ac:dyDescent="0.3">
      <c r="A631" s="5" t="s">
        <v>1148</v>
      </c>
      <c r="B631" s="6">
        <v>46162</v>
      </c>
      <c r="C631" s="5" t="s">
        <v>661</v>
      </c>
      <c r="D631" s="5" t="s">
        <v>117</v>
      </c>
      <c r="E631" s="5" t="s">
        <v>49</v>
      </c>
      <c r="F631" s="5" t="s">
        <v>50</v>
      </c>
      <c r="G631" s="5" t="s">
        <v>51</v>
      </c>
      <c r="H631" s="5" t="s">
        <v>261</v>
      </c>
      <c r="I631" s="5" t="s">
        <v>262</v>
      </c>
      <c r="J631" s="5" t="s">
        <v>102</v>
      </c>
      <c r="K631" s="5" t="s">
        <v>103</v>
      </c>
      <c r="L631" s="5">
        <v>5</v>
      </c>
      <c r="M631" s="5">
        <v>32813</v>
      </c>
      <c r="N631" s="5">
        <v>5</v>
      </c>
      <c r="O631" s="5">
        <v>155861.75</v>
      </c>
      <c r="P631" s="5">
        <v>105986.11</v>
      </c>
      <c r="Q631" s="5">
        <v>49875.64</v>
      </c>
      <c r="R631" s="5" t="s">
        <v>64</v>
      </c>
      <c r="S631" s="5" t="s">
        <v>33</v>
      </c>
      <c r="T631" s="5" t="s">
        <v>73</v>
      </c>
      <c r="U631" s="5">
        <v>3</v>
      </c>
      <c r="V631" s="5" t="s">
        <v>45</v>
      </c>
    </row>
    <row r="632" spans="1:22" x14ac:dyDescent="0.3">
      <c r="A632" s="5" t="s">
        <v>1149</v>
      </c>
      <c r="B632" s="6">
        <v>46102</v>
      </c>
      <c r="C632" s="5" t="s">
        <v>237</v>
      </c>
      <c r="D632" s="5" t="s">
        <v>48</v>
      </c>
      <c r="E632" s="5" t="s">
        <v>59</v>
      </c>
      <c r="F632" s="5" t="s">
        <v>60</v>
      </c>
      <c r="G632" s="5" t="s">
        <v>61</v>
      </c>
      <c r="H632" s="5" t="s">
        <v>762</v>
      </c>
      <c r="I632" s="5" t="s">
        <v>763</v>
      </c>
      <c r="J632" s="5" t="s">
        <v>54</v>
      </c>
      <c r="K632" s="5" t="s">
        <v>55</v>
      </c>
      <c r="L632" s="5">
        <v>5</v>
      </c>
      <c r="M632" s="5">
        <v>6805</v>
      </c>
      <c r="N632" s="5">
        <v>15</v>
      </c>
      <c r="O632" s="5">
        <v>28921.25</v>
      </c>
      <c r="P632" s="5">
        <v>26005.69</v>
      </c>
      <c r="Q632" s="5">
        <v>2915.56</v>
      </c>
      <c r="R632" s="5" t="s">
        <v>64</v>
      </c>
      <c r="S632" s="5" t="s">
        <v>82</v>
      </c>
      <c r="T632" s="5" t="s">
        <v>65</v>
      </c>
      <c r="U632" s="5">
        <v>5</v>
      </c>
      <c r="V632" s="5" t="s">
        <v>45</v>
      </c>
    </row>
    <row r="633" spans="1:22" x14ac:dyDescent="0.3">
      <c r="A633" s="5" t="s">
        <v>1150</v>
      </c>
      <c r="B633" s="6">
        <v>46170</v>
      </c>
      <c r="C633" s="5" t="s">
        <v>1151</v>
      </c>
      <c r="D633" s="5" t="s">
        <v>68</v>
      </c>
      <c r="E633" s="5" t="s">
        <v>94</v>
      </c>
      <c r="F633" s="5" t="s">
        <v>26</v>
      </c>
      <c r="G633" s="5" t="s">
        <v>27</v>
      </c>
      <c r="H633" s="5" t="s">
        <v>85</v>
      </c>
      <c r="I633" s="5" t="s">
        <v>86</v>
      </c>
      <c r="J633" s="5" t="s">
        <v>71</v>
      </c>
      <c r="K633" s="5" t="s">
        <v>72</v>
      </c>
      <c r="L633" s="5">
        <v>2</v>
      </c>
      <c r="M633" s="5">
        <v>72791</v>
      </c>
      <c r="N633" s="5">
        <v>15</v>
      </c>
      <c r="O633" s="5">
        <v>123744.7</v>
      </c>
      <c r="P633" s="5">
        <v>96658.22</v>
      </c>
      <c r="Q633" s="5">
        <v>27086.48</v>
      </c>
      <c r="R633" s="5" t="s">
        <v>32</v>
      </c>
      <c r="S633" s="5" t="s">
        <v>33</v>
      </c>
      <c r="T633" s="5" t="s">
        <v>34</v>
      </c>
      <c r="U633" s="5">
        <v>1</v>
      </c>
      <c r="V633" s="5" t="s">
        <v>35</v>
      </c>
    </row>
    <row r="634" spans="1:22" x14ac:dyDescent="0.3">
      <c r="A634" s="5" t="s">
        <v>1152</v>
      </c>
      <c r="B634" s="6">
        <v>46191</v>
      </c>
      <c r="C634" s="5" t="s">
        <v>302</v>
      </c>
      <c r="D634" s="5" t="s">
        <v>48</v>
      </c>
      <c r="E634" s="5" t="s">
        <v>126</v>
      </c>
      <c r="F634" s="5" t="s">
        <v>126</v>
      </c>
      <c r="G634" s="5" t="s">
        <v>51</v>
      </c>
      <c r="H634" s="5" t="s">
        <v>391</v>
      </c>
      <c r="I634" s="5" t="s">
        <v>392</v>
      </c>
      <c r="J634" s="5" t="s">
        <v>54</v>
      </c>
      <c r="K634" s="5" t="s">
        <v>55</v>
      </c>
      <c r="L634" s="5">
        <v>4</v>
      </c>
      <c r="M634" s="5">
        <v>1751</v>
      </c>
      <c r="N634" s="5">
        <v>15</v>
      </c>
      <c r="O634" s="5">
        <v>5953.4</v>
      </c>
      <c r="P634" s="5">
        <v>4087.38</v>
      </c>
      <c r="Q634" s="5">
        <v>1866.02</v>
      </c>
      <c r="R634" s="5" t="s">
        <v>64</v>
      </c>
      <c r="S634" s="5" t="s">
        <v>82</v>
      </c>
      <c r="T634" s="5" t="s">
        <v>65</v>
      </c>
      <c r="U634" s="5">
        <v>1</v>
      </c>
      <c r="V634" s="5" t="s">
        <v>45</v>
      </c>
    </row>
    <row r="635" spans="1:22" x14ac:dyDescent="0.3">
      <c r="A635" s="5" t="s">
        <v>1153</v>
      </c>
      <c r="B635" s="6">
        <v>46150</v>
      </c>
      <c r="C635" s="5" t="s">
        <v>768</v>
      </c>
      <c r="D635" s="5" t="s">
        <v>38</v>
      </c>
      <c r="E635" s="5" t="s">
        <v>39</v>
      </c>
      <c r="F635" s="5" t="s">
        <v>40</v>
      </c>
      <c r="G635" s="5" t="s">
        <v>41</v>
      </c>
      <c r="H635" s="5" t="s">
        <v>238</v>
      </c>
      <c r="I635" s="5" t="s">
        <v>239</v>
      </c>
      <c r="J635" s="5" t="s">
        <v>71</v>
      </c>
      <c r="K635" s="5" t="s">
        <v>81</v>
      </c>
      <c r="L635" s="5">
        <v>3</v>
      </c>
      <c r="M635" s="5">
        <v>25648</v>
      </c>
      <c r="N635" s="5">
        <v>15</v>
      </c>
      <c r="O635" s="5">
        <v>65402.400000000001</v>
      </c>
      <c r="P635" s="5">
        <v>54046.33</v>
      </c>
      <c r="Q635" s="5">
        <v>11356.07</v>
      </c>
      <c r="R635" s="5" t="s">
        <v>64</v>
      </c>
      <c r="S635" s="5" t="s">
        <v>82</v>
      </c>
      <c r="T635" s="5" t="s">
        <v>65</v>
      </c>
      <c r="U635" s="5">
        <v>1</v>
      </c>
      <c r="V635" s="5" t="s">
        <v>45</v>
      </c>
    </row>
    <row r="636" spans="1:22" x14ac:dyDescent="0.3">
      <c r="A636" s="5" t="s">
        <v>1154</v>
      </c>
      <c r="B636" s="6">
        <v>46083</v>
      </c>
      <c r="C636" s="5" t="s">
        <v>579</v>
      </c>
      <c r="D636" s="5" t="s">
        <v>68</v>
      </c>
      <c r="E636" s="5" t="s">
        <v>39</v>
      </c>
      <c r="F636" s="5" t="s">
        <v>40</v>
      </c>
      <c r="G636" s="5" t="s">
        <v>41</v>
      </c>
      <c r="H636" s="5" t="s">
        <v>52</v>
      </c>
      <c r="I636" s="5" t="s">
        <v>53</v>
      </c>
      <c r="J636" s="5" t="s">
        <v>54</v>
      </c>
      <c r="K636" s="5" t="s">
        <v>55</v>
      </c>
      <c r="L636" s="5">
        <v>3</v>
      </c>
      <c r="M636" s="5">
        <v>55524</v>
      </c>
      <c r="N636" s="5">
        <v>15</v>
      </c>
      <c r="O636" s="5">
        <v>141586.20000000001</v>
      </c>
      <c r="P636" s="5">
        <v>99215.39</v>
      </c>
      <c r="Q636" s="5">
        <v>42370.81</v>
      </c>
      <c r="R636" s="5" t="s">
        <v>32</v>
      </c>
      <c r="S636" s="5" t="s">
        <v>33</v>
      </c>
      <c r="T636" s="5" t="s">
        <v>34</v>
      </c>
      <c r="U636" s="5">
        <v>3</v>
      </c>
      <c r="V636" s="5" t="s">
        <v>35</v>
      </c>
    </row>
    <row r="637" spans="1:22" x14ac:dyDescent="0.3">
      <c r="A637" s="5" t="s">
        <v>1155</v>
      </c>
      <c r="B637" s="6">
        <v>46108</v>
      </c>
      <c r="C637" s="5" t="s">
        <v>1156</v>
      </c>
      <c r="D637" s="5" t="s">
        <v>48</v>
      </c>
      <c r="E637" s="5" t="s">
        <v>25</v>
      </c>
      <c r="F637" s="5" t="s">
        <v>26</v>
      </c>
      <c r="G637" s="5" t="s">
        <v>27</v>
      </c>
      <c r="H637" s="5" t="s">
        <v>391</v>
      </c>
      <c r="I637" s="5" t="s">
        <v>392</v>
      </c>
      <c r="J637" s="5" t="s">
        <v>54</v>
      </c>
      <c r="K637" s="5" t="s">
        <v>55</v>
      </c>
      <c r="L637" s="5">
        <v>3</v>
      </c>
      <c r="M637" s="5">
        <v>14353</v>
      </c>
      <c r="N637" s="5">
        <v>0</v>
      </c>
      <c r="O637" s="5">
        <v>43059</v>
      </c>
      <c r="P637" s="5">
        <v>27794.9</v>
      </c>
      <c r="Q637" s="5">
        <v>15264.1</v>
      </c>
      <c r="R637" s="5" t="s">
        <v>44</v>
      </c>
      <c r="S637" s="5" t="s">
        <v>82</v>
      </c>
      <c r="T637" s="5" t="s">
        <v>73</v>
      </c>
      <c r="U637" s="5">
        <v>4</v>
      </c>
      <c r="V637" s="5" t="s">
        <v>45</v>
      </c>
    </row>
    <row r="638" spans="1:22" x14ac:dyDescent="0.3">
      <c r="A638" s="5" t="s">
        <v>1157</v>
      </c>
      <c r="B638" s="6">
        <v>46177</v>
      </c>
      <c r="C638" s="5" t="s">
        <v>1158</v>
      </c>
      <c r="D638" s="5" t="s">
        <v>89</v>
      </c>
      <c r="E638" s="5" t="s">
        <v>77</v>
      </c>
      <c r="F638" s="5" t="s">
        <v>78</v>
      </c>
      <c r="G638" s="5" t="s">
        <v>41</v>
      </c>
      <c r="H638" s="5" t="s">
        <v>281</v>
      </c>
      <c r="I638" s="5" t="s">
        <v>282</v>
      </c>
      <c r="J638" s="5" t="s">
        <v>30</v>
      </c>
      <c r="K638" s="5" t="s">
        <v>31</v>
      </c>
      <c r="L638" s="5">
        <v>4</v>
      </c>
      <c r="M638" s="5">
        <v>15484</v>
      </c>
      <c r="N638" s="5">
        <v>15</v>
      </c>
      <c r="O638" s="5">
        <v>52645.599999999999</v>
      </c>
      <c r="P638" s="5">
        <v>51650.44</v>
      </c>
      <c r="Q638" s="5">
        <v>995.16</v>
      </c>
      <c r="R638" s="5" t="s">
        <v>44</v>
      </c>
      <c r="S638" s="5" t="s">
        <v>82</v>
      </c>
      <c r="T638" s="5" t="s">
        <v>73</v>
      </c>
      <c r="U638" s="5">
        <v>1</v>
      </c>
      <c r="V638" s="5" t="s">
        <v>35</v>
      </c>
    </row>
    <row r="639" spans="1:22" x14ac:dyDescent="0.3">
      <c r="A639" s="5" t="s">
        <v>1159</v>
      </c>
      <c r="B639" s="6">
        <v>46199</v>
      </c>
      <c r="C639" s="5" t="s">
        <v>573</v>
      </c>
      <c r="D639" s="5" t="s">
        <v>68</v>
      </c>
      <c r="E639" s="5" t="s">
        <v>59</v>
      </c>
      <c r="F639" s="5" t="s">
        <v>60</v>
      </c>
      <c r="G639" s="5" t="s">
        <v>61</v>
      </c>
      <c r="H639" s="5" t="s">
        <v>759</v>
      </c>
      <c r="I639" s="5" t="s">
        <v>760</v>
      </c>
      <c r="J639" s="5" t="s">
        <v>71</v>
      </c>
      <c r="K639" s="5" t="s">
        <v>72</v>
      </c>
      <c r="L639" s="5">
        <v>4</v>
      </c>
      <c r="M639" s="5">
        <v>67196</v>
      </c>
      <c r="N639" s="5">
        <v>20</v>
      </c>
      <c r="O639" s="5">
        <v>215027.20000000001</v>
      </c>
      <c r="P639" s="5">
        <v>180866.77</v>
      </c>
      <c r="Q639" s="5">
        <v>34160.43</v>
      </c>
      <c r="R639" s="5" t="s">
        <v>32</v>
      </c>
      <c r="S639" s="5" t="s">
        <v>82</v>
      </c>
      <c r="T639" s="5" t="s">
        <v>73</v>
      </c>
      <c r="U639" s="5">
        <v>4</v>
      </c>
      <c r="V639" s="5" t="s">
        <v>45</v>
      </c>
    </row>
    <row r="640" spans="1:22" x14ac:dyDescent="0.3">
      <c r="A640" s="5" t="s">
        <v>1160</v>
      </c>
      <c r="B640" s="6">
        <v>46122</v>
      </c>
      <c r="C640" s="5" t="s">
        <v>345</v>
      </c>
      <c r="D640" s="5" t="s">
        <v>68</v>
      </c>
      <c r="E640" s="5" t="s">
        <v>126</v>
      </c>
      <c r="F640" s="5" t="s">
        <v>126</v>
      </c>
      <c r="G640" s="5" t="s">
        <v>51</v>
      </c>
      <c r="H640" s="5" t="s">
        <v>241</v>
      </c>
      <c r="I640" s="5" t="s">
        <v>242</v>
      </c>
      <c r="J640" s="5" t="s">
        <v>54</v>
      </c>
      <c r="K640" s="5" t="s">
        <v>55</v>
      </c>
      <c r="L640" s="5">
        <v>3</v>
      </c>
      <c r="M640" s="5">
        <v>28682</v>
      </c>
      <c r="N640" s="5">
        <v>20</v>
      </c>
      <c r="O640" s="5">
        <v>68836.800000000003</v>
      </c>
      <c r="P640" s="5">
        <v>49857.16</v>
      </c>
      <c r="Q640" s="5">
        <v>18979.64</v>
      </c>
      <c r="R640" s="5" t="s">
        <v>32</v>
      </c>
      <c r="S640" s="5" t="s">
        <v>82</v>
      </c>
      <c r="T640" s="5" t="s">
        <v>73</v>
      </c>
      <c r="U640" s="5">
        <v>4</v>
      </c>
      <c r="V640" s="5" t="s">
        <v>45</v>
      </c>
    </row>
    <row r="641" spans="1:22" x14ac:dyDescent="0.3">
      <c r="A641" s="5" t="s">
        <v>1161</v>
      </c>
      <c r="B641" s="6">
        <v>46038</v>
      </c>
      <c r="C641" s="5" t="s">
        <v>738</v>
      </c>
      <c r="D641" s="5" t="s">
        <v>58</v>
      </c>
      <c r="E641" s="5" t="s">
        <v>126</v>
      </c>
      <c r="F641" s="5" t="s">
        <v>126</v>
      </c>
      <c r="G641" s="5" t="s">
        <v>51</v>
      </c>
      <c r="H641" s="5" t="s">
        <v>406</v>
      </c>
      <c r="I641" s="5" t="s">
        <v>407</v>
      </c>
      <c r="J641" s="5" t="s">
        <v>30</v>
      </c>
      <c r="K641" s="5" t="s">
        <v>31</v>
      </c>
      <c r="L641" s="5">
        <v>5</v>
      </c>
      <c r="M641" s="5">
        <v>5322</v>
      </c>
      <c r="N641" s="5">
        <v>15</v>
      </c>
      <c r="O641" s="5">
        <v>22618.5</v>
      </c>
      <c r="P641" s="5">
        <v>19323.36</v>
      </c>
      <c r="Q641" s="5">
        <v>3295.14</v>
      </c>
      <c r="R641" s="5" t="s">
        <v>64</v>
      </c>
      <c r="S641" s="5" t="s">
        <v>82</v>
      </c>
      <c r="T641" s="5" t="s">
        <v>73</v>
      </c>
      <c r="U641" s="5">
        <v>1</v>
      </c>
      <c r="V641" s="5" t="s">
        <v>45</v>
      </c>
    </row>
    <row r="642" spans="1:22" x14ac:dyDescent="0.3">
      <c r="A642" s="5" t="s">
        <v>1162</v>
      </c>
      <c r="B642" s="6">
        <v>46080</v>
      </c>
      <c r="C642" s="5" t="s">
        <v>150</v>
      </c>
      <c r="D642" s="5" t="s">
        <v>24</v>
      </c>
      <c r="E642" s="5" t="s">
        <v>94</v>
      </c>
      <c r="F642" s="5" t="s">
        <v>26</v>
      </c>
      <c r="G642" s="5" t="s">
        <v>27</v>
      </c>
      <c r="H642" s="5" t="s">
        <v>324</v>
      </c>
      <c r="I642" s="5" t="s">
        <v>325</v>
      </c>
      <c r="J642" s="5" t="s">
        <v>54</v>
      </c>
      <c r="K642" s="5" t="s">
        <v>55</v>
      </c>
      <c r="L642" s="5">
        <v>4</v>
      </c>
      <c r="M642" s="5">
        <v>27264</v>
      </c>
      <c r="N642" s="5">
        <v>0</v>
      </c>
      <c r="O642" s="5">
        <v>109056</v>
      </c>
      <c r="P642" s="5">
        <v>75264.89</v>
      </c>
      <c r="Q642" s="5">
        <v>33791.11</v>
      </c>
      <c r="R642" s="5" t="s">
        <v>64</v>
      </c>
      <c r="S642" s="5" t="s">
        <v>33</v>
      </c>
      <c r="T642" s="5" t="s">
        <v>65</v>
      </c>
      <c r="U642" s="5">
        <v>1</v>
      </c>
      <c r="V642" s="5" t="s">
        <v>35</v>
      </c>
    </row>
    <row r="643" spans="1:22" x14ac:dyDescent="0.3">
      <c r="A643" s="5" t="s">
        <v>1163</v>
      </c>
      <c r="B643" s="6">
        <v>46196</v>
      </c>
      <c r="C643" s="5" t="s">
        <v>362</v>
      </c>
      <c r="D643" s="5" t="s">
        <v>117</v>
      </c>
      <c r="E643" s="5" t="s">
        <v>59</v>
      </c>
      <c r="F643" s="5" t="s">
        <v>60</v>
      </c>
      <c r="G643" s="5" t="s">
        <v>61</v>
      </c>
      <c r="H643" s="5" t="s">
        <v>415</v>
      </c>
      <c r="I643" s="5" t="s">
        <v>416</v>
      </c>
      <c r="J643" s="5" t="s">
        <v>30</v>
      </c>
      <c r="K643" s="5" t="s">
        <v>31</v>
      </c>
      <c r="L643" s="5">
        <v>2</v>
      </c>
      <c r="M643" s="5">
        <v>14540</v>
      </c>
      <c r="N643" s="5">
        <v>15</v>
      </c>
      <c r="O643" s="5">
        <v>24718</v>
      </c>
      <c r="P643" s="5">
        <v>19324.419999999998</v>
      </c>
      <c r="Q643" s="5">
        <v>5393.58</v>
      </c>
      <c r="R643" s="5" t="s">
        <v>32</v>
      </c>
      <c r="S643" s="5" t="s">
        <v>33</v>
      </c>
      <c r="T643" s="5" t="s">
        <v>34</v>
      </c>
      <c r="U643" s="5">
        <v>5</v>
      </c>
      <c r="V643" s="5" t="s">
        <v>35</v>
      </c>
    </row>
    <row r="644" spans="1:22" x14ac:dyDescent="0.3">
      <c r="A644" s="5" t="s">
        <v>1164</v>
      </c>
      <c r="B644" s="6">
        <v>46161</v>
      </c>
      <c r="C644" s="5" t="s">
        <v>751</v>
      </c>
      <c r="D644" s="5" t="s">
        <v>89</v>
      </c>
      <c r="E644" s="5" t="s">
        <v>77</v>
      </c>
      <c r="F644" s="5" t="s">
        <v>78</v>
      </c>
      <c r="G644" s="5" t="s">
        <v>41</v>
      </c>
      <c r="H644" s="5" t="s">
        <v>131</v>
      </c>
      <c r="I644" s="5" t="s">
        <v>132</v>
      </c>
      <c r="J644" s="5" t="s">
        <v>71</v>
      </c>
      <c r="K644" s="5" t="s">
        <v>81</v>
      </c>
      <c r="L644" s="5">
        <v>2</v>
      </c>
      <c r="M644" s="5">
        <v>50674</v>
      </c>
      <c r="N644" s="5">
        <v>0</v>
      </c>
      <c r="O644" s="5">
        <v>101348</v>
      </c>
      <c r="P644" s="5">
        <v>84302.96</v>
      </c>
      <c r="Q644" s="5">
        <v>17045.04</v>
      </c>
      <c r="R644" s="5" t="s">
        <v>32</v>
      </c>
      <c r="S644" s="5" t="s">
        <v>33</v>
      </c>
      <c r="T644" s="5" t="s">
        <v>65</v>
      </c>
      <c r="U644" s="5">
        <v>2</v>
      </c>
      <c r="V644" s="5" t="s">
        <v>35</v>
      </c>
    </row>
    <row r="645" spans="1:22" x14ac:dyDescent="0.3">
      <c r="A645" s="5" t="s">
        <v>1165</v>
      </c>
      <c r="B645" s="6">
        <v>46125</v>
      </c>
      <c r="C645" s="5" t="s">
        <v>552</v>
      </c>
      <c r="D645" s="5" t="s">
        <v>117</v>
      </c>
      <c r="E645" s="5" t="s">
        <v>49</v>
      </c>
      <c r="F645" s="5" t="s">
        <v>50</v>
      </c>
      <c r="G645" s="5" t="s">
        <v>51</v>
      </c>
      <c r="H645" s="5" t="s">
        <v>566</v>
      </c>
      <c r="I645" s="5" t="s">
        <v>567</v>
      </c>
      <c r="J645" s="5" t="s">
        <v>54</v>
      </c>
      <c r="K645" s="5" t="s">
        <v>55</v>
      </c>
      <c r="L645" s="5">
        <v>5</v>
      </c>
      <c r="M645" s="5">
        <v>57254</v>
      </c>
      <c r="N645" s="5">
        <v>20</v>
      </c>
      <c r="O645" s="5">
        <v>229016</v>
      </c>
      <c r="P645" s="5">
        <v>230625.12</v>
      </c>
      <c r="Q645" s="5">
        <v>-1609.12</v>
      </c>
      <c r="R645" s="5" t="s">
        <v>32</v>
      </c>
      <c r="S645" s="5" t="s">
        <v>82</v>
      </c>
      <c r="T645" s="5" t="s">
        <v>65</v>
      </c>
      <c r="U645" s="5">
        <v>4</v>
      </c>
      <c r="V645" s="5" t="s">
        <v>45</v>
      </c>
    </row>
    <row r="646" spans="1:22" x14ac:dyDescent="0.3">
      <c r="A646" s="5" t="s">
        <v>1166</v>
      </c>
      <c r="B646" s="6">
        <v>46065</v>
      </c>
      <c r="C646" s="5" t="s">
        <v>1167</v>
      </c>
      <c r="D646" s="5" t="s">
        <v>58</v>
      </c>
      <c r="E646" s="5" t="s">
        <v>59</v>
      </c>
      <c r="F646" s="5" t="s">
        <v>60</v>
      </c>
      <c r="G646" s="5" t="s">
        <v>61</v>
      </c>
      <c r="H646" s="5" t="s">
        <v>231</v>
      </c>
      <c r="I646" s="5" t="s">
        <v>232</v>
      </c>
      <c r="J646" s="5" t="s">
        <v>54</v>
      </c>
      <c r="K646" s="5" t="s">
        <v>97</v>
      </c>
      <c r="L646" s="5">
        <v>1</v>
      </c>
      <c r="M646" s="5">
        <v>72007</v>
      </c>
      <c r="N646" s="5">
        <v>15</v>
      </c>
      <c r="O646" s="5">
        <v>61205.95</v>
      </c>
      <c r="P646" s="5">
        <v>41894.15</v>
      </c>
      <c r="Q646" s="5">
        <v>19311.8</v>
      </c>
      <c r="R646" s="5" t="s">
        <v>64</v>
      </c>
      <c r="S646" s="5" t="s">
        <v>33</v>
      </c>
      <c r="T646" s="5" t="s">
        <v>73</v>
      </c>
      <c r="U646" s="5">
        <v>1</v>
      </c>
      <c r="V646" s="5" t="s">
        <v>45</v>
      </c>
    </row>
    <row r="647" spans="1:22" x14ac:dyDescent="0.3">
      <c r="A647" s="5" t="s">
        <v>1168</v>
      </c>
      <c r="B647" s="6">
        <v>46107</v>
      </c>
      <c r="C647" s="5" t="s">
        <v>531</v>
      </c>
      <c r="D647" s="5" t="s">
        <v>48</v>
      </c>
      <c r="E647" s="5" t="s">
        <v>39</v>
      </c>
      <c r="F647" s="5" t="s">
        <v>40</v>
      </c>
      <c r="G647" s="5" t="s">
        <v>41</v>
      </c>
      <c r="H647" s="5" t="s">
        <v>717</v>
      </c>
      <c r="I647" s="5" t="s">
        <v>718</v>
      </c>
      <c r="J647" s="5" t="s">
        <v>102</v>
      </c>
      <c r="K647" s="5" t="s">
        <v>103</v>
      </c>
      <c r="L647" s="5">
        <v>1</v>
      </c>
      <c r="M647" s="5">
        <v>18534</v>
      </c>
      <c r="N647" s="5">
        <v>10</v>
      </c>
      <c r="O647" s="5">
        <v>16680.599999999999</v>
      </c>
      <c r="P647" s="5">
        <v>13643.94</v>
      </c>
      <c r="Q647" s="5">
        <v>3036.66</v>
      </c>
      <c r="R647" s="5" t="s">
        <v>32</v>
      </c>
      <c r="S647" s="5" t="s">
        <v>82</v>
      </c>
      <c r="T647" s="5" t="s">
        <v>73</v>
      </c>
      <c r="U647" s="5">
        <v>2</v>
      </c>
      <c r="V647" s="5" t="s">
        <v>45</v>
      </c>
    </row>
    <row r="648" spans="1:22" x14ac:dyDescent="0.3">
      <c r="A648" s="5" t="s">
        <v>1169</v>
      </c>
      <c r="B648" s="6">
        <v>46080</v>
      </c>
      <c r="C648" s="5" t="s">
        <v>538</v>
      </c>
      <c r="D648" s="5" t="s">
        <v>76</v>
      </c>
      <c r="E648" s="5" t="s">
        <v>25</v>
      </c>
      <c r="F648" s="5" t="s">
        <v>26</v>
      </c>
      <c r="G648" s="5" t="s">
        <v>27</v>
      </c>
      <c r="H648" s="5" t="s">
        <v>28</v>
      </c>
      <c r="I648" s="5" t="s">
        <v>29</v>
      </c>
      <c r="J648" s="5" t="s">
        <v>30</v>
      </c>
      <c r="K648" s="5" t="s">
        <v>31</v>
      </c>
      <c r="L648" s="5">
        <v>1</v>
      </c>
      <c r="M648" s="5">
        <v>55428</v>
      </c>
      <c r="N648" s="5">
        <v>20</v>
      </c>
      <c r="O648" s="5">
        <v>44342.400000000001</v>
      </c>
      <c r="P648" s="5">
        <v>31997.24</v>
      </c>
      <c r="Q648" s="5">
        <v>12345.16</v>
      </c>
      <c r="R648" s="5" t="s">
        <v>64</v>
      </c>
      <c r="S648" s="5" t="s">
        <v>82</v>
      </c>
      <c r="T648" s="5" t="s">
        <v>73</v>
      </c>
      <c r="U648" s="5">
        <v>2</v>
      </c>
      <c r="V648" s="5" t="s">
        <v>45</v>
      </c>
    </row>
    <row r="649" spans="1:22" x14ac:dyDescent="0.3">
      <c r="A649" s="5" t="s">
        <v>1170</v>
      </c>
      <c r="B649" s="6">
        <v>46150</v>
      </c>
      <c r="C649" s="5" t="s">
        <v>1171</v>
      </c>
      <c r="D649" s="5" t="s">
        <v>151</v>
      </c>
      <c r="E649" s="5" t="s">
        <v>39</v>
      </c>
      <c r="F649" s="5" t="s">
        <v>40</v>
      </c>
      <c r="G649" s="5" t="s">
        <v>41</v>
      </c>
      <c r="H649" s="5" t="s">
        <v>203</v>
      </c>
      <c r="I649" s="5" t="s">
        <v>204</v>
      </c>
      <c r="J649" s="5" t="s">
        <v>71</v>
      </c>
      <c r="K649" s="5" t="s">
        <v>81</v>
      </c>
      <c r="L649" s="5">
        <v>4</v>
      </c>
      <c r="M649" s="5">
        <v>68943</v>
      </c>
      <c r="N649" s="5">
        <v>5</v>
      </c>
      <c r="O649" s="5">
        <v>261983.4</v>
      </c>
      <c r="P649" s="5">
        <v>206686.34</v>
      </c>
      <c r="Q649" s="5">
        <v>55297.06</v>
      </c>
      <c r="R649" s="5" t="s">
        <v>64</v>
      </c>
      <c r="S649" s="5" t="s">
        <v>33</v>
      </c>
      <c r="T649" s="5" t="s">
        <v>34</v>
      </c>
      <c r="U649" s="5">
        <v>5</v>
      </c>
      <c r="V649" s="5" t="s">
        <v>45</v>
      </c>
    </row>
    <row r="650" spans="1:22" x14ac:dyDescent="0.3">
      <c r="A650" s="5" t="s">
        <v>1172</v>
      </c>
      <c r="B650" s="6">
        <v>46025</v>
      </c>
      <c r="C650" s="5" t="s">
        <v>1036</v>
      </c>
      <c r="D650" s="5" t="s">
        <v>68</v>
      </c>
      <c r="E650" s="5" t="s">
        <v>59</v>
      </c>
      <c r="F650" s="5" t="s">
        <v>60</v>
      </c>
      <c r="G650" s="5" t="s">
        <v>61</v>
      </c>
      <c r="H650" s="5" t="s">
        <v>122</v>
      </c>
      <c r="I650" s="5" t="s">
        <v>123</v>
      </c>
      <c r="J650" s="5" t="s">
        <v>30</v>
      </c>
      <c r="K650" s="5" t="s">
        <v>31</v>
      </c>
      <c r="L650" s="5">
        <v>2</v>
      </c>
      <c r="M650" s="5">
        <v>53906</v>
      </c>
      <c r="N650" s="5">
        <v>20</v>
      </c>
      <c r="O650" s="5">
        <v>86249.600000000006</v>
      </c>
      <c r="P650" s="5">
        <v>74911.850000000006</v>
      </c>
      <c r="Q650" s="5">
        <v>11337.75</v>
      </c>
      <c r="R650" s="5" t="s">
        <v>44</v>
      </c>
      <c r="S650" s="5" t="s">
        <v>33</v>
      </c>
      <c r="T650" s="5" t="s">
        <v>73</v>
      </c>
      <c r="U650" s="5">
        <v>5</v>
      </c>
      <c r="V650" s="5" t="s">
        <v>45</v>
      </c>
    </row>
    <row r="651" spans="1:22" x14ac:dyDescent="0.3">
      <c r="A651" s="5" t="s">
        <v>1173</v>
      </c>
      <c r="B651" s="6">
        <v>46118</v>
      </c>
      <c r="C651" s="5" t="s">
        <v>699</v>
      </c>
      <c r="D651" s="5" t="s">
        <v>151</v>
      </c>
      <c r="E651" s="5" t="s">
        <v>94</v>
      </c>
      <c r="F651" s="5" t="s">
        <v>26</v>
      </c>
      <c r="G651" s="5" t="s">
        <v>27</v>
      </c>
      <c r="H651" s="5" t="s">
        <v>277</v>
      </c>
      <c r="I651" s="5" t="s">
        <v>278</v>
      </c>
      <c r="J651" s="5" t="s">
        <v>71</v>
      </c>
      <c r="K651" s="5" t="s">
        <v>81</v>
      </c>
      <c r="L651" s="5">
        <v>3</v>
      </c>
      <c r="M651" s="5">
        <v>72861</v>
      </c>
      <c r="N651" s="5">
        <v>20</v>
      </c>
      <c r="O651" s="5">
        <v>174866.4</v>
      </c>
      <c r="P651" s="5">
        <v>169198.23</v>
      </c>
      <c r="Q651" s="5">
        <v>5668.17</v>
      </c>
      <c r="R651" s="5" t="s">
        <v>44</v>
      </c>
      <c r="S651" s="5" t="s">
        <v>33</v>
      </c>
      <c r="T651" s="5" t="s">
        <v>73</v>
      </c>
      <c r="U651" s="5">
        <v>2</v>
      </c>
      <c r="V651" s="5" t="s">
        <v>35</v>
      </c>
    </row>
    <row r="652" spans="1:22" x14ac:dyDescent="0.3">
      <c r="A652" s="5" t="s">
        <v>1174</v>
      </c>
      <c r="B652" s="6">
        <v>46104</v>
      </c>
      <c r="C652" s="5" t="s">
        <v>237</v>
      </c>
      <c r="D652" s="5" t="s">
        <v>89</v>
      </c>
      <c r="E652" s="5" t="s">
        <v>25</v>
      </c>
      <c r="F652" s="5" t="s">
        <v>26</v>
      </c>
      <c r="G652" s="5" t="s">
        <v>27</v>
      </c>
      <c r="H652" s="5" t="s">
        <v>62</v>
      </c>
      <c r="I652" s="5" t="s">
        <v>63</v>
      </c>
      <c r="J652" s="5" t="s">
        <v>54</v>
      </c>
      <c r="K652" s="5" t="s">
        <v>55</v>
      </c>
      <c r="L652" s="5">
        <v>1</v>
      </c>
      <c r="M652" s="5">
        <v>23494</v>
      </c>
      <c r="N652" s="5">
        <v>5</v>
      </c>
      <c r="O652" s="5">
        <v>22319.3</v>
      </c>
      <c r="P652" s="5">
        <v>16057.57</v>
      </c>
      <c r="Q652" s="5">
        <v>6261.73</v>
      </c>
      <c r="R652" s="5" t="s">
        <v>32</v>
      </c>
      <c r="S652" s="5" t="s">
        <v>33</v>
      </c>
      <c r="T652" s="5" t="s">
        <v>65</v>
      </c>
      <c r="U652" s="5">
        <v>1</v>
      </c>
      <c r="V652" s="5" t="s">
        <v>45</v>
      </c>
    </row>
    <row r="653" spans="1:22" x14ac:dyDescent="0.3">
      <c r="A653" s="5" t="s">
        <v>1175</v>
      </c>
      <c r="B653" s="6">
        <v>46055</v>
      </c>
      <c r="C653" s="5" t="s">
        <v>244</v>
      </c>
      <c r="D653" s="5" t="s">
        <v>89</v>
      </c>
      <c r="E653" s="5" t="s">
        <v>49</v>
      </c>
      <c r="F653" s="5" t="s">
        <v>50</v>
      </c>
      <c r="G653" s="5" t="s">
        <v>51</v>
      </c>
      <c r="H653" s="5" t="s">
        <v>735</v>
      </c>
      <c r="I653" s="5" t="s">
        <v>736</v>
      </c>
      <c r="J653" s="5" t="s">
        <v>54</v>
      </c>
      <c r="K653" s="5" t="s">
        <v>97</v>
      </c>
      <c r="L653" s="5">
        <v>5</v>
      </c>
      <c r="M653" s="5">
        <v>28482</v>
      </c>
      <c r="N653" s="5">
        <v>10</v>
      </c>
      <c r="O653" s="5">
        <v>128169</v>
      </c>
      <c r="P653" s="5">
        <v>95093.93</v>
      </c>
      <c r="Q653" s="5">
        <v>33075.07</v>
      </c>
      <c r="R653" s="5" t="s">
        <v>32</v>
      </c>
      <c r="S653" s="5" t="s">
        <v>82</v>
      </c>
      <c r="T653" s="5" t="s">
        <v>73</v>
      </c>
      <c r="U653" s="5">
        <v>1</v>
      </c>
      <c r="V653" s="5" t="s">
        <v>45</v>
      </c>
    </row>
    <row r="654" spans="1:22" x14ac:dyDescent="0.3">
      <c r="A654" s="5" t="s">
        <v>1176</v>
      </c>
      <c r="B654" s="6">
        <v>46042</v>
      </c>
      <c r="C654" s="5" t="s">
        <v>138</v>
      </c>
      <c r="D654" s="5" t="s">
        <v>68</v>
      </c>
      <c r="E654" s="5" t="s">
        <v>94</v>
      </c>
      <c r="F654" s="5" t="s">
        <v>26</v>
      </c>
      <c r="G654" s="5" t="s">
        <v>27</v>
      </c>
      <c r="H654" s="5" t="s">
        <v>257</v>
      </c>
      <c r="I654" s="5" t="s">
        <v>258</v>
      </c>
      <c r="J654" s="5" t="s">
        <v>71</v>
      </c>
      <c r="K654" s="5" t="s">
        <v>81</v>
      </c>
      <c r="L654" s="5">
        <v>2</v>
      </c>
      <c r="M654" s="5">
        <v>62132</v>
      </c>
      <c r="N654" s="5">
        <v>20</v>
      </c>
      <c r="O654" s="5">
        <v>99411.199999999997</v>
      </c>
      <c r="P654" s="5">
        <v>91646.33</v>
      </c>
      <c r="Q654" s="5">
        <v>7764.87</v>
      </c>
      <c r="R654" s="5" t="s">
        <v>64</v>
      </c>
      <c r="S654" s="5" t="s">
        <v>82</v>
      </c>
      <c r="T654" s="5" t="s">
        <v>73</v>
      </c>
      <c r="U654" s="5">
        <v>5</v>
      </c>
      <c r="V654" s="5" t="s">
        <v>35</v>
      </c>
    </row>
    <row r="655" spans="1:22" x14ac:dyDescent="0.3">
      <c r="A655" s="5" t="s">
        <v>1177</v>
      </c>
      <c r="B655" s="6">
        <v>46180</v>
      </c>
      <c r="C655" s="5" t="s">
        <v>471</v>
      </c>
      <c r="D655" s="5" t="s">
        <v>89</v>
      </c>
      <c r="E655" s="5" t="s">
        <v>49</v>
      </c>
      <c r="F655" s="5" t="s">
        <v>50</v>
      </c>
      <c r="G655" s="5" t="s">
        <v>51</v>
      </c>
      <c r="H655" s="5" t="s">
        <v>197</v>
      </c>
      <c r="I655" s="5" t="s">
        <v>198</v>
      </c>
      <c r="J655" s="5" t="s">
        <v>30</v>
      </c>
      <c r="K655" s="5" t="s">
        <v>31</v>
      </c>
      <c r="L655" s="5">
        <v>3</v>
      </c>
      <c r="M655" s="5">
        <v>61507</v>
      </c>
      <c r="N655" s="5">
        <v>10</v>
      </c>
      <c r="O655" s="5">
        <v>166068.9</v>
      </c>
      <c r="P655" s="5">
        <v>129002</v>
      </c>
      <c r="Q655" s="5">
        <v>37066.9</v>
      </c>
      <c r="R655" s="5" t="s">
        <v>44</v>
      </c>
      <c r="S655" s="5" t="s">
        <v>33</v>
      </c>
      <c r="T655" s="5" t="s">
        <v>73</v>
      </c>
      <c r="U655" s="5">
        <v>4</v>
      </c>
      <c r="V655" s="5" t="s">
        <v>45</v>
      </c>
    </row>
    <row r="656" spans="1:22" x14ac:dyDescent="0.3">
      <c r="A656" s="5" t="s">
        <v>1178</v>
      </c>
      <c r="B656" s="6">
        <v>46148</v>
      </c>
      <c r="C656" s="5" t="s">
        <v>1179</v>
      </c>
      <c r="D656" s="5" t="s">
        <v>76</v>
      </c>
      <c r="E656" s="5" t="s">
        <v>77</v>
      </c>
      <c r="F656" s="5" t="s">
        <v>78</v>
      </c>
      <c r="G656" s="5" t="s">
        <v>41</v>
      </c>
      <c r="H656" s="5" t="s">
        <v>113</v>
      </c>
      <c r="I656" s="5" t="s">
        <v>114</v>
      </c>
      <c r="J656" s="5" t="s">
        <v>102</v>
      </c>
      <c r="K656" s="5" t="s">
        <v>103</v>
      </c>
      <c r="L656" s="5">
        <v>1</v>
      </c>
      <c r="M656" s="5">
        <v>44481</v>
      </c>
      <c r="N656" s="5">
        <v>15</v>
      </c>
      <c r="O656" s="5">
        <v>37808.85</v>
      </c>
      <c r="P656" s="5">
        <v>35552.160000000003</v>
      </c>
      <c r="Q656" s="5">
        <v>2256.69</v>
      </c>
      <c r="R656" s="5" t="s">
        <v>64</v>
      </c>
      <c r="S656" s="5" t="s">
        <v>82</v>
      </c>
      <c r="T656" s="5" t="s">
        <v>65</v>
      </c>
      <c r="U656" s="5">
        <v>2</v>
      </c>
      <c r="V656" s="5" t="s">
        <v>35</v>
      </c>
    </row>
    <row r="657" spans="1:22" x14ac:dyDescent="0.3">
      <c r="A657" s="5" t="s">
        <v>1180</v>
      </c>
      <c r="B657" s="6">
        <v>46173</v>
      </c>
      <c r="C657" s="5" t="s">
        <v>725</v>
      </c>
      <c r="D657" s="5" t="s">
        <v>110</v>
      </c>
      <c r="E657" s="5" t="s">
        <v>39</v>
      </c>
      <c r="F657" s="5" t="s">
        <v>40</v>
      </c>
      <c r="G657" s="5" t="s">
        <v>41</v>
      </c>
      <c r="H657" s="5" t="s">
        <v>306</v>
      </c>
      <c r="I657" s="5" t="s">
        <v>307</v>
      </c>
      <c r="J657" s="5" t="s">
        <v>71</v>
      </c>
      <c r="K657" s="5" t="s">
        <v>81</v>
      </c>
      <c r="L657" s="5">
        <v>5</v>
      </c>
      <c r="M657" s="5">
        <v>26805</v>
      </c>
      <c r="N657" s="5">
        <v>5</v>
      </c>
      <c r="O657" s="5">
        <v>127323.75</v>
      </c>
      <c r="P657" s="5">
        <v>107246.66</v>
      </c>
      <c r="Q657" s="5">
        <v>20077.09</v>
      </c>
      <c r="R657" s="5" t="s">
        <v>44</v>
      </c>
      <c r="S657" s="5" t="s">
        <v>33</v>
      </c>
      <c r="T657" s="5" t="s">
        <v>73</v>
      </c>
      <c r="U657" s="5">
        <v>2</v>
      </c>
      <c r="V657" s="5" t="s">
        <v>45</v>
      </c>
    </row>
    <row r="658" spans="1:22" x14ac:dyDescent="0.3">
      <c r="A658" s="5" t="s">
        <v>1181</v>
      </c>
      <c r="B658" s="6">
        <v>46058</v>
      </c>
      <c r="C658" s="5" t="s">
        <v>1027</v>
      </c>
      <c r="D658" s="5" t="s">
        <v>89</v>
      </c>
      <c r="E658" s="5" t="s">
        <v>77</v>
      </c>
      <c r="F658" s="5" t="s">
        <v>78</v>
      </c>
      <c r="G658" s="5" t="s">
        <v>41</v>
      </c>
      <c r="H658" s="5" t="s">
        <v>496</v>
      </c>
      <c r="I658" s="5" t="s">
        <v>497</v>
      </c>
      <c r="J658" s="5" t="s">
        <v>30</v>
      </c>
      <c r="K658" s="5" t="s">
        <v>31</v>
      </c>
      <c r="L658" s="5">
        <v>3</v>
      </c>
      <c r="M658" s="5">
        <v>13828</v>
      </c>
      <c r="N658" s="5">
        <v>15</v>
      </c>
      <c r="O658" s="5">
        <v>35261.4</v>
      </c>
      <c r="P658" s="5">
        <v>34486.71</v>
      </c>
      <c r="Q658" s="5">
        <v>774.69</v>
      </c>
      <c r="R658" s="5" t="s">
        <v>64</v>
      </c>
      <c r="S658" s="5" t="s">
        <v>33</v>
      </c>
      <c r="T658" s="5" t="s">
        <v>65</v>
      </c>
      <c r="U658" s="5">
        <v>4</v>
      </c>
      <c r="V658" s="5" t="s">
        <v>45</v>
      </c>
    </row>
    <row r="659" spans="1:22" x14ac:dyDescent="0.3">
      <c r="A659" s="5" t="s">
        <v>1182</v>
      </c>
      <c r="B659" s="6">
        <v>46027</v>
      </c>
      <c r="C659" s="5" t="s">
        <v>585</v>
      </c>
      <c r="D659" s="5" t="s">
        <v>110</v>
      </c>
      <c r="E659" s="5" t="s">
        <v>25</v>
      </c>
      <c r="F659" s="5" t="s">
        <v>26</v>
      </c>
      <c r="G659" s="5" t="s">
        <v>27</v>
      </c>
      <c r="H659" s="5" t="s">
        <v>387</v>
      </c>
      <c r="I659" s="5" t="s">
        <v>388</v>
      </c>
      <c r="J659" s="5" t="s">
        <v>54</v>
      </c>
      <c r="K659" s="5" t="s">
        <v>97</v>
      </c>
      <c r="L659" s="5">
        <v>1</v>
      </c>
      <c r="M659" s="5">
        <v>32024</v>
      </c>
      <c r="N659" s="5">
        <v>0</v>
      </c>
      <c r="O659" s="5">
        <v>32024</v>
      </c>
      <c r="P659" s="5">
        <v>21517.4</v>
      </c>
      <c r="Q659" s="5">
        <v>10506.6</v>
      </c>
      <c r="R659" s="5" t="s">
        <v>44</v>
      </c>
      <c r="S659" s="5" t="s">
        <v>33</v>
      </c>
      <c r="T659" s="5" t="s">
        <v>34</v>
      </c>
      <c r="U659" s="5">
        <v>4</v>
      </c>
      <c r="V659" s="5" t="s">
        <v>35</v>
      </c>
    </row>
    <row r="660" spans="1:22" x14ac:dyDescent="0.3">
      <c r="A660" s="5" t="s">
        <v>1183</v>
      </c>
      <c r="B660" s="6">
        <v>46116</v>
      </c>
      <c r="C660" s="5" t="s">
        <v>1184</v>
      </c>
      <c r="D660" s="5" t="s">
        <v>48</v>
      </c>
      <c r="E660" s="5" t="s">
        <v>94</v>
      </c>
      <c r="F660" s="5" t="s">
        <v>26</v>
      </c>
      <c r="G660" s="5" t="s">
        <v>27</v>
      </c>
      <c r="H660" s="5" t="s">
        <v>312</v>
      </c>
      <c r="I660" s="5" t="s">
        <v>313</v>
      </c>
      <c r="J660" s="5" t="s">
        <v>54</v>
      </c>
      <c r="K660" s="5" t="s">
        <v>97</v>
      </c>
      <c r="L660" s="5">
        <v>3</v>
      </c>
      <c r="M660" s="5">
        <v>62236</v>
      </c>
      <c r="N660" s="5">
        <v>5</v>
      </c>
      <c r="O660" s="5">
        <v>177372.6</v>
      </c>
      <c r="P660" s="5">
        <v>103794.69</v>
      </c>
      <c r="Q660" s="5">
        <v>73577.91</v>
      </c>
      <c r="R660" s="5" t="s">
        <v>32</v>
      </c>
      <c r="S660" s="5" t="s">
        <v>33</v>
      </c>
      <c r="T660" s="5" t="s">
        <v>65</v>
      </c>
      <c r="U660" s="5">
        <v>3</v>
      </c>
      <c r="V660" s="5" t="s">
        <v>35</v>
      </c>
    </row>
    <row r="661" spans="1:22" x14ac:dyDescent="0.3">
      <c r="A661" s="5" t="s">
        <v>1185</v>
      </c>
      <c r="B661" s="6">
        <v>46071</v>
      </c>
      <c r="C661" s="5" t="s">
        <v>1186</v>
      </c>
      <c r="D661" s="5" t="s">
        <v>76</v>
      </c>
      <c r="E661" s="5" t="s">
        <v>59</v>
      </c>
      <c r="F661" s="5" t="s">
        <v>60</v>
      </c>
      <c r="G661" s="5" t="s">
        <v>61</v>
      </c>
      <c r="H661" s="5" t="s">
        <v>42</v>
      </c>
      <c r="I661" s="5" t="s">
        <v>43</v>
      </c>
      <c r="J661" s="5" t="s">
        <v>30</v>
      </c>
      <c r="K661" s="5" t="s">
        <v>31</v>
      </c>
      <c r="L661" s="5">
        <v>4</v>
      </c>
      <c r="M661" s="5">
        <v>48582</v>
      </c>
      <c r="N661" s="5">
        <v>5</v>
      </c>
      <c r="O661" s="5">
        <v>184611.6</v>
      </c>
      <c r="P661" s="5">
        <v>141518.65</v>
      </c>
      <c r="Q661" s="5">
        <v>43092.95</v>
      </c>
      <c r="R661" s="5" t="s">
        <v>64</v>
      </c>
      <c r="S661" s="5" t="s">
        <v>82</v>
      </c>
      <c r="T661" s="5" t="s">
        <v>65</v>
      </c>
      <c r="U661" s="5">
        <v>1</v>
      </c>
      <c r="V661" s="5" t="s">
        <v>45</v>
      </c>
    </row>
    <row r="662" spans="1:22" x14ac:dyDescent="0.3">
      <c r="A662" s="5" t="s">
        <v>1187</v>
      </c>
      <c r="B662" s="6">
        <v>46182</v>
      </c>
      <c r="C662" s="5" t="s">
        <v>1188</v>
      </c>
      <c r="D662" s="5" t="s">
        <v>89</v>
      </c>
      <c r="E662" s="5" t="s">
        <v>77</v>
      </c>
      <c r="F662" s="5" t="s">
        <v>78</v>
      </c>
      <c r="G662" s="5" t="s">
        <v>41</v>
      </c>
      <c r="H662" s="5" t="s">
        <v>640</v>
      </c>
      <c r="I662" s="5" t="s">
        <v>641</v>
      </c>
      <c r="J662" s="5" t="s">
        <v>54</v>
      </c>
      <c r="K662" s="5" t="s">
        <v>97</v>
      </c>
      <c r="L662" s="5">
        <v>1</v>
      </c>
      <c r="M662" s="5">
        <v>64934</v>
      </c>
      <c r="N662" s="5">
        <v>10</v>
      </c>
      <c r="O662" s="5">
        <v>58440.6</v>
      </c>
      <c r="P662" s="5">
        <v>51814.06</v>
      </c>
      <c r="Q662" s="5">
        <v>6626.54</v>
      </c>
      <c r="R662" s="5" t="s">
        <v>32</v>
      </c>
      <c r="S662" s="5" t="s">
        <v>33</v>
      </c>
      <c r="T662" s="5" t="s">
        <v>34</v>
      </c>
      <c r="U662" s="5">
        <v>5</v>
      </c>
      <c r="V662" s="5" t="s">
        <v>45</v>
      </c>
    </row>
    <row r="663" spans="1:22" x14ac:dyDescent="0.3">
      <c r="A663" s="5" t="s">
        <v>1189</v>
      </c>
      <c r="B663" s="6">
        <v>46032</v>
      </c>
      <c r="C663" s="5" t="s">
        <v>581</v>
      </c>
      <c r="D663" s="5" t="s">
        <v>24</v>
      </c>
      <c r="E663" s="5" t="s">
        <v>94</v>
      </c>
      <c r="F663" s="5" t="s">
        <v>26</v>
      </c>
      <c r="G663" s="5" t="s">
        <v>27</v>
      </c>
      <c r="H663" s="5" t="s">
        <v>824</v>
      </c>
      <c r="I663" s="5" t="s">
        <v>825</v>
      </c>
      <c r="J663" s="5" t="s">
        <v>71</v>
      </c>
      <c r="K663" s="5" t="s">
        <v>81</v>
      </c>
      <c r="L663" s="5">
        <v>4</v>
      </c>
      <c r="M663" s="5">
        <v>24160</v>
      </c>
      <c r="N663" s="5">
        <v>5</v>
      </c>
      <c r="O663" s="5">
        <v>91808</v>
      </c>
      <c r="P663" s="5">
        <v>69191.33</v>
      </c>
      <c r="Q663" s="5">
        <v>22616.67</v>
      </c>
      <c r="R663" s="5" t="s">
        <v>32</v>
      </c>
      <c r="S663" s="5" t="s">
        <v>82</v>
      </c>
      <c r="T663" s="5" t="s">
        <v>73</v>
      </c>
      <c r="U663" s="5">
        <v>1</v>
      </c>
      <c r="V663" s="5" t="s">
        <v>45</v>
      </c>
    </row>
    <row r="664" spans="1:22" x14ac:dyDescent="0.3">
      <c r="A664" s="5" t="s">
        <v>1190</v>
      </c>
      <c r="B664" s="6">
        <v>46132</v>
      </c>
      <c r="C664" s="5" t="s">
        <v>673</v>
      </c>
      <c r="D664" s="5" t="s">
        <v>117</v>
      </c>
      <c r="E664" s="5" t="s">
        <v>77</v>
      </c>
      <c r="F664" s="5" t="s">
        <v>78</v>
      </c>
      <c r="G664" s="5" t="s">
        <v>41</v>
      </c>
      <c r="H664" s="5" t="s">
        <v>106</v>
      </c>
      <c r="I664" s="5" t="s">
        <v>107</v>
      </c>
      <c r="J664" s="5" t="s">
        <v>30</v>
      </c>
      <c r="K664" s="5" t="s">
        <v>31</v>
      </c>
      <c r="L664" s="5">
        <v>5</v>
      </c>
      <c r="M664" s="5">
        <v>34813</v>
      </c>
      <c r="N664" s="5">
        <v>20</v>
      </c>
      <c r="O664" s="5">
        <v>139252</v>
      </c>
      <c r="P664" s="5">
        <v>135699.51</v>
      </c>
      <c r="Q664" s="5">
        <v>3552.49</v>
      </c>
      <c r="R664" s="5" t="s">
        <v>44</v>
      </c>
      <c r="S664" s="5" t="s">
        <v>33</v>
      </c>
      <c r="T664" s="5" t="s">
        <v>34</v>
      </c>
      <c r="U664" s="5">
        <v>4</v>
      </c>
      <c r="V664" s="5" t="s">
        <v>35</v>
      </c>
    </row>
    <row r="665" spans="1:22" x14ac:dyDescent="0.3">
      <c r="A665" s="5" t="s">
        <v>1191</v>
      </c>
      <c r="B665" s="6">
        <v>46170</v>
      </c>
      <c r="C665" s="5" t="s">
        <v>159</v>
      </c>
      <c r="D665" s="5" t="s">
        <v>38</v>
      </c>
      <c r="E665" s="5" t="s">
        <v>39</v>
      </c>
      <c r="F665" s="5" t="s">
        <v>40</v>
      </c>
      <c r="G665" s="5" t="s">
        <v>41</v>
      </c>
      <c r="H665" s="5" t="s">
        <v>141</v>
      </c>
      <c r="I665" s="5" t="s">
        <v>142</v>
      </c>
      <c r="J665" s="5" t="s">
        <v>71</v>
      </c>
      <c r="K665" s="5" t="s">
        <v>81</v>
      </c>
      <c r="L665" s="5">
        <v>3</v>
      </c>
      <c r="M665" s="5">
        <v>32477</v>
      </c>
      <c r="N665" s="5">
        <v>20</v>
      </c>
      <c r="O665" s="5">
        <v>77944.800000000003</v>
      </c>
      <c r="P665" s="5">
        <v>61482.38</v>
      </c>
      <c r="Q665" s="5">
        <v>16462.419999999998</v>
      </c>
      <c r="R665" s="5" t="s">
        <v>64</v>
      </c>
      <c r="S665" s="5" t="s">
        <v>82</v>
      </c>
      <c r="T665" s="5" t="s">
        <v>73</v>
      </c>
      <c r="U665" s="5">
        <v>3</v>
      </c>
      <c r="V665" s="5" t="s">
        <v>45</v>
      </c>
    </row>
    <row r="666" spans="1:22" x14ac:dyDescent="0.3">
      <c r="A666" s="5" t="s">
        <v>1192</v>
      </c>
      <c r="B666" s="6">
        <v>46048</v>
      </c>
      <c r="C666" s="5" t="s">
        <v>846</v>
      </c>
      <c r="D666" s="5" t="s">
        <v>48</v>
      </c>
      <c r="E666" s="5" t="s">
        <v>126</v>
      </c>
      <c r="F666" s="5" t="s">
        <v>126</v>
      </c>
      <c r="G666" s="5" t="s">
        <v>51</v>
      </c>
      <c r="H666" s="5" t="s">
        <v>447</v>
      </c>
      <c r="I666" s="5" t="s">
        <v>448</v>
      </c>
      <c r="J666" s="5" t="s">
        <v>71</v>
      </c>
      <c r="K666" s="5" t="s">
        <v>72</v>
      </c>
      <c r="L666" s="5">
        <v>4</v>
      </c>
      <c r="M666" s="5">
        <v>42437</v>
      </c>
      <c r="N666" s="5">
        <v>15</v>
      </c>
      <c r="O666" s="5">
        <v>144285.79999999999</v>
      </c>
      <c r="P666" s="5">
        <v>131527.94</v>
      </c>
      <c r="Q666" s="5">
        <v>12757.86</v>
      </c>
      <c r="R666" s="5" t="s">
        <v>32</v>
      </c>
      <c r="S666" s="5" t="s">
        <v>82</v>
      </c>
      <c r="T666" s="5" t="s">
        <v>65</v>
      </c>
      <c r="U666" s="5">
        <v>2</v>
      </c>
      <c r="V666" s="5" t="s">
        <v>35</v>
      </c>
    </row>
    <row r="667" spans="1:22" x14ac:dyDescent="0.3">
      <c r="A667" s="5" t="s">
        <v>1193</v>
      </c>
      <c r="B667" s="6">
        <v>46103</v>
      </c>
      <c r="C667" s="5" t="s">
        <v>345</v>
      </c>
      <c r="D667" s="5" t="s">
        <v>38</v>
      </c>
      <c r="E667" s="5" t="s">
        <v>25</v>
      </c>
      <c r="F667" s="5" t="s">
        <v>26</v>
      </c>
      <c r="G667" s="5" t="s">
        <v>27</v>
      </c>
      <c r="H667" s="5" t="s">
        <v>295</v>
      </c>
      <c r="I667" s="5" t="s">
        <v>296</v>
      </c>
      <c r="J667" s="5" t="s">
        <v>30</v>
      </c>
      <c r="K667" s="5" t="s">
        <v>31</v>
      </c>
      <c r="L667" s="5">
        <v>1</v>
      </c>
      <c r="M667" s="5">
        <v>73618</v>
      </c>
      <c r="N667" s="5">
        <v>5</v>
      </c>
      <c r="O667" s="5">
        <v>69937.100000000006</v>
      </c>
      <c r="P667" s="5">
        <v>55513.24</v>
      </c>
      <c r="Q667" s="5">
        <v>14423.86</v>
      </c>
      <c r="R667" s="5" t="s">
        <v>32</v>
      </c>
      <c r="S667" s="5" t="s">
        <v>82</v>
      </c>
      <c r="T667" s="5" t="s">
        <v>34</v>
      </c>
      <c r="U667" s="5">
        <v>5</v>
      </c>
      <c r="V667" s="5" t="s">
        <v>35</v>
      </c>
    </row>
    <row r="668" spans="1:22" x14ac:dyDescent="0.3">
      <c r="A668" s="5" t="s">
        <v>1194</v>
      </c>
      <c r="B668" s="6">
        <v>46179</v>
      </c>
      <c r="C668" s="5" t="s">
        <v>1195</v>
      </c>
      <c r="D668" s="5" t="s">
        <v>76</v>
      </c>
      <c r="E668" s="5" t="s">
        <v>39</v>
      </c>
      <c r="F668" s="5" t="s">
        <v>40</v>
      </c>
      <c r="G668" s="5" t="s">
        <v>41</v>
      </c>
      <c r="H668" s="5" t="s">
        <v>299</v>
      </c>
      <c r="I668" s="5" t="s">
        <v>300</v>
      </c>
      <c r="J668" s="5" t="s">
        <v>71</v>
      </c>
      <c r="K668" s="5" t="s">
        <v>72</v>
      </c>
      <c r="L668" s="5">
        <v>1</v>
      </c>
      <c r="M668" s="5">
        <v>43200</v>
      </c>
      <c r="N668" s="5">
        <v>10</v>
      </c>
      <c r="O668" s="5">
        <v>38880</v>
      </c>
      <c r="P668" s="5">
        <v>29847.63</v>
      </c>
      <c r="Q668" s="5">
        <v>9032.3700000000008</v>
      </c>
      <c r="R668" s="5" t="s">
        <v>32</v>
      </c>
      <c r="S668" s="5" t="s">
        <v>33</v>
      </c>
      <c r="T668" s="5" t="s">
        <v>73</v>
      </c>
      <c r="U668" s="5">
        <v>4</v>
      </c>
      <c r="V668" s="5" t="s">
        <v>45</v>
      </c>
    </row>
    <row r="669" spans="1:22" x14ac:dyDescent="0.3">
      <c r="A669" s="5" t="s">
        <v>1196</v>
      </c>
      <c r="B669" s="6">
        <v>46047</v>
      </c>
      <c r="C669" s="5" t="s">
        <v>501</v>
      </c>
      <c r="D669" s="5" t="s">
        <v>24</v>
      </c>
      <c r="E669" s="5" t="s">
        <v>49</v>
      </c>
      <c r="F669" s="5" t="s">
        <v>50</v>
      </c>
      <c r="G669" s="5" t="s">
        <v>51</v>
      </c>
      <c r="H669" s="5" t="s">
        <v>213</v>
      </c>
      <c r="I669" s="5" t="s">
        <v>214</v>
      </c>
      <c r="J669" s="5" t="s">
        <v>54</v>
      </c>
      <c r="K669" s="5" t="s">
        <v>97</v>
      </c>
      <c r="L669" s="5">
        <v>2</v>
      </c>
      <c r="M669" s="5">
        <v>47249</v>
      </c>
      <c r="N669" s="5">
        <v>10</v>
      </c>
      <c r="O669" s="5">
        <v>85048.2</v>
      </c>
      <c r="P669" s="5">
        <v>61191.77</v>
      </c>
      <c r="Q669" s="5">
        <v>23856.43</v>
      </c>
      <c r="R669" s="5" t="s">
        <v>44</v>
      </c>
      <c r="S669" s="5" t="s">
        <v>82</v>
      </c>
      <c r="T669" s="5" t="s">
        <v>34</v>
      </c>
      <c r="U669" s="5">
        <v>3</v>
      </c>
      <c r="V669" s="5" t="s">
        <v>45</v>
      </c>
    </row>
    <row r="670" spans="1:22" x14ac:dyDescent="0.3">
      <c r="A670" s="5" t="s">
        <v>1197</v>
      </c>
      <c r="B670" s="6">
        <v>46050</v>
      </c>
      <c r="C670" s="5" t="s">
        <v>272</v>
      </c>
      <c r="D670" s="5" t="s">
        <v>76</v>
      </c>
      <c r="E670" s="5" t="s">
        <v>25</v>
      </c>
      <c r="F670" s="5" t="s">
        <v>26</v>
      </c>
      <c r="G670" s="5" t="s">
        <v>27</v>
      </c>
      <c r="H670" s="5" t="s">
        <v>391</v>
      </c>
      <c r="I670" s="5" t="s">
        <v>392</v>
      </c>
      <c r="J670" s="5" t="s">
        <v>54</v>
      </c>
      <c r="K670" s="5" t="s">
        <v>55</v>
      </c>
      <c r="L670" s="5">
        <v>2</v>
      </c>
      <c r="M670" s="5">
        <v>44675</v>
      </c>
      <c r="N670" s="5">
        <v>5</v>
      </c>
      <c r="O670" s="5">
        <v>84882.5</v>
      </c>
      <c r="P670" s="5">
        <v>66617.23</v>
      </c>
      <c r="Q670" s="5">
        <v>18265.27</v>
      </c>
      <c r="R670" s="5" t="s">
        <v>44</v>
      </c>
      <c r="S670" s="5" t="s">
        <v>82</v>
      </c>
      <c r="T670" s="5" t="s">
        <v>73</v>
      </c>
      <c r="U670" s="5">
        <v>3</v>
      </c>
      <c r="V670" s="5" t="s">
        <v>35</v>
      </c>
    </row>
    <row r="671" spans="1:22" x14ac:dyDescent="0.3">
      <c r="A671" s="5" t="s">
        <v>1198</v>
      </c>
      <c r="B671" s="6">
        <v>46162</v>
      </c>
      <c r="C671" s="5" t="s">
        <v>579</v>
      </c>
      <c r="D671" s="5" t="s">
        <v>89</v>
      </c>
      <c r="E671" s="5" t="s">
        <v>25</v>
      </c>
      <c r="F671" s="5" t="s">
        <v>26</v>
      </c>
      <c r="G671" s="5" t="s">
        <v>27</v>
      </c>
      <c r="H671" s="5" t="s">
        <v>374</v>
      </c>
      <c r="I671" s="5" t="s">
        <v>375</v>
      </c>
      <c r="J671" s="5" t="s">
        <v>54</v>
      </c>
      <c r="K671" s="5" t="s">
        <v>55</v>
      </c>
      <c r="L671" s="5">
        <v>1</v>
      </c>
      <c r="M671" s="5">
        <v>8770</v>
      </c>
      <c r="N671" s="5">
        <v>5</v>
      </c>
      <c r="O671" s="5">
        <v>8331.5</v>
      </c>
      <c r="P671" s="5">
        <v>6856.51</v>
      </c>
      <c r="Q671" s="5">
        <v>1474.99</v>
      </c>
      <c r="R671" s="5" t="s">
        <v>44</v>
      </c>
      <c r="S671" s="5" t="s">
        <v>33</v>
      </c>
      <c r="T671" s="5" t="s">
        <v>34</v>
      </c>
      <c r="U671" s="5">
        <v>3</v>
      </c>
      <c r="V671" s="5" t="s">
        <v>45</v>
      </c>
    </row>
    <row r="672" spans="1:22" x14ac:dyDescent="0.3">
      <c r="A672" s="5" t="s">
        <v>1199</v>
      </c>
      <c r="B672" s="6">
        <v>46032</v>
      </c>
      <c r="C672" s="5" t="s">
        <v>730</v>
      </c>
      <c r="D672" s="5" t="s">
        <v>117</v>
      </c>
      <c r="E672" s="5" t="s">
        <v>77</v>
      </c>
      <c r="F672" s="5" t="s">
        <v>78</v>
      </c>
      <c r="G672" s="5" t="s">
        <v>41</v>
      </c>
      <c r="H672" s="5" t="s">
        <v>189</v>
      </c>
      <c r="I672" s="5" t="s">
        <v>190</v>
      </c>
      <c r="J672" s="5" t="s">
        <v>102</v>
      </c>
      <c r="K672" s="5" t="s">
        <v>103</v>
      </c>
      <c r="L672" s="5">
        <v>3</v>
      </c>
      <c r="M672" s="5">
        <v>33358</v>
      </c>
      <c r="N672" s="5">
        <v>15</v>
      </c>
      <c r="O672" s="5">
        <v>85062.9</v>
      </c>
      <c r="P672" s="5">
        <v>82295.25</v>
      </c>
      <c r="Q672" s="5">
        <v>2767.65</v>
      </c>
      <c r="R672" s="5" t="s">
        <v>32</v>
      </c>
      <c r="S672" s="5" t="s">
        <v>33</v>
      </c>
      <c r="T672" s="5" t="s">
        <v>73</v>
      </c>
      <c r="U672" s="5">
        <v>4</v>
      </c>
      <c r="V672" s="5" t="s">
        <v>45</v>
      </c>
    </row>
    <row r="673" spans="1:22" x14ac:dyDescent="0.3">
      <c r="A673" s="5" t="s">
        <v>1200</v>
      </c>
      <c r="B673" s="6">
        <v>46067</v>
      </c>
      <c r="C673" s="5" t="s">
        <v>1201</v>
      </c>
      <c r="D673" s="5" t="s">
        <v>48</v>
      </c>
      <c r="E673" s="5" t="s">
        <v>49</v>
      </c>
      <c r="F673" s="5" t="s">
        <v>50</v>
      </c>
      <c r="G673" s="5" t="s">
        <v>51</v>
      </c>
      <c r="H673" s="5" t="s">
        <v>406</v>
      </c>
      <c r="I673" s="5" t="s">
        <v>407</v>
      </c>
      <c r="J673" s="5" t="s">
        <v>30</v>
      </c>
      <c r="K673" s="5" t="s">
        <v>31</v>
      </c>
      <c r="L673" s="5">
        <v>3</v>
      </c>
      <c r="M673" s="5">
        <v>21566</v>
      </c>
      <c r="N673" s="5">
        <v>0</v>
      </c>
      <c r="O673" s="5">
        <v>64698</v>
      </c>
      <c r="P673" s="5">
        <v>50586.63</v>
      </c>
      <c r="Q673" s="5">
        <v>14111.37</v>
      </c>
      <c r="R673" s="5" t="s">
        <v>32</v>
      </c>
      <c r="S673" s="5" t="s">
        <v>33</v>
      </c>
      <c r="T673" s="5" t="s">
        <v>73</v>
      </c>
      <c r="U673" s="5">
        <v>4</v>
      </c>
      <c r="V673" s="5" t="s">
        <v>35</v>
      </c>
    </row>
    <row r="674" spans="1:22" x14ac:dyDescent="0.3">
      <c r="A674" s="5" t="s">
        <v>1202</v>
      </c>
      <c r="B674" s="6">
        <v>46032</v>
      </c>
      <c r="C674" s="5" t="s">
        <v>144</v>
      </c>
      <c r="D674" s="5" t="s">
        <v>24</v>
      </c>
      <c r="E674" s="5" t="s">
        <v>49</v>
      </c>
      <c r="F674" s="5" t="s">
        <v>50</v>
      </c>
      <c r="G674" s="5" t="s">
        <v>51</v>
      </c>
      <c r="H674" s="5" t="s">
        <v>135</v>
      </c>
      <c r="I674" s="5" t="s">
        <v>136</v>
      </c>
      <c r="J674" s="5" t="s">
        <v>30</v>
      </c>
      <c r="K674" s="5" t="s">
        <v>31</v>
      </c>
      <c r="L674" s="5">
        <v>3</v>
      </c>
      <c r="M674" s="5">
        <v>25557</v>
      </c>
      <c r="N674" s="5">
        <v>20</v>
      </c>
      <c r="O674" s="5">
        <v>61336.800000000003</v>
      </c>
      <c r="P674" s="5">
        <v>55691.88</v>
      </c>
      <c r="Q674" s="5">
        <v>5644.92</v>
      </c>
      <c r="R674" s="5" t="s">
        <v>32</v>
      </c>
      <c r="S674" s="5" t="s">
        <v>82</v>
      </c>
      <c r="T674" s="5" t="s">
        <v>34</v>
      </c>
      <c r="U674" s="5">
        <v>1</v>
      </c>
      <c r="V674" s="5" t="s">
        <v>35</v>
      </c>
    </row>
    <row r="675" spans="1:22" x14ac:dyDescent="0.3">
      <c r="A675" s="5" t="s">
        <v>1203</v>
      </c>
      <c r="B675" s="6">
        <v>46071</v>
      </c>
      <c r="C675" s="5" t="s">
        <v>351</v>
      </c>
      <c r="D675" s="5" t="s">
        <v>68</v>
      </c>
      <c r="E675" s="5" t="s">
        <v>25</v>
      </c>
      <c r="F675" s="5" t="s">
        <v>26</v>
      </c>
      <c r="G675" s="5" t="s">
        <v>27</v>
      </c>
      <c r="H675" s="5" t="s">
        <v>224</v>
      </c>
      <c r="I675" s="5" t="s">
        <v>225</v>
      </c>
      <c r="J675" s="5" t="s">
        <v>102</v>
      </c>
      <c r="K675" s="5" t="s">
        <v>103</v>
      </c>
      <c r="L675" s="5">
        <v>4</v>
      </c>
      <c r="M675" s="5">
        <v>19266</v>
      </c>
      <c r="N675" s="5">
        <v>5</v>
      </c>
      <c r="O675" s="5">
        <v>73210.8</v>
      </c>
      <c r="P675" s="5">
        <v>45659.37</v>
      </c>
      <c r="Q675" s="5">
        <v>27551.43</v>
      </c>
      <c r="R675" s="5" t="s">
        <v>44</v>
      </c>
      <c r="S675" s="5" t="s">
        <v>82</v>
      </c>
      <c r="T675" s="5" t="s">
        <v>73</v>
      </c>
      <c r="U675" s="5">
        <v>3</v>
      </c>
      <c r="V675" s="5" t="s">
        <v>45</v>
      </c>
    </row>
    <row r="676" spans="1:22" x14ac:dyDescent="0.3">
      <c r="A676" s="5" t="s">
        <v>1204</v>
      </c>
      <c r="B676" s="6">
        <v>46023</v>
      </c>
      <c r="C676" s="5" t="s">
        <v>244</v>
      </c>
      <c r="D676" s="5" t="s">
        <v>38</v>
      </c>
      <c r="E676" s="5" t="s">
        <v>59</v>
      </c>
      <c r="F676" s="5" t="s">
        <v>60</v>
      </c>
      <c r="G676" s="5" t="s">
        <v>61</v>
      </c>
      <c r="H676" s="5" t="s">
        <v>387</v>
      </c>
      <c r="I676" s="5" t="s">
        <v>388</v>
      </c>
      <c r="J676" s="5" t="s">
        <v>54</v>
      </c>
      <c r="K676" s="5" t="s">
        <v>97</v>
      </c>
      <c r="L676" s="5">
        <v>2</v>
      </c>
      <c r="M676" s="5">
        <v>50134</v>
      </c>
      <c r="N676" s="5">
        <v>10</v>
      </c>
      <c r="O676" s="5">
        <v>90241.2</v>
      </c>
      <c r="P676" s="5">
        <v>81549.5</v>
      </c>
      <c r="Q676" s="5">
        <v>8691.7000000000007</v>
      </c>
      <c r="R676" s="5" t="s">
        <v>64</v>
      </c>
      <c r="S676" s="5" t="s">
        <v>33</v>
      </c>
      <c r="T676" s="5" t="s">
        <v>65</v>
      </c>
      <c r="U676" s="5">
        <v>5</v>
      </c>
      <c r="V676" s="5" t="s">
        <v>35</v>
      </c>
    </row>
    <row r="677" spans="1:22" x14ac:dyDescent="0.3">
      <c r="A677" s="5" t="s">
        <v>1205</v>
      </c>
      <c r="B677" s="6">
        <v>46159</v>
      </c>
      <c r="C677" s="5" t="s">
        <v>341</v>
      </c>
      <c r="D677" s="5" t="s">
        <v>24</v>
      </c>
      <c r="E677" s="5" t="s">
        <v>25</v>
      </c>
      <c r="F677" s="5" t="s">
        <v>26</v>
      </c>
      <c r="G677" s="5" t="s">
        <v>27</v>
      </c>
      <c r="H677" s="5" t="s">
        <v>62</v>
      </c>
      <c r="I677" s="5" t="s">
        <v>63</v>
      </c>
      <c r="J677" s="5" t="s">
        <v>54</v>
      </c>
      <c r="K677" s="5" t="s">
        <v>55</v>
      </c>
      <c r="L677" s="5">
        <v>4</v>
      </c>
      <c r="M677" s="5">
        <v>79628</v>
      </c>
      <c r="N677" s="5">
        <v>5</v>
      </c>
      <c r="O677" s="5">
        <v>302586.40000000002</v>
      </c>
      <c r="P677" s="5">
        <v>226939.1</v>
      </c>
      <c r="Q677" s="5">
        <v>75647.3</v>
      </c>
      <c r="R677" s="5" t="s">
        <v>44</v>
      </c>
      <c r="S677" s="5" t="s">
        <v>33</v>
      </c>
      <c r="T677" s="5" t="s">
        <v>34</v>
      </c>
      <c r="U677" s="5">
        <v>4</v>
      </c>
      <c r="V677" s="5" t="s">
        <v>45</v>
      </c>
    </row>
    <row r="678" spans="1:22" x14ac:dyDescent="0.3">
      <c r="A678" s="5" t="s">
        <v>1206</v>
      </c>
      <c r="B678" s="6">
        <v>46106</v>
      </c>
      <c r="C678" s="5" t="s">
        <v>952</v>
      </c>
      <c r="D678" s="5" t="s">
        <v>110</v>
      </c>
      <c r="E678" s="5" t="s">
        <v>25</v>
      </c>
      <c r="F678" s="5" t="s">
        <v>26</v>
      </c>
      <c r="G678" s="5" t="s">
        <v>27</v>
      </c>
      <c r="H678" s="5" t="s">
        <v>277</v>
      </c>
      <c r="I678" s="5" t="s">
        <v>278</v>
      </c>
      <c r="J678" s="5" t="s">
        <v>71</v>
      </c>
      <c r="K678" s="5" t="s">
        <v>81</v>
      </c>
      <c r="L678" s="5">
        <v>2</v>
      </c>
      <c r="M678" s="5">
        <v>4798</v>
      </c>
      <c r="N678" s="5">
        <v>0</v>
      </c>
      <c r="O678" s="5">
        <v>9596</v>
      </c>
      <c r="P678" s="5">
        <v>6007.29</v>
      </c>
      <c r="Q678" s="5">
        <v>3588.71</v>
      </c>
      <c r="R678" s="5" t="s">
        <v>64</v>
      </c>
      <c r="S678" s="5" t="s">
        <v>33</v>
      </c>
      <c r="T678" s="5" t="s">
        <v>73</v>
      </c>
      <c r="U678" s="5">
        <v>5</v>
      </c>
      <c r="V678" s="5" t="s">
        <v>35</v>
      </c>
    </row>
    <row r="679" spans="1:22" x14ac:dyDescent="0.3">
      <c r="A679" s="5" t="s">
        <v>1207</v>
      </c>
      <c r="B679" s="6">
        <v>46034</v>
      </c>
      <c r="C679" s="5" t="s">
        <v>200</v>
      </c>
      <c r="D679" s="5" t="s">
        <v>151</v>
      </c>
      <c r="E679" s="5" t="s">
        <v>59</v>
      </c>
      <c r="F679" s="5" t="s">
        <v>60</v>
      </c>
      <c r="G679" s="5" t="s">
        <v>61</v>
      </c>
      <c r="H679" s="5" t="s">
        <v>295</v>
      </c>
      <c r="I679" s="5" t="s">
        <v>296</v>
      </c>
      <c r="J679" s="5" t="s">
        <v>30</v>
      </c>
      <c r="K679" s="5" t="s">
        <v>31</v>
      </c>
      <c r="L679" s="5">
        <v>2</v>
      </c>
      <c r="M679" s="5">
        <v>65432</v>
      </c>
      <c r="N679" s="5">
        <v>20</v>
      </c>
      <c r="O679" s="5">
        <v>104691.2</v>
      </c>
      <c r="P679" s="5">
        <v>72717.84</v>
      </c>
      <c r="Q679" s="5">
        <v>31973.360000000001</v>
      </c>
      <c r="R679" s="5" t="s">
        <v>44</v>
      </c>
      <c r="S679" s="5" t="s">
        <v>82</v>
      </c>
      <c r="T679" s="5" t="s">
        <v>34</v>
      </c>
      <c r="U679" s="5">
        <v>5</v>
      </c>
      <c r="V679" s="5" t="s">
        <v>45</v>
      </c>
    </row>
    <row r="680" spans="1:22" x14ac:dyDescent="0.3">
      <c r="A680" s="5" t="s">
        <v>1208</v>
      </c>
      <c r="B680" s="6">
        <v>46073</v>
      </c>
      <c r="C680" s="5" t="s">
        <v>383</v>
      </c>
      <c r="D680" s="5" t="s">
        <v>117</v>
      </c>
      <c r="E680" s="5" t="s">
        <v>77</v>
      </c>
      <c r="F680" s="5" t="s">
        <v>78</v>
      </c>
      <c r="G680" s="5" t="s">
        <v>41</v>
      </c>
      <c r="H680" s="5" t="s">
        <v>269</v>
      </c>
      <c r="I680" s="5" t="s">
        <v>270</v>
      </c>
      <c r="J680" s="5" t="s">
        <v>71</v>
      </c>
      <c r="K680" s="5" t="s">
        <v>72</v>
      </c>
      <c r="L680" s="5">
        <v>1</v>
      </c>
      <c r="M680" s="5">
        <v>23213</v>
      </c>
      <c r="N680" s="5">
        <v>15</v>
      </c>
      <c r="O680" s="5">
        <v>19731.05</v>
      </c>
      <c r="P680" s="5">
        <v>14373.8</v>
      </c>
      <c r="Q680" s="5">
        <v>5357.25</v>
      </c>
      <c r="R680" s="5" t="s">
        <v>32</v>
      </c>
      <c r="S680" s="5" t="s">
        <v>82</v>
      </c>
      <c r="T680" s="5" t="s">
        <v>73</v>
      </c>
      <c r="U680" s="5">
        <v>2</v>
      </c>
      <c r="V680" s="5" t="s">
        <v>35</v>
      </c>
    </row>
    <row r="681" spans="1:22" x14ac:dyDescent="0.3">
      <c r="A681" s="5" t="s">
        <v>1209</v>
      </c>
      <c r="B681" s="6">
        <v>46191</v>
      </c>
      <c r="C681" s="5" t="s">
        <v>751</v>
      </c>
      <c r="D681" s="5" t="s">
        <v>110</v>
      </c>
      <c r="E681" s="5" t="s">
        <v>77</v>
      </c>
      <c r="F681" s="5" t="s">
        <v>78</v>
      </c>
      <c r="G681" s="5" t="s">
        <v>41</v>
      </c>
      <c r="H681" s="5" t="s">
        <v>168</v>
      </c>
      <c r="I681" s="5" t="s">
        <v>169</v>
      </c>
      <c r="J681" s="5" t="s">
        <v>102</v>
      </c>
      <c r="K681" s="5" t="s">
        <v>103</v>
      </c>
      <c r="L681" s="5">
        <v>1</v>
      </c>
      <c r="M681" s="5">
        <v>59089</v>
      </c>
      <c r="N681" s="5">
        <v>0</v>
      </c>
      <c r="O681" s="5">
        <v>59089</v>
      </c>
      <c r="P681" s="5">
        <v>46707.3</v>
      </c>
      <c r="Q681" s="5">
        <v>12381.7</v>
      </c>
      <c r="R681" s="5" t="s">
        <v>44</v>
      </c>
      <c r="S681" s="5" t="s">
        <v>33</v>
      </c>
      <c r="T681" s="5" t="s">
        <v>65</v>
      </c>
      <c r="U681" s="5">
        <v>2</v>
      </c>
      <c r="V681" s="5" t="s">
        <v>35</v>
      </c>
    </row>
    <row r="682" spans="1:22" x14ac:dyDescent="0.3">
      <c r="A682" s="5" t="s">
        <v>1210</v>
      </c>
      <c r="B682" s="6">
        <v>46041</v>
      </c>
      <c r="C682" s="5" t="s">
        <v>423</v>
      </c>
      <c r="D682" s="5" t="s">
        <v>151</v>
      </c>
      <c r="E682" s="5" t="s">
        <v>25</v>
      </c>
      <c r="F682" s="5" t="s">
        <v>26</v>
      </c>
      <c r="G682" s="5" t="s">
        <v>27</v>
      </c>
      <c r="H682" s="5" t="s">
        <v>363</v>
      </c>
      <c r="I682" s="5" t="s">
        <v>364</v>
      </c>
      <c r="J682" s="5" t="s">
        <v>54</v>
      </c>
      <c r="K682" s="5" t="s">
        <v>55</v>
      </c>
      <c r="L682" s="5">
        <v>1</v>
      </c>
      <c r="M682" s="5">
        <v>16688</v>
      </c>
      <c r="N682" s="5">
        <v>5</v>
      </c>
      <c r="O682" s="5">
        <v>15853.6</v>
      </c>
      <c r="P682" s="5">
        <v>12903.85</v>
      </c>
      <c r="Q682" s="5">
        <v>2949.75</v>
      </c>
      <c r="R682" s="5" t="s">
        <v>64</v>
      </c>
      <c r="S682" s="5" t="s">
        <v>33</v>
      </c>
      <c r="T682" s="5" t="s">
        <v>73</v>
      </c>
      <c r="U682" s="5">
        <v>3</v>
      </c>
      <c r="V682" s="5" t="s">
        <v>45</v>
      </c>
    </row>
    <row r="683" spans="1:22" x14ac:dyDescent="0.3">
      <c r="A683" s="5" t="s">
        <v>1211</v>
      </c>
      <c r="B683" s="6">
        <v>46036</v>
      </c>
      <c r="C683" s="5" t="s">
        <v>337</v>
      </c>
      <c r="D683" s="5" t="s">
        <v>76</v>
      </c>
      <c r="E683" s="5" t="s">
        <v>77</v>
      </c>
      <c r="F683" s="5" t="s">
        <v>78</v>
      </c>
      <c r="G683" s="5" t="s">
        <v>41</v>
      </c>
      <c r="H683" s="5" t="s">
        <v>447</v>
      </c>
      <c r="I683" s="5" t="s">
        <v>448</v>
      </c>
      <c r="J683" s="5" t="s">
        <v>71</v>
      </c>
      <c r="K683" s="5" t="s">
        <v>72</v>
      </c>
      <c r="L683" s="5">
        <v>3</v>
      </c>
      <c r="M683" s="5">
        <v>77469</v>
      </c>
      <c r="N683" s="5">
        <v>20</v>
      </c>
      <c r="O683" s="5">
        <v>185925.6</v>
      </c>
      <c r="P683" s="5">
        <v>192303.07</v>
      </c>
      <c r="Q683" s="5">
        <v>-6377.47</v>
      </c>
      <c r="R683" s="5" t="s">
        <v>32</v>
      </c>
      <c r="S683" s="5" t="s">
        <v>82</v>
      </c>
      <c r="T683" s="5" t="s">
        <v>65</v>
      </c>
      <c r="U683" s="5">
        <v>2</v>
      </c>
      <c r="V683" s="5" t="s">
        <v>35</v>
      </c>
    </row>
    <row r="684" spans="1:22" x14ac:dyDescent="0.3">
      <c r="A684" s="5" t="s">
        <v>1212</v>
      </c>
      <c r="B684" s="6">
        <v>46057</v>
      </c>
      <c r="C684" s="5" t="s">
        <v>650</v>
      </c>
      <c r="D684" s="5" t="s">
        <v>117</v>
      </c>
      <c r="E684" s="5" t="s">
        <v>59</v>
      </c>
      <c r="F684" s="5" t="s">
        <v>60</v>
      </c>
      <c r="G684" s="5" t="s">
        <v>61</v>
      </c>
      <c r="H684" s="5" t="s">
        <v>135</v>
      </c>
      <c r="I684" s="5" t="s">
        <v>136</v>
      </c>
      <c r="J684" s="5" t="s">
        <v>30</v>
      </c>
      <c r="K684" s="5" t="s">
        <v>31</v>
      </c>
      <c r="L684" s="5">
        <v>1</v>
      </c>
      <c r="M684" s="5">
        <v>30921</v>
      </c>
      <c r="N684" s="5">
        <v>20</v>
      </c>
      <c r="O684" s="5">
        <v>24736.799999999999</v>
      </c>
      <c r="P684" s="5">
        <v>26067.97</v>
      </c>
      <c r="Q684" s="5">
        <v>-1331.17</v>
      </c>
      <c r="R684" s="5" t="s">
        <v>64</v>
      </c>
      <c r="S684" s="5" t="s">
        <v>82</v>
      </c>
      <c r="T684" s="5" t="s">
        <v>65</v>
      </c>
      <c r="U684" s="5">
        <v>2</v>
      </c>
      <c r="V684" s="5" t="s">
        <v>45</v>
      </c>
    </row>
    <row r="685" spans="1:22" x14ac:dyDescent="0.3">
      <c r="A685" s="5" t="s">
        <v>1213</v>
      </c>
      <c r="B685" s="6">
        <v>46171</v>
      </c>
      <c r="C685" s="5" t="s">
        <v>656</v>
      </c>
      <c r="D685" s="5" t="s">
        <v>151</v>
      </c>
      <c r="E685" s="5" t="s">
        <v>59</v>
      </c>
      <c r="F685" s="5" t="s">
        <v>60</v>
      </c>
      <c r="G685" s="5" t="s">
        <v>61</v>
      </c>
      <c r="H685" s="5" t="s">
        <v>231</v>
      </c>
      <c r="I685" s="5" t="s">
        <v>232</v>
      </c>
      <c r="J685" s="5" t="s">
        <v>54</v>
      </c>
      <c r="K685" s="5" t="s">
        <v>97</v>
      </c>
      <c r="L685" s="5">
        <v>3</v>
      </c>
      <c r="M685" s="5">
        <v>64569</v>
      </c>
      <c r="N685" s="5">
        <v>15</v>
      </c>
      <c r="O685" s="5">
        <v>164650.95000000001</v>
      </c>
      <c r="P685" s="5">
        <v>129651.33</v>
      </c>
      <c r="Q685" s="5">
        <v>34999.620000000003</v>
      </c>
      <c r="R685" s="5" t="s">
        <v>32</v>
      </c>
      <c r="S685" s="5" t="s">
        <v>33</v>
      </c>
      <c r="T685" s="5" t="s">
        <v>73</v>
      </c>
      <c r="U685" s="5">
        <v>1</v>
      </c>
      <c r="V685" s="5" t="s">
        <v>35</v>
      </c>
    </row>
    <row r="686" spans="1:22" x14ac:dyDescent="0.3">
      <c r="A686" s="5" t="s">
        <v>1214</v>
      </c>
      <c r="B686" s="6">
        <v>46156</v>
      </c>
      <c r="C686" s="5" t="s">
        <v>738</v>
      </c>
      <c r="D686" s="5" t="s">
        <v>89</v>
      </c>
      <c r="E686" s="5" t="s">
        <v>77</v>
      </c>
      <c r="F686" s="5" t="s">
        <v>78</v>
      </c>
      <c r="G686" s="5" t="s">
        <v>41</v>
      </c>
      <c r="H686" s="5" t="s">
        <v>127</v>
      </c>
      <c r="I686" s="5" t="s">
        <v>128</v>
      </c>
      <c r="J686" s="5" t="s">
        <v>102</v>
      </c>
      <c r="K686" s="5" t="s">
        <v>103</v>
      </c>
      <c r="L686" s="5">
        <v>4</v>
      </c>
      <c r="M686" s="5">
        <v>24659</v>
      </c>
      <c r="N686" s="5">
        <v>20</v>
      </c>
      <c r="O686" s="5">
        <v>78908.800000000003</v>
      </c>
      <c r="P686" s="5">
        <v>80528.490000000005</v>
      </c>
      <c r="Q686" s="5">
        <v>-1619.69</v>
      </c>
      <c r="R686" s="5" t="s">
        <v>44</v>
      </c>
      <c r="S686" s="5" t="s">
        <v>33</v>
      </c>
      <c r="T686" s="5" t="s">
        <v>34</v>
      </c>
      <c r="U686" s="5">
        <v>4</v>
      </c>
      <c r="V686" s="5" t="s">
        <v>35</v>
      </c>
    </row>
    <row r="687" spans="1:22" x14ac:dyDescent="0.3">
      <c r="A687" s="5" t="s">
        <v>1215</v>
      </c>
      <c r="B687" s="6">
        <v>46134</v>
      </c>
      <c r="C687" s="5" t="s">
        <v>811</v>
      </c>
      <c r="D687" s="5" t="s">
        <v>110</v>
      </c>
      <c r="E687" s="5" t="s">
        <v>59</v>
      </c>
      <c r="F687" s="5" t="s">
        <v>60</v>
      </c>
      <c r="G687" s="5" t="s">
        <v>61</v>
      </c>
      <c r="H687" s="5" t="s">
        <v>541</v>
      </c>
      <c r="I687" s="5" t="s">
        <v>542</v>
      </c>
      <c r="J687" s="5" t="s">
        <v>54</v>
      </c>
      <c r="K687" s="5" t="s">
        <v>55</v>
      </c>
      <c r="L687" s="5">
        <v>4</v>
      </c>
      <c r="M687" s="5">
        <v>10814</v>
      </c>
      <c r="N687" s="5">
        <v>0</v>
      </c>
      <c r="O687" s="5">
        <v>43256</v>
      </c>
      <c r="P687" s="5">
        <v>25785.3</v>
      </c>
      <c r="Q687" s="5">
        <v>17470.7</v>
      </c>
      <c r="R687" s="5" t="s">
        <v>44</v>
      </c>
      <c r="S687" s="5" t="s">
        <v>33</v>
      </c>
      <c r="T687" s="5" t="s">
        <v>34</v>
      </c>
      <c r="U687" s="5">
        <v>4</v>
      </c>
      <c r="V687" s="5" t="s">
        <v>45</v>
      </c>
    </row>
    <row r="688" spans="1:22" x14ac:dyDescent="0.3">
      <c r="A688" s="5" t="s">
        <v>1216</v>
      </c>
      <c r="B688" s="6">
        <v>46094</v>
      </c>
      <c r="C688" s="5" t="s">
        <v>751</v>
      </c>
      <c r="D688" s="5" t="s">
        <v>24</v>
      </c>
      <c r="E688" s="5" t="s">
        <v>25</v>
      </c>
      <c r="F688" s="5" t="s">
        <v>26</v>
      </c>
      <c r="G688" s="5" t="s">
        <v>27</v>
      </c>
      <c r="H688" s="5" t="s">
        <v>213</v>
      </c>
      <c r="I688" s="5" t="s">
        <v>214</v>
      </c>
      <c r="J688" s="5" t="s">
        <v>54</v>
      </c>
      <c r="K688" s="5" t="s">
        <v>97</v>
      </c>
      <c r="L688" s="5">
        <v>5</v>
      </c>
      <c r="M688" s="5">
        <v>75427</v>
      </c>
      <c r="N688" s="5">
        <v>10</v>
      </c>
      <c r="O688" s="5">
        <v>339421.5</v>
      </c>
      <c r="P688" s="5">
        <v>271399.98</v>
      </c>
      <c r="Q688" s="5">
        <v>68021.52</v>
      </c>
      <c r="R688" s="5" t="s">
        <v>44</v>
      </c>
      <c r="S688" s="5" t="s">
        <v>33</v>
      </c>
      <c r="T688" s="5" t="s">
        <v>65</v>
      </c>
      <c r="U688" s="5">
        <v>1</v>
      </c>
      <c r="V688" s="5" t="s">
        <v>35</v>
      </c>
    </row>
    <row r="689" spans="1:22" x14ac:dyDescent="0.3">
      <c r="A689" s="5" t="s">
        <v>1217</v>
      </c>
      <c r="B689" s="6">
        <v>46030</v>
      </c>
      <c r="C689" s="5" t="s">
        <v>179</v>
      </c>
      <c r="D689" s="5" t="s">
        <v>89</v>
      </c>
      <c r="E689" s="5" t="s">
        <v>77</v>
      </c>
      <c r="F689" s="5" t="s">
        <v>78</v>
      </c>
      <c r="G689" s="5" t="s">
        <v>41</v>
      </c>
      <c r="H689" s="5" t="s">
        <v>486</v>
      </c>
      <c r="I689" s="5" t="s">
        <v>487</v>
      </c>
      <c r="J689" s="5" t="s">
        <v>71</v>
      </c>
      <c r="K689" s="5" t="s">
        <v>81</v>
      </c>
      <c r="L689" s="5">
        <v>4</v>
      </c>
      <c r="M689" s="5">
        <v>79248</v>
      </c>
      <c r="N689" s="5">
        <v>5</v>
      </c>
      <c r="O689" s="5">
        <v>301142.40000000002</v>
      </c>
      <c r="P689" s="5">
        <v>234549.31</v>
      </c>
      <c r="Q689" s="5">
        <v>66593.09</v>
      </c>
      <c r="R689" s="5" t="s">
        <v>44</v>
      </c>
      <c r="S689" s="5" t="s">
        <v>33</v>
      </c>
      <c r="T689" s="5" t="s">
        <v>73</v>
      </c>
      <c r="U689" s="5">
        <v>2</v>
      </c>
      <c r="V689" s="5" t="s">
        <v>45</v>
      </c>
    </row>
    <row r="690" spans="1:22" x14ac:dyDescent="0.3">
      <c r="A690" s="5" t="s">
        <v>1218</v>
      </c>
      <c r="B690" s="6">
        <v>46096</v>
      </c>
      <c r="C690" s="5" t="s">
        <v>1070</v>
      </c>
      <c r="D690" s="5" t="s">
        <v>68</v>
      </c>
      <c r="E690" s="5" t="s">
        <v>59</v>
      </c>
      <c r="F690" s="5" t="s">
        <v>60</v>
      </c>
      <c r="G690" s="5" t="s">
        <v>61</v>
      </c>
      <c r="H690" s="5" t="s">
        <v>113</v>
      </c>
      <c r="I690" s="5" t="s">
        <v>114</v>
      </c>
      <c r="J690" s="5" t="s">
        <v>102</v>
      </c>
      <c r="K690" s="5" t="s">
        <v>103</v>
      </c>
      <c r="L690" s="5">
        <v>3</v>
      </c>
      <c r="M690" s="5">
        <v>67874</v>
      </c>
      <c r="N690" s="5">
        <v>15</v>
      </c>
      <c r="O690" s="5">
        <v>173078.7</v>
      </c>
      <c r="P690" s="5">
        <v>136367.01</v>
      </c>
      <c r="Q690" s="5">
        <v>36711.69</v>
      </c>
      <c r="R690" s="5" t="s">
        <v>64</v>
      </c>
      <c r="S690" s="5" t="s">
        <v>82</v>
      </c>
      <c r="T690" s="5" t="s">
        <v>34</v>
      </c>
      <c r="U690" s="5">
        <v>3</v>
      </c>
      <c r="V690" s="5" t="s">
        <v>35</v>
      </c>
    </row>
    <row r="691" spans="1:22" x14ac:dyDescent="0.3">
      <c r="A691" s="5" t="s">
        <v>1219</v>
      </c>
      <c r="B691" s="6">
        <v>46198</v>
      </c>
      <c r="C691" s="5" t="s">
        <v>1158</v>
      </c>
      <c r="D691" s="5" t="s">
        <v>89</v>
      </c>
      <c r="E691" s="5" t="s">
        <v>94</v>
      </c>
      <c r="F691" s="5" t="s">
        <v>26</v>
      </c>
      <c r="G691" s="5" t="s">
        <v>27</v>
      </c>
      <c r="H691" s="5" t="s">
        <v>284</v>
      </c>
      <c r="I691" s="5" t="s">
        <v>285</v>
      </c>
      <c r="J691" s="5" t="s">
        <v>54</v>
      </c>
      <c r="K691" s="5" t="s">
        <v>55</v>
      </c>
      <c r="L691" s="5">
        <v>3</v>
      </c>
      <c r="M691" s="5">
        <v>43432</v>
      </c>
      <c r="N691" s="5">
        <v>20</v>
      </c>
      <c r="O691" s="5">
        <v>104236.8</v>
      </c>
      <c r="P691" s="5">
        <v>110709.67</v>
      </c>
      <c r="Q691" s="5">
        <v>-6472.87</v>
      </c>
      <c r="R691" s="5" t="s">
        <v>32</v>
      </c>
      <c r="S691" s="5" t="s">
        <v>33</v>
      </c>
      <c r="T691" s="5" t="s">
        <v>73</v>
      </c>
      <c r="U691" s="5">
        <v>2</v>
      </c>
      <c r="V691" s="5" t="s">
        <v>35</v>
      </c>
    </row>
    <row r="692" spans="1:22" x14ac:dyDescent="0.3">
      <c r="A692" s="5" t="s">
        <v>1220</v>
      </c>
      <c r="B692" s="6">
        <v>46173</v>
      </c>
      <c r="C692" s="5" t="s">
        <v>1027</v>
      </c>
      <c r="D692" s="5" t="s">
        <v>110</v>
      </c>
      <c r="E692" s="5" t="s">
        <v>77</v>
      </c>
      <c r="F692" s="5" t="s">
        <v>78</v>
      </c>
      <c r="G692" s="5" t="s">
        <v>41</v>
      </c>
      <c r="H692" s="5" t="s">
        <v>546</v>
      </c>
      <c r="I692" s="5" t="s">
        <v>547</v>
      </c>
      <c r="J692" s="5" t="s">
        <v>71</v>
      </c>
      <c r="K692" s="5" t="s">
        <v>81</v>
      </c>
      <c r="L692" s="5">
        <v>1</v>
      </c>
      <c r="M692" s="5">
        <v>33319</v>
      </c>
      <c r="N692" s="5">
        <v>0</v>
      </c>
      <c r="O692" s="5">
        <v>33319</v>
      </c>
      <c r="P692" s="5">
        <v>18770.84</v>
      </c>
      <c r="Q692" s="5">
        <v>14548.16</v>
      </c>
      <c r="R692" s="5" t="s">
        <v>44</v>
      </c>
      <c r="S692" s="5" t="s">
        <v>82</v>
      </c>
      <c r="T692" s="5" t="s">
        <v>65</v>
      </c>
      <c r="U692" s="5">
        <v>3</v>
      </c>
      <c r="V692" s="5" t="s">
        <v>45</v>
      </c>
    </row>
    <row r="693" spans="1:22" x14ac:dyDescent="0.3">
      <c r="A693" s="5" t="s">
        <v>1221</v>
      </c>
      <c r="B693" s="6">
        <v>46138</v>
      </c>
      <c r="C693" s="5" t="s">
        <v>1222</v>
      </c>
      <c r="D693" s="5" t="s">
        <v>48</v>
      </c>
      <c r="E693" s="5" t="s">
        <v>39</v>
      </c>
      <c r="F693" s="5" t="s">
        <v>40</v>
      </c>
      <c r="G693" s="5" t="s">
        <v>41</v>
      </c>
      <c r="H693" s="5" t="s">
        <v>118</v>
      </c>
      <c r="I693" s="5" t="s">
        <v>119</v>
      </c>
      <c r="J693" s="5" t="s">
        <v>54</v>
      </c>
      <c r="K693" s="5" t="s">
        <v>97</v>
      </c>
      <c r="L693" s="5">
        <v>2</v>
      </c>
      <c r="M693" s="5">
        <v>63899</v>
      </c>
      <c r="N693" s="5">
        <v>10</v>
      </c>
      <c r="O693" s="5">
        <v>115018.2</v>
      </c>
      <c r="P693" s="5">
        <v>88779.77</v>
      </c>
      <c r="Q693" s="5">
        <v>26238.43</v>
      </c>
      <c r="R693" s="5" t="s">
        <v>64</v>
      </c>
      <c r="S693" s="5" t="s">
        <v>33</v>
      </c>
      <c r="T693" s="5" t="s">
        <v>65</v>
      </c>
      <c r="U693" s="5">
        <v>5</v>
      </c>
      <c r="V693" s="5" t="s">
        <v>45</v>
      </c>
    </row>
    <row r="694" spans="1:22" x14ac:dyDescent="0.3">
      <c r="A694" s="5" t="s">
        <v>1223</v>
      </c>
      <c r="B694" s="6">
        <v>46167</v>
      </c>
      <c r="C694" s="5" t="s">
        <v>650</v>
      </c>
      <c r="D694" s="5" t="s">
        <v>151</v>
      </c>
      <c r="E694" s="5" t="s">
        <v>77</v>
      </c>
      <c r="F694" s="5" t="s">
        <v>78</v>
      </c>
      <c r="G694" s="5" t="s">
        <v>41</v>
      </c>
      <c r="H694" s="5" t="s">
        <v>759</v>
      </c>
      <c r="I694" s="5" t="s">
        <v>760</v>
      </c>
      <c r="J694" s="5" t="s">
        <v>71</v>
      </c>
      <c r="K694" s="5" t="s">
        <v>72</v>
      </c>
      <c r="L694" s="5">
        <v>4</v>
      </c>
      <c r="M694" s="5">
        <v>43697</v>
      </c>
      <c r="N694" s="5">
        <v>5</v>
      </c>
      <c r="O694" s="5">
        <v>166048.6</v>
      </c>
      <c r="P694" s="5">
        <v>107368.28</v>
      </c>
      <c r="Q694" s="5">
        <v>58680.32</v>
      </c>
      <c r="R694" s="5" t="s">
        <v>32</v>
      </c>
      <c r="S694" s="5" t="s">
        <v>33</v>
      </c>
      <c r="T694" s="5" t="s">
        <v>65</v>
      </c>
      <c r="U694" s="5">
        <v>5</v>
      </c>
      <c r="V694" s="5" t="s">
        <v>35</v>
      </c>
    </row>
    <row r="695" spans="1:22" x14ac:dyDescent="0.3">
      <c r="A695" s="5" t="s">
        <v>1224</v>
      </c>
      <c r="B695" s="6">
        <v>46072</v>
      </c>
      <c r="C695" s="5" t="s">
        <v>436</v>
      </c>
      <c r="D695" s="5" t="s">
        <v>48</v>
      </c>
      <c r="E695" s="5" t="s">
        <v>49</v>
      </c>
      <c r="F695" s="5" t="s">
        <v>50</v>
      </c>
      <c r="G695" s="5" t="s">
        <v>51</v>
      </c>
      <c r="H695" s="5" t="s">
        <v>245</v>
      </c>
      <c r="I695" s="5" t="s">
        <v>246</v>
      </c>
      <c r="J695" s="5" t="s">
        <v>54</v>
      </c>
      <c r="K695" s="5" t="s">
        <v>97</v>
      </c>
      <c r="L695" s="5">
        <v>3</v>
      </c>
      <c r="M695" s="5">
        <v>32709</v>
      </c>
      <c r="N695" s="5">
        <v>5</v>
      </c>
      <c r="O695" s="5">
        <v>93220.65</v>
      </c>
      <c r="P695" s="5">
        <v>72970.240000000005</v>
      </c>
      <c r="Q695" s="5">
        <v>20250.41</v>
      </c>
      <c r="R695" s="5" t="s">
        <v>64</v>
      </c>
      <c r="S695" s="5" t="s">
        <v>82</v>
      </c>
      <c r="T695" s="5" t="s">
        <v>73</v>
      </c>
      <c r="U695" s="5">
        <v>3</v>
      </c>
      <c r="V695" s="5" t="s">
        <v>45</v>
      </c>
    </row>
    <row r="696" spans="1:22" x14ac:dyDescent="0.3">
      <c r="A696" s="5" t="s">
        <v>1225</v>
      </c>
      <c r="B696" s="6">
        <v>46136</v>
      </c>
      <c r="C696" s="5" t="s">
        <v>362</v>
      </c>
      <c r="D696" s="5" t="s">
        <v>117</v>
      </c>
      <c r="E696" s="5" t="s">
        <v>59</v>
      </c>
      <c r="F696" s="5" t="s">
        <v>60</v>
      </c>
      <c r="G696" s="5" t="s">
        <v>61</v>
      </c>
      <c r="H696" s="5" t="s">
        <v>180</v>
      </c>
      <c r="I696" s="5" t="s">
        <v>181</v>
      </c>
      <c r="J696" s="5" t="s">
        <v>54</v>
      </c>
      <c r="K696" s="5" t="s">
        <v>55</v>
      </c>
      <c r="L696" s="5">
        <v>4</v>
      </c>
      <c r="M696" s="5">
        <v>37517</v>
      </c>
      <c r="N696" s="5">
        <v>10</v>
      </c>
      <c r="O696" s="5">
        <v>135061.20000000001</v>
      </c>
      <c r="P696" s="5">
        <v>114160.52</v>
      </c>
      <c r="Q696" s="5">
        <v>20900.68</v>
      </c>
      <c r="R696" s="5" t="s">
        <v>32</v>
      </c>
      <c r="S696" s="5" t="s">
        <v>82</v>
      </c>
      <c r="T696" s="5" t="s">
        <v>65</v>
      </c>
      <c r="U696" s="5">
        <v>4</v>
      </c>
      <c r="V696" s="5" t="s">
        <v>45</v>
      </c>
    </row>
    <row r="697" spans="1:22" x14ac:dyDescent="0.3">
      <c r="A697" s="5" t="s">
        <v>1226</v>
      </c>
      <c r="B697" s="6">
        <v>46167</v>
      </c>
      <c r="C697" s="5" t="s">
        <v>252</v>
      </c>
      <c r="D697" s="5" t="s">
        <v>151</v>
      </c>
      <c r="E697" s="5" t="s">
        <v>94</v>
      </c>
      <c r="F697" s="5" t="s">
        <v>26</v>
      </c>
      <c r="G697" s="5" t="s">
        <v>27</v>
      </c>
      <c r="H697" s="5" t="s">
        <v>79</v>
      </c>
      <c r="I697" s="5" t="s">
        <v>80</v>
      </c>
      <c r="J697" s="5" t="s">
        <v>71</v>
      </c>
      <c r="K697" s="5" t="s">
        <v>81</v>
      </c>
      <c r="L697" s="5">
        <v>1</v>
      </c>
      <c r="M697" s="5">
        <v>41037</v>
      </c>
      <c r="N697" s="5">
        <v>10</v>
      </c>
      <c r="O697" s="5">
        <v>36933.300000000003</v>
      </c>
      <c r="P697" s="5">
        <v>28083.32</v>
      </c>
      <c r="Q697" s="5">
        <v>8849.98</v>
      </c>
      <c r="R697" s="5" t="s">
        <v>44</v>
      </c>
      <c r="S697" s="5" t="s">
        <v>82</v>
      </c>
      <c r="T697" s="5" t="s">
        <v>34</v>
      </c>
      <c r="U697" s="5">
        <v>3</v>
      </c>
      <c r="V697" s="5" t="s">
        <v>35</v>
      </c>
    </row>
    <row r="698" spans="1:22" x14ac:dyDescent="0.3">
      <c r="A698" s="5" t="s">
        <v>1227</v>
      </c>
      <c r="B698" s="6">
        <v>46123</v>
      </c>
      <c r="C698" s="5" t="s">
        <v>939</v>
      </c>
      <c r="D698" s="5" t="s">
        <v>48</v>
      </c>
      <c r="E698" s="5" t="s">
        <v>59</v>
      </c>
      <c r="F698" s="5" t="s">
        <v>60</v>
      </c>
      <c r="G698" s="5" t="s">
        <v>61</v>
      </c>
      <c r="H698" s="5" t="s">
        <v>152</v>
      </c>
      <c r="I698" s="5" t="s">
        <v>153</v>
      </c>
      <c r="J698" s="5" t="s">
        <v>54</v>
      </c>
      <c r="K698" s="5" t="s">
        <v>97</v>
      </c>
      <c r="L698" s="5">
        <v>2</v>
      </c>
      <c r="M698" s="5">
        <v>71218</v>
      </c>
      <c r="N698" s="5">
        <v>5</v>
      </c>
      <c r="O698" s="5">
        <v>135314.20000000001</v>
      </c>
      <c r="P698" s="5">
        <v>91420.4</v>
      </c>
      <c r="Q698" s="5">
        <v>43893.8</v>
      </c>
      <c r="R698" s="5" t="s">
        <v>32</v>
      </c>
      <c r="S698" s="5" t="s">
        <v>33</v>
      </c>
      <c r="T698" s="5" t="s">
        <v>34</v>
      </c>
      <c r="U698" s="5">
        <v>1</v>
      </c>
      <c r="V698" s="5" t="s">
        <v>45</v>
      </c>
    </row>
    <row r="699" spans="1:22" x14ac:dyDescent="0.3">
      <c r="A699" s="5" t="s">
        <v>1228</v>
      </c>
      <c r="B699" s="6">
        <v>46079</v>
      </c>
      <c r="C699" s="5" t="s">
        <v>725</v>
      </c>
      <c r="D699" s="5" t="s">
        <v>38</v>
      </c>
      <c r="E699" s="5" t="s">
        <v>126</v>
      </c>
      <c r="F699" s="5" t="s">
        <v>126</v>
      </c>
      <c r="G699" s="5" t="s">
        <v>51</v>
      </c>
      <c r="H699" s="5" t="s">
        <v>147</v>
      </c>
      <c r="I699" s="5" t="s">
        <v>148</v>
      </c>
      <c r="J699" s="5" t="s">
        <v>71</v>
      </c>
      <c r="K699" s="5" t="s">
        <v>81</v>
      </c>
      <c r="L699" s="5">
        <v>1</v>
      </c>
      <c r="M699" s="5">
        <v>29078</v>
      </c>
      <c r="N699" s="5">
        <v>20</v>
      </c>
      <c r="O699" s="5">
        <v>23262.400000000001</v>
      </c>
      <c r="P699" s="5">
        <v>16712.810000000001</v>
      </c>
      <c r="Q699" s="5">
        <v>6549.59</v>
      </c>
      <c r="R699" s="5" t="s">
        <v>64</v>
      </c>
      <c r="S699" s="5" t="s">
        <v>82</v>
      </c>
      <c r="T699" s="5" t="s">
        <v>73</v>
      </c>
      <c r="U699" s="5">
        <v>5</v>
      </c>
      <c r="V699" s="5" t="s">
        <v>35</v>
      </c>
    </row>
    <row r="700" spans="1:22" x14ac:dyDescent="0.3">
      <c r="A700" s="5" t="s">
        <v>1229</v>
      </c>
      <c r="B700" s="6">
        <v>46028</v>
      </c>
      <c r="C700" s="5" t="s">
        <v>815</v>
      </c>
      <c r="D700" s="5" t="s">
        <v>76</v>
      </c>
      <c r="E700" s="5" t="s">
        <v>49</v>
      </c>
      <c r="F700" s="5" t="s">
        <v>50</v>
      </c>
      <c r="G700" s="5" t="s">
        <v>51</v>
      </c>
      <c r="H700" s="5" t="s">
        <v>504</v>
      </c>
      <c r="I700" s="5" t="s">
        <v>505</v>
      </c>
      <c r="J700" s="5" t="s">
        <v>54</v>
      </c>
      <c r="K700" s="5" t="s">
        <v>55</v>
      </c>
      <c r="L700" s="5">
        <v>4</v>
      </c>
      <c r="M700" s="5">
        <v>70393</v>
      </c>
      <c r="N700" s="5">
        <v>20</v>
      </c>
      <c r="O700" s="5">
        <v>225257.60000000001</v>
      </c>
      <c r="P700" s="5">
        <v>235894.59</v>
      </c>
      <c r="Q700" s="5">
        <v>-10636.99</v>
      </c>
      <c r="R700" s="5" t="s">
        <v>44</v>
      </c>
      <c r="S700" s="5" t="s">
        <v>82</v>
      </c>
      <c r="T700" s="5" t="s">
        <v>65</v>
      </c>
      <c r="U700" s="5">
        <v>5</v>
      </c>
      <c r="V700" s="5" t="s">
        <v>35</v>
      </c>
    </row>
    <row r="701" spans="1:22" x14ac:dyDescent="0.3">
      <c r="A701" s="5" t="s">
        <v>1230</v>
      </c>
      <c r="B701" s="6">
        <v>46035</v>
      </c>
      <c r="C701" s="5" t="s">
        <v>597</v>
      </c>
      <c r="D701" s="5" t="s">
        <v>151</v>
      </c>
      <c r="E701" s="5" t="s">
        <v>39</v>
      </c>
      <c r="F701" s="5" t="s">
        <v>40</v>
      </c>
      <c r="G701" s="5" t="s">
        <v>41</v>
      </c>
      <c r="H701" s="5" t="s">
        <v>306</v>
      </c>
      <c r="I701" s="5" t="s">
        <v>307</v>
      </c>
      <c r="J701" s="5" t="s">
        <v>71</v>
      </c>
      <c r="K701" s="5" t="s">
        <v>81</v>
      </c>
      <c r="L701" s="5">
        <v>3</v>
      </c>
      <c r="M701" s="5">
        <v>55381</v>
      </c>
      <c r="N701" s="5">
        <v>5</v>
      </c>
      <c r="O701" s="5">
        <v>157835.85</v>
      </c>
      <c r="P701" s="5">
        <v>96970.97</v>
      </c>
      <c r="Q701" s="5">
        <v>60864.88</v>
      </c>
      <c r="R701" s="5" t="s">
        <v>44</v>
      </c>
      <c r="S701" s="5" t="s">
        <v>33</v>
      </c>
      <c r="T701" s="5" t="s">
        <v>65</v>
      </c>
      <c r="U701" s="5">
        <v>5</v>
      </c>
      <c r="V701" s="5" t="s">
        <v>35</v>
      </c>
    </row>
    <row r="702" spans="1:22" x14ac:dyDescent="0.3">
      <c r="A702" s="5" t="s">
        <v>1231</v>
      </c>
      <c r="B702" s="6">
        <v>46056</v>
      </c>
      <c r="C702" s="5" t="s">
        <v>783</v>
      </c>
      <c r="D702" s="5" t="s">
        <v>151</v>
      </c>
      <c r="E702" s="5" t="s">
        <v>77</v>
      </c>
      <c r="F702" s="5" t="s">
        <v>78</v>
      </c>
      <c r="G702" s="5" t="s">
        <v>41</v>
      </c>
      <c r="H702" s="5" t="s">
        <v>131</v>
      </c>
      <c r="I702" s="5" t="s">
        <v>132</v>
      </c>
      <c r="J702" s="5" t="s">
        <v>71</v>
      </c>
      <c r="K702" s="5" t="s">
        <v>81</v>
      </c>
      <c r="L702" s="5">
        <v>4</v>
      </c>
      <c r="M702" s="5">
        <v>44934</v>
      </c>
      <c r="N702" s="5">
        <v>0</v>
      </c>
      <c r="O702" s="5">
        <v>179736</v>
      </c>
      <c r="P702" s="5">
        <v>133292.64000000001</v>
      </c>
      <c r="Q702" s="5">
        <v>46443.360000000001</v>
      </c>
      <c r="R702" s="5" t="s">
        <v>32</v>
      </c>
      <c r="S702" s="5" t="s">
        <v>33</v>
      </c>
      <c r="T702" s="5" t="s">
        <v>34</v>
      </c>
      <c r="U702" s="5">
        <v>4</v>
      </c>
      <c r="V702" s="5" t="s">
        <v>35</v>
      </c>
    </row>
    <row r="703" spans="1:22" x14ac:dyDescent="0.3">
      <c r="A703" s="5" t="s">
        <v>1232</v>
      </c>
      <c r="B703" s="6">
        <v>46130</v>
      </c>
      <c r="C703" s="5" t="s">
        <v>846</v>
      </c>
      <c r="D703" s="5" t="s">
        <v>48</v>
      </c>
      <c r="E703" s="5" t="s">
        <v>25</v>
      </c>
      <c r="F703" s="5" t="s">
        <v>26</v>
      </c>
      <c r="G703" s="5" t="s">
        <v>27</v>
      </c>
      <c r="H703" s="5" t="s">
        <v>106</v>
      </c>
      <c r="I703" s="5" t="s">
        <v>107</v>
      </c>
      <c r="J703" s="5" t="s">
        <v>30</v>
      </c>
      <c r="K703" s="5" t="s">
        <v>31</v>
      </c>
      <c r="L703" s="5">
        <v>1</v>
      </c>
      <c r="M703" s="5">
        <v>76923</v>
      </c>
      <c r="N703" s="5">
        <v>5</v>
      </c>
      <c r="O703" s="5">
        <v>73076.850000000006</v>
      </c>
      <c r="P703" s="5">
        <v>56583.12</v>
      </c>
      <c r="Q703" s="5">
        <v>16493.73</v>
      </c>
      <c r="R703" s="5" t="s">
        <v>44</v>
      </c>
      <c r="S703" s="5" t="s">
        <v>33</v>
      </c>
      <c r="T703" s="5" t="s">
        <v>34</v>
      </c>
      <c r="U703" s="5">
        <v>4</v>
      </c>
      <c r="V703" s="5" t="s">
        <v>45</v>
      </c>
    </row>
    <row r="704" spans="1:22" x14ac:dyDescent="0.3">
      <c r="A704" s="5" t="s">
        <v>1233</v>
      </c>
      <c r="B704" s="6">
        <v>46136</v>
      </c>
      <c r="C704" s="5" t="s">
        <v>202</v>
      </c>
      <c r="D704" s="5" t="s">
        <v>110</v>
      </c>
      <c r="E704" s="5" t="s">
        <v>39</v>
      </c>
      <c r="F704" s="5" t="s">
        <v>40</v>
      </c>
      <c r="G704" s="5" t="s">
        <v>41</v>
      </c>
      <c r="H704" s="5" t="s">
        <v>172</v>
      </c>
      <c r="I704" s="5" t="s">
        <v>173</v>
      </c>
      <c r="J704" s="5" t="s">
        <v>54</v>
      </c>
      <c r="K704" s="5" t="s">
        <v>97</v>
      </c>
      <c r="L704" s="5">
        <v>5</v>
      </c>
      <c r="M704" s="5">
        <v>53659</v>
      </c>
      <c r="N704" s="5">
        <v>10</v>
      </c>
      <c r="O704" s="5">
        <v>241465.5</v>
      </c>
      <c r="P704" s="5">
        <v>210567.43</v>
      </c>
      <c r="Q704" s="5">
        <v>30898.07</v>
      </c>
      <c r="R704" s="5" t="s">
        <v>64</v>
      </c>
      <c r="S704" s="5" t="s">
        <v>33</v>
      </c>
      <c r="T704" s="5" t="s">
        <v>73</v>
      </c>
      <c r="U704" s="5">
        <v>4</v>
      </c>
      <c r="V704" s="5" t="s">
        <v>45</v>
      </c>
    </row>
    <row r="705" spans="1:22" x14ac:dyDescent="0.3">
      <c r="A705" s="5" t="s">
        <v>1234</v>
      </c>
      <c r="B705" s="6">
        <v>46186</v>
      </c>
      <c r="C705" s="5" t="s">
        <v>614</v>
      </c>
      <c r="D705" s="5" t="s">
        <v>38</v>
      </c>
      <c r="E705" s="5" t="s">
        <v>94</v>
      </c>
      <c r="F705" s="5" t="s">
        <v>26</v>
      </c>
      <c r="G705" s="5" t="s">
        <v>27</v>
      </c>
      <c r="H705" s="5" t="s">
        <v>387</v>
      </c>
      <c r="I705" s="5" t="s">
        <v>388</v>
      </c>
      <c r="J705" s="5" t="s">
        <v>54</v>
      </c>
      <c r="K705" s="5" t="s">
        <v>97</v>
      </c>
      <c r="L705" s="5">
        <v>2</v>
      </c>
      <c r="M705" s="5">
        <v>28510</v>
      </c>
      <c r="N705" s="5">
        <v>0</v>
      </c>
      <c r="O705" s="5">
        <v>57020</v>
      </c>
      <c r="P705" s="5">
        <v>41435.85</v>
      </c>
      <c r="Q705" s="5">
        <v>15584.15</v>
      </c>
      <c r="R705" s="5" t="s">
        <v>44</v>
      </c>
      <c r="S705" s="5" t="s">
        <v>82</v>
      </c>
      <c r="T705" s="5" t="s">
        <v>73</v>
      </c>
      <c r="U705" s="5">
        <v>2</v>
      </c>
      <c r="V705" s="5" t="s">
        <v>35</v>
      </c>
    </row>
    <row r="706" spans="1:22" x14ac:dyDescent="0.3">
      <c r="A706" s="5" t="s">
        <v>1235</v>
      </c>
      <c r="B706" s="6">
        <v>46079</v>
      </c>
      <c r="C706" s="5" t="s">
        <v>912</v>
      </c>
      <c r="D706" s="5" t="s">
        <v>151</v>
      </c>
      <c r="E706" s="5" t="s">
        <v>77</v>
      </c>
      <c r="F706" s="5" t="s">
        <v>78</v>
      </c>
      <c r="G706" s="5" t="s">
        <v>41</v>
      </c>
      <c r="H706" s="5" t="s">
        <v>358</v>
      </c>
      <c r="I706" s="5" t="s">
        <v>359</v>
      </c>
      <c r="J706" s="5" t="s">
        <v>102</v>
      </c>
      <c r="K706" s="5" t="s">
        <v>103</v>
      </c>
      <c r="L706" s="5">
        <v>2</v>
      </c>
      <c r="M706" s="5">
        <v>69368</v>
      </c>
      <c r="N706" s="5">
        <v>20</v>
      </c>
      <c r="O706" s="5">
        <v>110988.8</v>
      </c>
      <c r="P706" s="5">
        <v>96548.89</v>
      </c>
      <c r="Q706" s="5">
        <v>14439.91</v>
      </c>
      <c r="R706" s="5" t="s">
        <v>32</v>
      </c>
      <c r="S706" s="5" t="s">
        <v>82</v>
      </c>
      <c r="T706" s="5" t="s">
        <v>73</v>
      </c>
      <c r="U706" s="5">
        <v>5</v>
      </c>
      <c r="V706" s="5" t="s">
        <v>45</v>
      </c>
    </row>
    <row r="707" spans="1:22" x14ac:dyDescent="0.3">
      <c r="A707" s="5" t="s">
        <v>1236</v>
      </c>
      <c r="B707" s="6">
        <v>46078</v>
      </c>
      <c r="C707" s="5" t="s">
        <v>809</v>
      </c>
      <c r="D707" s="5" t="s">
        <v>24</v>
      </c>
      <c r="E707" s="5" t="s">
        <v>126</v>
      </c>
      <c r="F707" s="5" t="s">
        <v>126</v>
      </c>
      <c r="G707" s="5" t="s">
        <v>51</v>
      </c>
      <c r="H707" s="5" t="s">
        <v>176</v>
      </c>
      <c r="I707" s="5" t="s">
        <v>177</v>
      </c>
      <c r="J707" s="5" t="s">
        <v>54</v>
      </c>
      <c r="K707" s="5" t="s">
        <v>97</v>
      </c>
      <c r="L707" s="5">
        <v>5</v>
      </c>
      <c r="M707" s="5">
        <v>55724</v>
      </c>
      <c r="N707" s="5">
        <v>5</v>
      </c>
      <c r="O707" s="5">
        <v>264689</v>
      </c>
      <c r="P707" s="5">
        <v>216947.97</v>
      </c>
      <c r="Q707" s="5">
        <v>47741.03</v>
      </c>
      <c r="R707" s="5" t="s">
        <v>32</v>
      </c>
      <c r="S707" s="5" t="s">
        <v>33</v>
      </c>
      <c r="T707" s="5" t="s">
        <v>73</v>
      </c>
      <c r="U707" s="5">
        <v>1</v>
      </c>
      <c r="V707" s="5" t="s">
        <v>35</v>
      </c>
    </row>
    <row r="708" spans="1:22" x14ac:dyDescent="0.3">
      <c r="A708" s="5" t="s">
        <v>1237</v>
      </c>
      <c r="B708" s="6">
        <v>46069</v>
      </c>
      <c r="C708" s="5" t="s">
        <v>877</v>
      </c>
      <c r="D708" s="5" t="s">
        <v>151</v>
      </c>
      <c r="E708" s="5" t="s">
        <v>25</v>
      </c>
      <c r="F708" s="5" t="s">
        <v>26</v>
      </c>
      <c r="G708" s="5" t="s">
        <v>27</v>
      </c>
      <c r="H708" s="5" t="s">
        <v>759</v>
      </c>
      <c r="I708" s="5" t="s">
        <v>760</v>
      </c>
      <c r="J708" s="5" t="s">
        <v>71</v>
      </c>
      <c r="K708" s="5" t="s">
        <v>72</v>
      </c>
      <c r="L708" s="5">
        <v>5</v>
      </c>
      <c r="M708" s="5">
        <v>4239</v>
      </c>
      <c r="N708" s="5">
        <v>10</v>
      </c>
      <c r="O708" s="5">
        <v>19075.5</v>
      </c>
      <c r="P708" s="5">
        <v>13808.99</v>
      </c>
      <c r="Q708" s="5">
        <v>5266.51</v>
      </c>
      <c r="R708" s="5" t="s">
        <v>44</v>
      </c>
      <c r="S708" s="5" t="s">
        <v>33</v>
      </c>
      <c r="T708" s="5" t="s">
        <v>34</v>
      </c>
      <c r="U708" s="5">
        <v>2</v>
      </c>
      <c r="V708" s="5" t="s">
        <v>45</v>
      </c>
    </row>
    <row r="709" spans="1:22" x14ac:dyDescent="0.3">
      <c r="A709" s="5" t="s">
        <v>1238</v>
      </c>
      <c r="B709" s="6">
        <v>46200</v>
      </c>
      <c r="C709" s="5" t="s">
        <v>883</v>
      </c>
      <c r="D709" s="5" t="s">
        <v>110</v>
      </c>
      <c r="E709" s="5" t="s">
        <v>39</v>
      </c>
      <c r="F709" s="5" t="s">
        <v>40</v>
      </c>
      <c r="G709" s="5" t="s">
        <v>41</v>
      </c>
      <c r="H709" s="5" t="s">
        <v>306</v>
      </c>
      <c r="I709" s="5" t="s">
        <v>307</v>
      </c>
      <c r="J709" s="5" t="s">
        <v>71</v>
      </c>
      <c r="K709" s="5" t="s">
        <v>81</v>
      </c>
      <c r="L709" s="5">
        <v>2</v>
      </c>
      <c r="M709" s="5">
        <v>37766</v>
      </c>
      <c r="N709" s="5">
        <v>15</v>
      </c>
      <c r="O709" s="5">
        <v>64202.2</v>
      </c>
      <c r="P709" s="5">
        <v>46149.5</v>
      </c>
      <c r="Q709" s="5">
        <v>18052.7</v>
      </c>
      <c r="R709" s="5" t="s">
        <v>44</v>
      </c>
      <c r="S709" s="5" t="s">
        <v>33</v>
      </c>
      <c r="T709" s="5" t="s">
        <v>34</v>
      </c>
      <c r="U709" s="5">
        <v>3</v>
      </c>
      <c r="V709" s="5" t="s">
        <v>35</v>
      </c>
    </row>
    <row r="710" spans="1:22" x14ac:dyDescent="0.3">
      <c r="A710" s="5" t="s">
        <v>1239</v>
      </c>
      <c r="B710" s="6">
        <v>46137</v>
      </c>
      <c r="C710" s="5" t="s">
        <v>531</v>
      </c>
      <c r="D710" s="5" t="s">
        <v>24</v>
      </c>
      <c r="E710" s="5" t="s">
        <v>94</v>
      </c>
      <c r="F710" s="5" t="s">
        <v>26</v>
      </c>
      <c r="G710" s="5" t="s">
        <v>27</v>
      </c>
      <c r="H710" s="5" t="s">
        <v>387</v>
      </c>
      <c r="I710" s="5" t="s">
        <v>388</v>
      </c>
      <c r="J710" s="5" t="s">
        <v>54</v>
      </c>
      <c r="K710" s="5" t="s">
        <v>97</v>
      </c>
      <c r="L710" s="5">
        <v>4</v>
      </c>
      <c r="M710" s="5">
        <v>2233</v>
      </c>
      <c r="N710" s="5">
        <v>5</v>
      </c>
      <c r="O710" s="5">
        <v>8485.4</v>
      </c>
      <c r="P710" s="5">
        <v>5734.21</v>
      </c>
      <c r="Q710" s="5">
        <v>2751.19</v>
      </c>
      <c r="R710" s="5" t="s">
        <v>44</v>
      </c>
      <c r="S710" s="5" t="s">
        <v>33</v>
      </c>
      <c r="T710" s="5" t="s">
        <v>73</v>
      </c>
      <c r="U710" s="5">
        <v>4</v>
      </c>
      <c r="V710" s="5" t="s">
        <v>35</v>
      </c>
    </row>
    <row r="711" spans="1:22" x14ac:dyDescent="0.3">
      <c r="A711" s="5" t="s">
        <v>1240</v>
      </c>
      <c r="B711" s="6">
        <v>46031</v>
      </c>
      <c r="C711" s="5" t="s">
        <v>216</v>
      </c>
      <c r="D711" s="5" t="s">
        <v>68</v>
      </c>
      <c r="E711" s="5" t="s">
        <v>59</v>
      </c>
      <c r="F711" s="5" t="s">
        <v>60</v>
      </c>
      <c r="G711" s="5" t="s">
        <v>61</v>
      </c>
      <c r="H711" s="5" t="s">
        <v>231</v>
      </c>
      <c r="I711" s="5" t="s">
        <v>232</v>
      </c>
      <c r="J711" s="5" t="s">
        <v>54</v>
      </c>
      <c r="K711" s="5" t="s">
        <v>97</v>
      </c>
      <c r="L711" s="5">
        <v>4</v>
      </c>
      <c r="M711" s="5">
        <v>79672</v>
      </c>
      <c r="N711" s="5">
        <v>10</v>
      </c>
      <c r="O711" s="5">
        <v>286819.20000000001</v>
      </c>
      <c r="P711" s="5">
        <v>206671.9</v>
      </c>
      <c r="Q711" s="5">
        <v>80147.3</v>
      </c>
      <c r="R711" s="5" t="s">
        <v>44</v>
      </c>
      <c r="S711" s="5" t="s">
        <v>33</v>
      </c>
      <c r="T711" s="5" t="s">
        <v>73</v>
      </c>
      <c r="U711" s="5">
        <v>1</v>
      </c>
      <c r="V711" s="5" t="s">
        <v>35</v>
      </c>
    </row>
    <row r="712" spans="1:22" x14ac:dyDescent="0.3">
      <c r="A712" s="5" t="s">
        <v>1241</v>
      </c>
      <c r="B712" s="6">
        <v>46172</v>
      </c>
      <c r="C712" s="5" t="s">
        <v>712</v>
      </c>
      <c r="D712" s="5" t="s">
        <v>151</v>
      </c>
      <c r="E712" s="5" t="s">
        <v>25</v>
      </c>
      <c r="F712" s="5" t="s">
        <v>26</v>
      </c>
      <c r="G712" s="5" t="s">
        <v>27</v>
      </c>
      <c r="H712" s="5" t="s">
        <v>122</v>
      </c>
      <c r="I712" s="5" t="s">
        <v>123</v>
      </c>
      <c r="J712" s="5" t="s">
        <v>30</v>
      </c>
      <c r="K712" s="5" t="s">
        <v>31</v>
      </c>
      <c r="L712" s="5">
        <v>5</v>
      </c>
      <c r="M712" s="5">
        <v>19763</v>
      </c>
      <c r="N712" s="5">
        <v>15</v>
      </c>
      <c r="O712" s="5">
        <v>83992.75</v>
      </c>
      <c r="P712" s="5">
        <v>65630.559999999998</v>
      </c>
      <c r="Q712" s="5">
        <v>18362.189999999999</v>
      </c>
      <c r="R712" s="5" t="s">
        <v>32</v>
      </c>
      <c r="S712" s="5" t="s">
        <v>82</v>
      </c>
      <c r="T712" s="5" t="s">
        <v>34</v>
      </c>
      <c r="U712" s="5">
        <v>4</v>
      </c>
      <c r="V712" s="5" t="s">
        <v>35</v>
      </c>
    </row>
    <row r="713" spans="1:22" x14ac:dyDescent="0.3">
      <c r="A713" s="5" t="s">
        <v>1242</v>
      </c>
      <c r="B713" s="6">
        <v>46094</v>
      </c>
      <c r="C713" s="5" t="s">
        <v>639</v>
      </c>
      <c r="D713" s="5" t="s">
        <v>151</v>
      </c>
      <c r="E713" s="5" t="s">
        <v>94</v>
      </c>
      <c r="F713" s="5" t="s">
        <v>26</v>
      </c>
      <c r="G713" s="5" t="s">
        <v>27</v>
      </c>
      <c r="H713" s="5" t="s">
        <v>135</v>
      </c>
      <c r="I713" s="5" t="s">
        <v>136</v>
      </c>
      <c r="J713" s="5" t="s">
        <v>30</v>
      </c>
      <c r="K713" s="5" t="s">
        <v>31</v>
      </c>
      <c r="L713" s="5">
        <v>5</v>
      </c>
      <c r="M713" s="5">
        <v>49910</v>
      </c>
      <c r="N713" s="5">
        <v>0</v>
      </c>
      <c r="O713" s="5">
        <v>249550</v>
      </c>
      <c r="P713" s="5">
        <v>168234.58</v>
      </c>
      <c r="Q713" s="5">
        <v>81315.42</v>
      </c>
      <c r="R713" s="5" t="s">
        <v>32</v>
      </c>
      <c r="S713" s="5" t="s">
        <v>33</v>
      </c>
      <c r="T713" s="5" t="s">
        <v>73</v>
      </c>
      <c r="U713" s="5">
        <v>4</v>
      </c>
      <c r="V713" s="5" t="s">
        <v>45</v>
      </c>
    </row>
    <row r="714" spans="1:22" x14ac:dyDescent="0.3">
      <c r="A714" s="5" t="s">
        <v>1243</v>
      </c>
      <c r="B714" s="6">
        <v>46202</v>
      </c>
      <c r="C714" s="5" t="s">
        <v>533</v>
      </c>
      <c r="D714" s="5" t="s">
        <v>48</v>
      </c>
      <c r="E714" s="5" t="s">
        <v>77</v>
      </c>
      <c r="F714" s="5" t="s">
        <v>78</v>
      </c>
      <c r="G714" s="5" t="s">
        <v>41</v>
      </c>
      <c r="H714" s="5" t="s">
        <v>203</v>
      </c>
      <c r="I714" s="5" t="s">
        <v>204</v>
      </c>
      <c r="J714" s="5" t="s">
        <v>71</v>
      </c>
      <c r="K714" s="5" t="s">
        <v>81</v>
      </c>
      <c r="L714" s="5">
        <v>3</v>
      </c>
      <c r="M714" s="5">
        <v>999</v>
      </c>
      <c r="N714" s="5">
        <v>20</v>
      </c>
      <c r="O714" s="5">
        <v>2397.6</v>
      </c>
      <c r="P714" s="5">
        <v>1846.16</v>
      </c>
      <c r="Q714" s="5">
        <v>551.44000000000005</v>
      </c>
      <c r="R714" s="5" t="s">
        <v>44</v>
      </c>
      <c r="S714" s="5" t="s">
        <v>82</v>
      </c>
      <c r="T714" s="5" t="s">
        <v>34</v>
      </c>
      <c r="U714" s="5">
        <v>3</v>
      </c>
      <c r="V714" s="5" t="s">
        <v>45</v>
      </c>
    </row>
    <row r="715" spans="1:22" x14ac:dyDescent="0.3">
      <c r="A715" s="5" t="s">
        <v>1244</v>
      </c>
      <c r="B715" s="6">
        <v>46145</v>
      </c>
      <c r="C715" s="5" t="s">
        <v>883</v>
      </c>
      <c r="D715" s="5" t="s">
        <v>76</v>
      </c>
      <c r="E715" s="5" t="s">
        <v>39</v>
      </c>
      <c r="F715" s="5" t="s">
        <v>40</v>
      </c>
      <c r="G715" s="5" t="s">
        <v>41</v>
      </c>
      <c r="H715" s="5" t="s">
        <v>253</v>
      </c>
      <c r="I715" s="5" t="s">
        <v>254</v>
      </c>
      <c r="J715" s="5" t="s">
        <v>54</v>
      </c>
      <c r="K715" s="5" t="s">
        <v>55</v>
      </c>
      <c r="L715" s="5">
        <v>1</v>
      </c>
      <c r="M715" s="5">
        <v>12091</v>
      </c>
      <c r="N715" s="5">
        <v>5</v>
      </c>
      <c r="O715" s="5">
        <v>11486.45</v>
      </c>
      <c r="P715" s="5">
        <v>9649.23</v>
      </c>
      <c r="Q715" s="5">
        <v>1837.22</v>
      </c>
      <c r="R715" s="5" t="s">
        <v>64</v>
      </c>
      <c r="S715" s="5" t="s">
        <v>33</v>
      </c>
      <c r="T715" s="5" t="s">
        <v>34</v>
      </c>
      <c r="U715" s="5">
        <v>1</v>
      </c>
      <c r="V715" s="5" t="s">
        <v>35</v>
      </c>
    </row>
    <row r="716" spans="1:22" x14ac:dyDescent="0.3">
      <c r="A716" s="5" t="s">
        <v>1245</v>
      </c>
      <c r="B716" s="6">
        <v>46192</v>
      </c>
      <c r="C716" s="5" t="s">
        <v>732</v>
      </c>
      <c r="D716" s="5" t="s">
        <v>68</v>
      </c>
      <c r="E716" s="5" t="s">
        <v>25</v>
      </c>
      <c r="F716" s="5" t="s">
        <v>26</v>
      </c>
      <c r="G716" s="5" t="s">
        <v>27</v>
      </c>
      <c r="H716" s="5" t="s">
        <v>85</v>
      </c>
      <c r="I716" s="5" t="s">
        <v>86</v>
      </c>
      <c r="J716" s="5" t="s">
        <v>71</v>
      </c>
      <c r="K716" s="5" t="s">
        <v>72</v>
      </c>
      <c r="L716" s="5">
        <v>1</v>
      </c>
      <c r="M716" s="5">
        <v>59049</v>
      </c>
      <c r="N716" s="5">
        <v>15</v>
      </c>
      <c r="O716" s="5">
        <v>50191.65</v>
      </c>
      <c r="P716" s="5">
        <v>39777.730000000003</v>
      </c>
      <c r="Q716" s="5">
        <v>10413.92</v>
      </c>
      <c r="R716" s="5" t="s">
        <v>64</v>
      </c>
      <c r="S716" s="5" t="s">
        <v>82</v>
      </c>
      <c r="T716" s="5" t="s">
        <v>65</v>
      </c>
      <c r="U716" s="5">
        <v>2</v>
      </c>
      <c r="V716" s="5" t="s">
        <v>45</v>
      </c>
    </row>
    <row r="717" spans="1:22" x14ac:dyDescent="0.3">
      <c r="A717" s="5" t="s">
        <v>1246</v>
      </c>
      <c r="B717" s="6">
        <v>46066</v>
      </c>
      <c r="C717" s="5" t="s">
        <v>454</v>
      </c>
      <c r="D717" s="5" t="s">
        <v>76</v>
      </c>
      <c r="E717" s="5" t="s">
        <v>59</v>
      </c>
      <c r="F717" s="5" t="s">
        <v>60</v>
      </c>
      <c r="G717" s="5" t="s">
        <v>61</v>
      </c>
      <c r="H717" s="5" t="s">
        <v>284</v>
      </c>
      <c r="I717" s="5" t="s">
        <v>285</v>
      </c>
      <c r="J717" s="5" t="s">
        <v>54</v>
      </c>
      <c r="K717" s="5" t="s">
        <v>55</v>
      </c>
      <c r="L717" s="5">
        <v>4</v>
      </c>
      <c r="M717" s="5">
        <v>70791</v>
      </c>
      <c r="N717" s="5">
        <v>0</v>
      </c>
      <c r="O717" s="5">
        <v>283164</v>
      </c>
      <c r="P717" s="5">
        <v>221152.03</v>
      </c>
      <c r="Q717" s="5">
        <v>62011.97</v>
      </c>
      <c r="R717" s="5" t="s">
        <v>64</v>
      </c>
      <c r="S717" s="5" t="s">
        <v>33</v>
      </c>
      <c r="T717" s="5" t="s">
        <v>65</v>
      </c>
      <c r="U717" s="5">
        <v>3</v>
      </c>
      <c r="V717" s="5" t="s">
        <v>35</v>
      </c>
    </row>
    <row r="718" spans="1:22" x14ac:dyDescent="0.3">
      <c r="A718" s="5" t="s">
        <v>1247</v>
      </c>
      <c r="B718" s="6">
        <v>46130</v>
      </c>
      <c r="C718" s="5" t="s">
        <v>1070</v>
      </c>
      <c r="D718" s="5" t="s">
        <v>110</v>
      </c>
      <c r="E718" s="5" t="s">
        <v>77</v>
      </c>
      <c r="F718" s="5" t="s">
        <v>78</v>
      </c>
      <c r="G718" s="5" t="s">
        <v>41</v>
      </c>
      <c r="H718" s="5" t="s">
        <v>338</v>
      </c>
      <c r="I718" s="5" t="s">
        <v>339</v>
      </c>
      <c r="J718" s="5" t="s">
        <v>54</v>
      </c>
      <c r="K718" s="5" t="s">
        <v>97</v>
      </c>
      <c r="L718" s="5">
        <v>2</v>
      </c>
      <c r="M718" s="5">
        <v>18285</v>
      </c>
      <c r="N718" s="5">
        <v>15</v>
      </c>
      <c r="O718" s="5">
        <v>31084.5</v>
      </c>
      <c r="P718" s="5">
        <v>23584.61</v>
      </c>
      <c r="Q718" s="5">
        <v>7499.89</v>
      </c>
      <c r="R718" s="5" t="s">
        <v>32</v>
      </c>
      <c r="S718" s="5" t="s">
        <v>33</v>
      </c>
      <c r="T718" s="5" t="s">
        <v>65</v>
      </c>
      <c r="U718" s="5">
        <v>4</v>
      </c>
      <c r="V718" s="5" t="s">
        <v>35</v>
      </c>
    </row>
    <row r="719" spans="1:22" x14ac:dyDescent="0.3">
      <c r="A719" s="5" t="s">
        <v>1248</v>
      </c>
      <c r="B719" s="6">
        <v>46132</v>
      </c>
      <c r="C719" s="5" t="s">
        <v>298</v>
      </c>
      <c r="D719" s="5" t="s">
        <v>117</v>
      </c>
      <c r="E719" s="5" t="s">
        <v>77</v>
      </c>
      <c r="F719" s="5" t="s">
        <v>78</v>
      </c>
      <c r="G719" s="5" t="s">
        <v>41</v>
      </c>
      <c r="H719" s="5" t="s">
        <v>95</v>
      </c>
      <c r="I719" s="5" t="s">
        <v>96</v>
      </c>
      <c r="J719" s="5" t="s">
        <v>54</v>
      </c>
      <c r="K719" s="5" t="s">
        <v>97</v>
      </c>
      <c r="L719" s="5">
        <v>4</v>
      </c>
      <c r="M719" s="5">
        <v>55816</v>
      </c>
      <c r="N719" s="5">
        <v>10</v>
      </c>
      <c r="O719" s="5">
        <v>200937.60000000001</v>
      </c>
      <c r="P719" s="5">
        <v>173836.96</v>
      </c>
      <c r="Q719" s="5">
        <v>27100.639999999999</v>
      </c>
      <c r="R719" s="5" t="s">
        <v>44</v>
      </c>
      <c r="S719" s="5" t="s">
        <v>82</v>
      </c>
      <c r="T719" s="5" t="s">
        <v>65</v>
      </c>
      <c r="U719" s="5">
        <v>4</v>
      </c>
      <c r="V719" s="5" t="s">
        <v>35</v>
      </c>
    </row>
    <row r="720" spans="1:22" x14ac:dyDescent="0.3">
      <c r="A720" s="5" t="s">
        <v>1249</v>
      </c>
      <c r="B720" s="6">
        <v>46075</v>
      </c>
      <c r="C720" s="5" t="s">
        <v>590</v>
      </c>
      <c r="D720" s="5" t="s">
        <v>58</v>
      </c>
      <c r="E720" s="5" t="s">
        <v>77</v>
      </c>
      <c r="F720" s="5" t="s">
        <v>78</v>
      </c>
      <c r="G720" s="5" t="s">
        <v>41</v>
      </c>
      <c r="H720" s="5" t="s">
        <v>217</v>
      </c>
      <c r="I720" s="5" t="s">
        <v>218</v>
      </c>
      <c r="J720" s="5" t="s">
        <v>54</v>
      </c>
      <c r="K720" s="5" t="s">
        <v>97</v>
      </c>
      <c r="L720" s="5">
        <v>1</v>
      </c>
      <c r="M720" s="5">
        <v>10954</v>
      </c>
      <c r="N720" s="5">
        <v>5</v>
      </c>
      <c r="O720" s="5">
        <v>10406.299999999999</v>
      </c>
      <c r="P720" s="5">
        <v>6877.65</v>
      </c>
      <c r="Q720" s="5">
        <v>3528.65</v>
      </c>
      <c r="R720" s="5" t="s">
        <v>32</v>
      </c>
      <c r="S720" s="5" t="s">
        <v>33</v>
      </c>
      <c r="T720" s="5" t="s">
        <v>65</v>
      </c>
      <c r="U720" s="5">
        <v>2</v>
      </c>
      <c r="V720" s="5" t="s">
        <v>45</v>
      </c>
    </row>
    <row r="721" spans="1:22" x14ac:dyDescent="0.3">
      <c r="A721" s="5" t="s">
        <v>1250</v>
      </c>
      <c r="B721" s="6">
        <v>46170</v>
      </c>
      <c r="C721" s="5" t="s">
        <v>1179</v>
      </c>
      <c r="D721" s="5" t="s">
        <v>117</v>
      </c>
      <c r="E721" s="5" t="s">
        <v>59</v>
      </c>
      <c r="F721" s="5" t="s">
        <v>60</v>
      </c>
      <c r="G721" s="5" t="s">
        <v>61</v>
      </c>
      <c r="H721" s="5" t="s">
        <v>141</v>
      </c>
      <c r="I721" s="5" t="s">
        <v>142</v>
      </c>
      <c r="J721" s="5" t="s">
        <v>71</v>
      </c>
      <c r="K721" s="5" t="s">
        <v>81</v>
      </c>
      <c r="L721" s="5">
        <v>3</v>
      </c>
      <c r="M721" s="5">
        <v>54392</v>
      </c>
      <c r="N721" s="5">
        <v>20</v>
      </c>
      <c r="O721" s="5">
        <v>130540.8</v>
      </c>
      <c r="P721" s="5">
        <v>93562.46</v>
      </c>
      <c r="Q721" s="5">
        <v>36978.339999999997</v>
      </c>
      <c r="R721" s="5" t="s">
        <v>44</v>
      </c>
      <c r="S721" s="5" t="s">
        <v>33</v>
      </c>
      <c r="T721" s="5" t="s">
        <v>34</v>
      </c>
      <c r="U721" s="5">
        <v>2</v>
      </c>
      <c r="V721" s="5" t="s">
        <v>45</v>
      </c>
    </row>
    <row r="722" spans="1:22" x14ac:dyDescent="0.3">
      <c r="A722" s="5" t="s">
        <v>1251</v>
      </c>
      <c r="B722" s="6">
        <v>46161</v>
      </c>
      <c r="C722" s="5" t="s">
        <v>410</v>
      </c>
      <c r="D722" s="5" t="s">
        <v>68</v>
      </c>
      <c r="E722" s="5" t="s">
        <v>77</v>
      </c>
      <c r="F722" s="5" t="s">
        <v>78</v>
      </c>
      <c r="G722" s="5" t="s">
        <v>41</v>
      </c>
      <c r="H722" s="5" t="s">
        <v>295</v>
      </c>
      <c r="I722" s="5" t="s">
        <v>296</v>
      </c>
      <c r="J722" s="5" t="s">
        <v>30</v>
      </c>
      <c r="K722" s="5" t="s">
        <v>31</v>
      </c>
      <c r="L722" s="5">
        <v>4</v>
      </c>
      <c r="M722" s="5">
        <v>51582</v>
      </c>
      <c r="N722" s="5">
        <v>20</v>
      </c>
      <c r="O722" s="5">
        <v>165062.39999999999</v>
      </c>
      <c r="P722" s="5">
        <v>168869.1</v>
      </c>
      <c r="Q722" s="5">
        <v>-3806.7</v>
      </c>
      <c r="R722" s="5" t="s">
        <v>44</v>
      </c>
      <c r="S722" s="5" t="s">
        <v>33</v>
      </c>
      <c r="T722" s="5" t="s">
        <v>65</v>
      </c>
      <c r="U722" s="5">
        <v>5</v>
      </c>
      <c r="V722" s="5" t="s">
        <v>35</v>
      </c>
    </row>
    <row r="723" spans="1:22" x14ac:dyDescent="0.3">
      <c r="A723" s="5" t="s">
        <v>1252</v>
      </c>
      <c r="B723" s="6">
        <v>46185</v>
      </c>
      <c r="C723" s="5" t="s">
        <v>116</v>
      </c>
      <c r="D723" s="5" t="s">
        <v>117</v>
      </c>
      <c r="E723" s="5" t="s">
        <v>49</v>
      </c>
      <c r="F723" s="5" t="s">
        <v>50</v>
      </c>
      <c r="G723" s="5" t="s">
        <v>51</v>
      </c>
      <c r="H723" s="5" t="s">
        <v>678</v>
      </c>
      <c r="I723" s="5" t="s">
        <v>679</v>
      </c>
      <c r="J723" s="5" t="s">
        <v>54</v>
      </c>
      <c r="K723" s="5" t="s">
        <v>55</v>
      </c>
      <c r="L723" s="5">
        <v>4</v>
      </c>
      <c r="M723" s="5">
        <v>71593</v>
      </c>
      <c r="N723" s="5">
        <v>0</v>
      </c>
      <c r="O723" s="5">
        <v>286372</v>
      </c>
      <c r="P723" s="5">
        <v>210146.3</v>
      </c>
      <c r="Q723" s="5">
        <v>76225.7</v>
      </c>
      <c r="R723" s="5" t="s">
        <v>44</v>
      </c>
      <c r="S723" s="5" t="s">
        <v>33</v>
      </c>
      <c r="T723" s="5" t="s">
        <v>34</v>
      </c>
      <c r="U723" s="5">
        <v>4</v>
      </c>
      <c r="V723" s="5" t="s">
        <v>35</v>
      </c>
    </row>
    <row r="724" spans="1:22" x14ac:dyDescent="0.3">
      <c r="A724" s="5" t="s">
        <v>1253</v>
      </c>
      <c r="B724" s="6">
        <v>46142</v>
      </c>
      <c r="C724" s="5" t="s">
        <v>751</v>
      </c>
      <c r="D724" s="5" t="s">
        <v>58</v>
      </c>
      <c r="E724" s="5" t="s">
        <v>126</v>
      </c>
      <c r="F724" s="5" t="s">
        <v>126</v>
      </c>
      <c r="G724" s="5" t="s">
        <v>51</v>
      </c>
      <c r="H724" s="5" t="s">
        <v>457</v>
      </c>
      <c r="I724" s="5" t="s">
        <v>458</v>
      </c>
      <c r="J724" s="5" t="s">
        <v>71</v>
      </c>
      <c r="K724" s="5" t="s">
        <v>81</v>
      </c>
      <c r="L724" s="5">
        <v>4</v>
      </c>
      <c r="M724" s="5">
        <v>50576</v>
      </c>
      <c r="N724" s="5">
        <v>0</v>
      </c>
      <c r="O724" s="5">
        <v>202304</v>
      </c>
      <c r="P724" s="5">
        <v>159892.81</v>
      </c>
      <c r="Q724" s="5">
        <v>42411.19</v>
      </c>
      <c r="R724" s="5" t="s">
        <v>44</v>
      </c>
      <c r="S724" s="5" t="s">
        <v>82</v>
      </c>
      <c r="T724" s="5" t="s">
        <v>34</v>
      </c>
      <c r="U724" s="5">
        <v>3</v>
      </c>
      <c r="V724" s="5" t="s">
        <v>35</v>
      </c>
    </row>
    <row r="725" spans="1:22" x14ac:dyDescent="0.3">
      <c r="A725" s="5" t="s">
        <v>1254</v>
      </c>
      <c r="B725" s="6">
        <v>46043</v>
      </c>
      <c r="C725" s="5" t="s">
        <v>321</v>
      </c>
      <c r="D725" s="5" t="s">
        <v>48</v>
      </c>
      <c r="E725" s="5" t="s">
        <v>25</v>
      </c>
      <c r="F725" s="5" t="s">
        <v>26</v>
      </c>
      <c r="G725" s="5" t="s">
        <v>27</v>
      </c>
      <c r="H725" s="5" t="s">
        <v>197</v>
      </c>
      <c r="I725" s="5" t="s">
        <v>198</v>
      </c>
      <c r="J725" s="5" t="s">
        <v>30</v>
      </c>
      <c r="K725" s="5" t="s">
        <v>31</v>
      </c>
      <c r="L725" s="5">
        <v>2</v>
      </c>
      <c r="M725" s="5">
        <v>47474</v>
      </c>
      <c r="N725" s="5">
        <v>15</v>
      </c>
      <c r="O725" s="5">
        <v>80705.8</v>
      </c>
      <c r="P725" s="5">
        <v>77567.67</v>
      </c>
      <c r="Q725" s="5">
        <v>3138.13</v>
      </c>
      <c r="R725" s="5" t="s">
        <v>44</v>
      </c>
      <c r="S725" s="5" t="s">
        <v>82</v>
      </c>
      <c r="T725" s="5" t="s">
        <v>73</v>
      </c>
      <c r="U725" s="5">
        <v>2</v>
      </c>
      <c r="V725" s="5" t="s">
        <v>35</v>
      </c>
    </row>
    <row r="726" spans="1:22" x14ac:dyDescent="0.3">
      <c r="A726" s="5" t="s">
        <v>1255</v>
      </c>
      <c r="B726" s="6">
        <v>46161</v>
      </c>
      <c r="C726" s="5" t="s">
        <v>1167</v>
      </c>
      <c r="D726" s="5" t="s">
        <v>89</v>
      </c>
      <c r="E726" s="5" t="s">
        <v>49</v>
      </c>
      <c r="F726" s="5" t="s">
        <v>50</v>
      </c>
      <c r="G726" s="5" t="s">
        <v>51</v>
      </c>
      <c r="H726" s="5" t="s">
        <v>241</v>
      </c>
      <c r="I726" s="5" t="s">
        <v>242</v>
      </c>
      <c r="J726" s="5" t="s">
        <v>54</v>
      </c>
      <c r="K726" s="5" t="s">
        <v>55</v>
      </c>
      <c r="L726" s="5">
        <v>4</v>
      </c>
      <c r="M726" s="5">
        <v>42786</v>
      </c>
      <c r="N726" s="5">
        <v>20</v>
      </c>
      <c r="O726" s="5">
        <v>136915.20000000001</v>
      </c>
      <c r="P726" s="5">
        <v>107113.1</v>
      </c>
      <c r="Q726" s="5">
        <v>29802.1</v>
      </c>
      <c r="R726" s="5" t="s">
        <v>64</v>
      </c>
      <c r="S726" s="5" t="s">
        <v>33</v>
      </c>
      <c r="T726" s="5" t="s">
        <v>73</v>
      </c>
      <c r="U726" s="5">
        <v>5</v>
      </c>
      <c r="V726" s="5" t="s">
        <v>35</v>
      </c>
    </row>
    <row r="727" spans="1:22" x14ac:dyDescent="0.3">
      <c r="A727" s="5" t="s">
        <v>1256</v>
      </c>
      <c r="B727" s="6">
        <v>46190</v>
      </c>
      <c r="C727" s="5" t="s">
        <v>418</v>
      </c>
      <c r="D727" s="5" t="s">
        <v>151</v>
      </c>
      <c r="E727" s="5" t="s">
        <v>94</v>
      </c>
      <c r="F727" s="5" t="s">
        <v>26</v>
      </c>
      <c r="G727" s="5" t="s">
        <v>27</v>
      </c>
      <c r="H727" s="5" t="s">
        <v>176</v>
      </c>
      <c r="I727" s="5" t="s">
        <v>177</v>
      </c>
      <c r="J727" s="5" t="s">
        <v>54</v>
      </c>
      <c r="K727" s="5" t="s">
        <v>97</v>
      </c>
      <c r="L727" s="5">
        <v>1</v>
      </c>
      <c r="M727" s="5">
        <v>12258</v>
      </c>
      <c r="N727" s="5">
        <v>20</v>
      </c>
      <c r="O727" s="5">
        <v>9806.4</v>
      </c>
      <c r="P727" s="5">
        <v>9173.7000000000007</v>
      </c>
      <c r="Q727" s="5">
        <v>632.70000000000005</v>
      </c>
      <c r="R727" s="5" t="s">
        <v>64</v>
      </c>
      <c r="S727" s="5" t="s">
        <v>33</v>
      </c>
      <c r="T727" s="5" t="s">
        <v>34</v>
      </c>
      <c r="U727" s="5">
        <v>1</v>
      </c>
      <c r="V727" s="5" t="s">
        <v>45</v>
      </c>
    </row>
    <row r="728" spans="1:22" x14ac:dyDescent="0.3">
      <c r="A728" s="5" t="s">
        <v>1257</v>
      </c>
      <c r="B728" s="6">
        <v>46034</v>
      </c>
      <c r="C728" s="5" t="s">
        <v>454</v>
      </c>
      <c r="D728" s="5" t="s">
        <v>48</v>
      </c>
      <c r="E728" s="5" t="s">
        <v>77</v>
      </c>
      <c r="F728" s="5" t="s">
        <v>78</v>
      </c>
      <c r="G728" s="5" t="s">
        <v>41</v>
      </c>
      <c r="H728" s="5" t="s">
        <v>281</v>
      </c>
      <c r="I728" s="5" t="s">
        <v>282</v>
      </c>
      <c r="J728" s="5" t="s">
        <v>30</v>
      </c>
      <c r="K728" s="5" t="s">
        <v>31</v>
      </c>
      <c r="L728" s="5">
        <v>4</v>
      </c>
      <c r="M728" s="5">
        <v>17995</v>
      </c>
      <c r="N728" s="5">
        <v>5</v>
      </c>
      <c r="O728" s="5">
        <v>68381</v>
      </c>
      <c r="P728" s="5">
        <v>55319.87</v>
      </c>
      <c r="Q728" s="5">
        <v>13061.13</v>
      </c>
      <c r="R728" s="5" t="s">
        <v>44</v>
      </c>
      <c r="S728" s="5" t="s">
        <v>33</v>
      </c>
      <c r="T728" s="5" t="s">
        <v>34</v>
      </c>
      <c r="U728" s="5">
        <v>5</v>
      </c>
      <c r="V728" s="5" t="s">
        <v>45</v>
      </c>
    </row>
    <row r="729" spans="1:22" x14ac:dyDescent="0.3">
      <c r="A729" s="5" t="s">
        <v>1258</v>
      </c>
      <c r="B729" s="6">
        <v>46045</v>
      </c>
      <c r="C729" s="5" t="s">
        <v>906</v>
      </c>
      <c r="D729" s="5" t="s">
        <v>58</v>
      </c>
      <c r="E729" s="5" t="s">
        <v>126</v>
      </c>
      <c r="F729" s="5" t="s">
        <v>126</v>
      </c>
      <c r="G729" s="5" t="s">
        <v>51</v>
      </c>
      <c r="H729" s="5" t="s">
        <v>277</v>
      </c>
      <c r="I729" s="5" t="s">
        <v>278</v>
      </c>
      <c r="J729" s="5" t="s">
        <v>71</v>
      </c>
      <c r="K729" s="5" t="s">
        <v>81</v>
      </c>
      <c r="L729" s="5">
        <v>3</v>
      </c>
      <c r="M729" s="5">
        <v>55068</v>
      </c>
      <c r="N729" s="5">
        <v>20</v>
      </c>
      <c r="O729" s="5">
        <v>132163.20000000001</v>
      </c>
      <c r="P729" s="5">
        <v>104682.52</v>
      </c>
      <c r="Q729" s="5">
        <v>27480.68</v>
      </c>
      <c r="R729" s="5" t="s">
        <v>44</v>
      </c>
      <c r="S729" s="5" t="s">
        <v>33</v>
      </c>
      <c r="T729" s="5" t="s">
        <v>65</v>
      </c>
      <c r="U729" s="5">
        <v>4</v>
      </c>
      <c r="V729" s="5" t="s">
        <v>35</v>
      </c>
    </row>
    <row r="730" spans="1:22" x14ac:dyDescent="0.3">
      <c r="A730" s="5" t="s">
        <v>1259</v>
      </c>
      <c r="B730" s="6">
        <v>46096</v>
      </c>
      <c r="C730" s="5" t="s">
        <v>167</v>
      </c>
      <c r="D730" s="5" t="s">
        <v>117</v>
      </c>
      <c r="E730" s="5" t="s">
        <v>25</v>
      </c>
      <c r="F730" s="5" t="s">
        <v>26</v>
      </c>
      <c r="G730" s="5" t="s">
        <v>27</v>
      </c>
      <c r="H730" s="5" t="s">
        <v>245</v>
      </c>
      <c r="I730" s="5" t="s">
        <v>246</v>
      </c>
      <c r="J730" s="5" t="s">
        <v>54</v>
      </c>
      <c r="K730" s="5" t="s">
        <v>97</v>
      </c>
      <c r="L730" s="5">
        <v>2</v>
      </c>
      <c r="M730" s="5">
        <v>56169</v>
      </c>
      <c r="N730" s="5">
        <v>20</v>
      </c>
      <c r="O730" s="5">
        <v>89870.399999999994</v>
      </c>
      <c r="P730" s="5">
        <v>62923.57</v>
      </c>
      <c r="Q730" s="5">
        <v>26946.83</v>
      </c>
      <c r="R730" s="5" t="s">
        <v>44</v>
      </c>
      <c r="S730" s="5" t="s">
        <v>33</v>
      </c>
      <c r="T730" s="5" t="s">
        <v>34</v>
      </c>
      <c r="U730" s="5">
        <v>4</v>
      </c>
      <c r="V730" s="5" t="s">
        <v>35</v>
      </c>
    </row>
    <row r="731" spans="1:22" x14ac:dyDescent="0.3">
      <c r="A731" s="5" t="s">
        <v>1260</v>
      </c>
      <c r="B731" s="6">
        <v>46130</v>
      </c>
      <c r="C731" s="5" t="s">
        <v>516</v>
      </c>
      <c r="D731" s="5" t="s">
        <v>110</v>
      </c>
      <c r="E731" s="5" t="s">
        <v>25</v>
      </c>
      <c r="F731" s="5" t="s">
        <v>26</v>
      </c>
      <c r="G731" s="5" t="s">
        <v>27</v>
      </c>
      <c r="H731" s="5" t="s">
        <v>574</v>
      </c>
      <c r="I731" s="5" t="s">
        <v>575</v>
      </c>
      <c r="J731" s="5" t="s">
        <v>30</v>
      </c>
      <c r="K731" s="5" t="s">
        <v>31</v>
      </c>
      <c r="L731" s="5">
        <v>4</v>
      </c>
      <c r="M731" s="5">
        <v>12408</v>
      </c>
      <c r="N731" s="5">
        <v>0</v>
      </c>
      <c r="O731" s="5">
        <v>49632</v>
      </c>
      <c r="P731" s="5">
        <v>41627.050000000003</v>
      </c>
      <c r="Q731" s="5">
        <v>8004.95</v>
      </c>
      <c r="R731" s="5" t="s">
        <v>44</v>
      </c>
      <c r="S731" s="5" t="s">
        <v>33</v>
      </c>
      <c r="T731" s="5" t="s">
        <v>34</v>
      </c>
      <c r="U731" s="5">
        <v>4</v>
      </c>
      <c r="V731" s="5" t="s">
        <v>45</v>
      </c>
    </row>
    <row r="732" spans="1:22" x14ac:dyDescent="0.3">
      <c r="A732" s="5" t="s">
        <v>1261</v>
      </c>
      <c r="B732" s="6">
        <v>46076</v>
      </c>
      <c r="C732" s="5" t="s">
        <v>529</v>
      </c>
      <c r="D732" s="5" t="s">
        <v>48</v>
      </c>
      <c r="E732" s="5" t="s">
        <v>59</v>
      </c>
      <c r="F732" s="5" t="s">
        <v>60</v>
      </c>
      <c r="G732" s="5" t="s">
        <v>61</v>
      </c>
      <c r="H732" s="5" t="s">
        <v>100</v>
      </c>
      <c r="I732" s="5" t="s">
        <v>101</v>
      </c>
      <c r="J732" s="5" t="s">
        <v>102</v>
      </c>
      <c r="K732" s="5" t="s">
        <v>103</v>
      </c>
      <c r="L732" s="5">
        <v>1</v>
      </c>
      <c r="M732" s="5">
        <v>49878</v>
      </c>
      <c r="N732" s="5">
        <v>15</v>
      </c>
      <c r="O732" s="5">
        <v>42396.3</v>
      </c>
      <c r="P732" s="5">
        <v>36946.29</v>
      </c>
      <c r="Q732" s="5">
        <v>5450.01</v>
      </c>
      <c r="R732" s="5" t="s">
        <v>64</v>
      </c>
      <c r="S732" s="5" t="s">
        <v>33</v>
      </c>
      <c r="T732" s="5" t="s">
        <v>73</v>
      </c>
      <c r="U732" s="5">
        <v>3</v>
      </c>
      <c r="V732" s="5" t="s">
        <v>45</v>
      </c>
    </row>
    <row r="733" spans="1:22" x14ac:dyDescent="0.3">
      <c r="A733" s="5" t="s">
        <v>1262</v>
      </c>
      <c r="B733" s="6">
        <v>46037</v>
      </c>
      <c r="C733" s="5" t="s">
        <v>1085</v>
      </c>
      <c r="D733" s="5" t="s">
        <v>24</v>
      </c>
      <c r="E733" s="5" t="s">
        <v>126</v>
      </c>
      <c r="F733" s="5" t="s">
        <v>126</v>
      </c>
      <c r="G733" s="5" t="s">
        <v>51</v>
      </c>
      <c r="H733" s="5" t="s">
        <v>118</v>
      </c>
      <c r="I733" s="5" t="s">
        <v>119</v>
      </c>
      <c r="J733" s="5" t="s">
        <v>54</v>
      </c>
      <c r="K733" s="5" t="s">
        <v>97</v>
      </c>
      <c r="L733" s="5">
        <v>1</v>
      </c>
      <c r="M733" s="5">
        <v>62609</v>
      </c>
      <c r="N733" s="5">
        <v>15</v>
      </c>
      <c r="O733" s="5">
        <v>53217.65</v>
      </c>
      <c r="P733" s="5">
        <v>52709.04</v>
      </c>
      <c r="Q733" s="5">
        <v>508.61</v>
      </c>
      <c r="R733" s="5" t="s">
        <v>32</v>
      </c>
      <c r="S733" s="5" t="s">
        <v>82</v>
      </c>
      <c r="T733" s="5" t="s">
        <v>65</v>
      </c>
      <c r="U733" s="5">
        <v>5</v>
      </c>
      <c r="V733" s="5" t="s">
        <v>45</v>
      </c>
    </row>
    <row r="734" spans="1:22" x14ac:dyDescent="0.3">
      <c r="A734" s="5" t="s">
        <v>1263</v>
      </c>
      <c r="B734" s="6">
        <v>46092</v>
      </c>
      <c r="C734" s="5" t="s">
        <v>438</v>
      </c>
      <c r="D734" s="5" t="s">
        <v>48</v>
      </c>
      <c r="E734" s="5" t="s">
        <v>39</v>
      </c>
      <c r="F734" s="5" t="s">
        <v>40</v>
      </c>
      <c r="G734" s="5" t="s">
        <v>41</v>
      </c>
      <c r="H734" s="5" t="s">
        <v>234</v>
      </c>
      <c r="I734" s="5" t="s">
        <v>235</v>
      </c>
      <c r="J734" s="5" t="s">
        <v>102</v>
      </c>
      <c r="K734" s="5" t="s">
        <v>103</v>
      </c>
      <c r="L734" s="5">
        <v>5</v>
      </c>
      <c r="M734" s="5">
        <v>73013</v>
      </c>
      <c r="N734" s="5">
        <v>10</v>
      </c>
      <c r="O734" s="5">
        <v>328558.5</v>
      </c>
      <c r="P734" s="5">
        <v>252084.69</v>
      </c>
      <c r="Q734" s="5">
        <v>76473.81</v>
      </c>
      <c r="R734" s="5" t="s">
        <v>44</v>
      </c>
      <c r="S734" s="5" t="s">
        <v>33</v>
      </c>
      <c r="T734" s="5" t="s">
        <v>34</v>
      </c>
      <c r="U734" s="5">
        <v>4</v>
      </c>
      <c r="V734" s="5" t="s">
        <v>35</v>
      </c>
    </row>
    <row r="735" spans="1:22" x14ac:dyDescent="0.3">
      <c r="A735" s="5" t="s">
        <v>1264</v>
      </c>
      <c r="B735" s="6">
        <v>46132</v>
      </c>
      <c r="C735" s="5" t="s">
        <v>250</v>
      </c>
      <c r="D735" s="5" t="s">
        <v>89</v>
      </c>
      <c r="E735" s="5" t="s">
        <v>59</v>
      </c>
      <c r="F735" s="5" t="s">
        <v>60</v>
      </c>
      <c r="G735" s="5" t="s">
        <v>61</v>
      </c>
      <c r="H735" s="5" t="s">
        <v>486</v>
      </c>
      <c r="I735" s="5" t="s">
        <v>487</v>
      </c>
      <c r="J735" s="5" t="s">
        <v>71</v>
      </c>
      <c r="K735" s="5" t="s">
        <v>81</v>
      </c>
      <c r="L735" s="5">
        <v>3</v>
      </c>
      <c r="M735" s="5">
        <v>31404</v>
      </c>
      <c r="N735" s="5">
        <v>5</v>
      </c>
      <c r="O735" s="5">
        <v>89501.4</v>
      </c>
      <c r="P735" s="5">
        <v>53212.17</v>
      </c>
      <c r="Q735" s="5">
        <v>36289.230000000003</v>
      </c>
      <c r="R735" s="5" t="s">
        <v>32</v>
      </c>
      <c r="S735" s="5" t="s">
        <v>82</v>
      </c>
      <c r="T735" s="5" t="s">
        <v>34</v>
      </c>
      <c r="U735" s="5">
        <v>2</v>
      </c>
      <c r="V735" s="5" t="s">
        <v>35</v>
      </c>
    </row>
    <row r="736" spans="1:22" x14ac:dyDescent="0.3">
      <c r="A736" s="5" t="s">
        <v>1265</v>
      </c>
      <c r="B736" s="6">
        <v>46045</v>
      </c>
      <c r="C736" s="5" t="s">
        <v>159</v>
      </c>
      <c r="D736" s="5" t="s">
        <v>89</v>
      </c>
      <c r="E736" s="5" t="s">
        <v>94</v>
      </c>
      <c r="F736" s="5" t="s">
        <v>26</v>
      </c>
      <c r="G736" s="5" t="s">
        <v>27</v>
      </c>
      <c r="H736" s="5" t="s">
        <v>141</v>
      </c>
      <c r="I736" s="5" t="s">
        <v>142</v>
      </c>
      <c r="J736" s="5" t="s">
        <v>71</v>
      </c>
      <c r="K736" s="5" t="s">
        <v>81</v>
      </c>
      <c r="L736" s="5">
        <v>5</v>
      </c>
      <c r="M736" s="5">
        <v>71820</v>
      </c>
      <c r="N736" s="5">
        <v>20</v>
      </c>
      <c r="O736" s="5">
        <v>287280</v>
      </c>
      <c r="P736" s="5">
        <v>223633.59</v>
      </c>
      <c r="Q736" s="5">
        <v>63646.41</v>
      </c>
      <c r="R736" s="5" t="s">
        <v>44</v>
      </c>
      <c r="S736" s="5" t="s">
        <v>33</v>
      </c>
      <c r="T736" s="5" t="s">
        <v>73</v>
      </c>
      <c r="U736" s="5">
        <v>3</v>
      </c>
      <c r="V736" s="5" t="s">
        <v>35</v>
      </c>
    </row>
    <row r="737" spans="1:22" x14ac:dyDescent="0.3">
      <c r="A737" s="5" t="s">
        <v>1266</v>
      </c>
      <c r="B737" s="6">
        <v>46102</v>
      </c>
      <c r="C737" s="5" t="s">
        <v>1056</v>
      </c>
      <c r="D737" s="5" t="s">
        <v>24</v>
      </c>
      <c r="E737" s="5" t="s">
        <v>49</v>
      </c>
      <c r="F737" s="5" t="s">
        <v>50</v>
      </c>
      <c r="G737" s="5" t="s">
        <v>51</v>
      </c>
      <c r="H737" s="5" t="s">
        <v>447</v>
      </c>
      <c r="I737" s="5" t="s">
        <v>448</v>
      </c>
      <c r="J737" s="5" t="s">
        <v>71</v>
      </c>
      <c r="K737" s="5" t="s">
        <v>72</v>
      </c>
      <c r="L737" s="5">
        <v>5</v>
      </c>
      <c r="M737" s="5">
        <v>44020</v>
      </c>
      <c r="N737" s="5">
        <v>0</v>
      </c>
      <c r="O737" s="5">
        <v>220100</v>
      </c>
      <c r="P737" s="5">
        <v>128105.11</v>
      </c>
      <c r="Q737" s="5">
        <v>91994.89</v>
      </c>
      <c r="R737" s="5" t="s">
        <v>44</v>
      </c>
      <c r="S737" s="5" t="s">
        <v>82</v>
      </c>
      <c r="T737" s="5" t="s">
        <v>34</v>
      </c>
      <c r="U737" s="5">
        <v>2</v>
      </c>
      <c r="V737" s="5" t="s">
        <v>45</v>
      </c>
    </row>
    <row r="738" spans="1:22" x14ac:dyDescent="0.3">
      <c r="A738" s="5" t="s">
        <v>1267</v>
      </c>
      <c r="B738" s="6">
        <v>46130</v>
      </c>
      <c r="C738" s="5" t="s">
        <v>1268</v>
      </c>
      <c r="D738" s="5" t="s">
        <v>76</v>
      </c>
      <c r="E738" s="5" t="s">
        <v>94</v>
      </c>
      <c r="F738" s="5" t="s">
        <v>26</v>
      </c>
      <c r="G738" s="5" t="s">
        <v>27</v>
      </c>
      <c r="H738" s="5" t="s">
        <v>152</v>
      </c>
      <c r="I738" s="5" t="s">
        <v>153</v>
      </c>
      <c r="J738" s="5" t="s">
        <v>54</v>
      </c>
      <c r="K738" s="5" t="s">
        <v>97</v>
      </c>
      <c r="L738" s="5">
        <v>1</v>
      </c>
      <c r="M738" s="5">
        <v>20176</v>
      </c>
      <c r="N738" s="5">
        <v>15</v>
      </c>
      <c r="O738" s="5">
        <v>17149.599999999999</v>
      </c>
      <c r="P738" s="5">
        <v>13507.75</v>
      </c>
      <c r="Q738" s="5">
        <v>3641.85</v>
      </c>
      <c r="R738" s="5" t="s">
        <v>32</v>
      </c>
      <c r="S738" s="5" t="s">
        <v>33</v>
      </c>
      <c r="T738" s="5" t="s">
        <v>65</v>
      </c>
      <c r="U738" s="5">
        <v>1</v>
      </c>
      <c r="V738" s="5" t="s">
        <v>45</v>
      </c>
    </row>
    <row r="739" spans="1:22" x14ac:dyDescent="0.3">
      <c r="A739" s="5" t="s">
        <v>1269</v>
      </c>
      <c r="B739" s="6">
        <v>46154</v>
      </c>
      <c r="C739" s="5" t="s">
        <v>353</v>
      </c>
      <c r="D739" s="5" t="s">
        <v>38</v>
      </c>
      <c r="E739" s="5" t="s">
        <v>77</v>
      </c>
      <c r="F739" s="5" t="s">
        <v>78</v>
      </c>
      <c r="G739" s="5" t="s">
        <v>41</v>
      </c>
      <c r="H739" s="5" t="s">
        <v>384</v>
      </c>
      <c r="I739" s="5" t="s">
        <v>385</v>
      </c>
      <c r="J739" s="5" t="s">
        <v>102</v>
      </c>
      <c r="K739" s="5" t="s">
        <v>103</v>
      </c>
      <c r="L739" s="5">
        <v>1</v>
      </c>
      <c r="M739" s="5">
        <v>69355</v>
      </c>
      <c r="N739" s="5">
        <v>10</v>
      </c>
      <c r="O739" s="5">
        <v>62419.5</v>
      </c>
      <c r="P739" s="5">
        <v>45130.37</v>
      </c>
      <c r="Q739" s="5">
        <v>17289.13</v>
      </c>
      <c r="R739" s="5" t="s">
        <v>32</v>
      </c>
      <c r="S739" s="5" t="s">
        <v>33</v>
      </c>
      <c r="T739" s="5" t="s">
        <v>65</v>
      </c>
      <c r="U739" s="5">
        <v>1</v>
      </c>
      <c r="V739" s="5" t="s">
        <v>45</v>
      </c>
    </row>
    <row r="740" spans="1:22" x14ac:dyDescent="0.3">
      <c r="A740" s="5" t="s">
        <v>1270</v>
      </c>
      <c r="B740" s="6">
        <v>46199</v>
      </c>
      <c r="C740" s="5" t="s">
        <v>1271</v>
      </c>
      <c r="D740" s="5" t="s">
        <v>89</v>
      </c>
      <c r="E740" s="5" t="s">
        <v>49</v>
      </c>
      <c r="F740" s="5" t="s">
        <v>50</v>
      </c>
      <c r="G740" s="5" t="s">
        <v>51</v>
      </c>
      <c r="H740" s="5" t="s">
        <v>762</v>
      </c>
      <c r="I740" s="5" t="s">
        <v>763</v>
      </c>
      <c r="J740" s="5" t="s">
        <v>54</v>
      </c>
      <c r="K740" s="5" t="s">
        <v>55</v>
      </c>
      <c r="L740" s="5">
        <v>3</v>
      </c>
      <c r="M740" s="5">
        <v>29717</v>
      </c>
      <c r="N740" s="5">
        <v>15</v>
      </c>
      <c r="O740" s="5">
        <v>75778.350000000006</v>
      </c>
      <c r="P740" s="5">
        <v>75739.72</v>
      </c>
      <c r="Q740" s="5">
        <v>38.630000000000003</v>
      </c>
      <c r="R740" s="5" t="s">
        <v>44</v>
      </c>
      <c r="S740" s="5" t="s">
        <v>33</v>
      </c>
      <c r="T740" s="5" t="s">
        <v>34</v>
      </c>
      <c r="U740" s="5">
        <v>4</v>
      </c>
      <c r="V740" s="5" t="s">
        <v>45</v>
      </c>
    </row>
    <row r="741" spans="1:22" x14ac:dyDescent="0.3">
      <c r="A741" s="5" t="s">
        <v>1272</v>
      </c>
      <c r="B741" s="6">
        <v>46140</v>
      </c>
      <c r="C741" s="5" t="s">
        <v>93</v>
      </c>
      <c r="D741" s="5" t="s">
        <v>24</v>
      </c>
      <c r="E741" s="5" t="s">
        <v>49</v>
      </c>
      <c r="F741" s="5" t="s">
        <v>50</v>
      </c>
      <c r="G741" s="5" t="s">
        <v>51</v>
      </c>
      <c r="H741" s="5" t="s">
        <v>90</v>
      </c>
      <c r="I741" s="5" t="s">
        <v>91</v>
      </c>
      <c r="J741" s="5" t="s">
        <v>71</v>
      </c>
      <c r="K741" s="5" t="s">
        <v>81</v>
      </c>
      <c r="L741" s="5">
        <v>3</v>
      </c>
      <c r="M741" s="5">
        <v>66767</v>
      </c>
      <c r="N741" s="5">
        <v>5</v>
      </c>
      <c r="O741" s="5">
        <v>190285.95</v>
      </c>
      <c r="P741" s="5">
        <v>165437.6</v>
      </c>
      <c r="Q741" s="5">
        <v>24848.35</v>
      </c>
      <c r="R741" s="5" t="s">
        <v>44</v>
      </c>
      <c r="S741" s="5" t="s">
        <v>33</v>
      </c>
      <c r="T741" s="5" t="s">
        <v>65</v>
      </c>
      <c r="U741" s="5">
        <v>4</v>
      </c>
      <c r="V741" s="5" t="s">
        <v>45</v>
      </c>
    </row>
    <row r="742" spans="1:22" x14ac:dyDescent="0.3">
      <c r="A742" s="5" t="s">
        <v>1273</v>
      </c>
      <c r="B742" s="6">
        <v>46048</v>
      </c>
      <c r="C742" s="5" t="s">
        <v>202</v>
      </c>
      <c r="D742" s="5" t="s">
        <v>38</v>
      </c>
      <c r="E742" s="5" t="s">
        <v>94</v>
      </c>
      <c r="F742" s="5" t="s">
        <v>26</v>
      </c>
      <c r="G742" s="5" t="s">
        <v>27</v>
      </c>
      <c r="H742" s="5" t="s">
        <v>295</v>
      </c>
      <c r="I742" s="5" t="s">
        <v>296</v>
      </c>
      <c r="J742" s="5" t="s">
        <v>30</v>
      </c>
      <c r="K742" s="5" t="s">
        <v>31</v>
      </c>
      <c r="L742" s="5">
        <v>2</v>
      </c>
      <c r="M742" s="5">
        <v>52599</v>
      </c>
      <c r="N742" s="5">
        <v>15</v>
      </c>
      <c r="O742" s="5">
        <v>89418.3</v>
      </c>
      <c r="P742" s="5">
        <v>74921.399999999994</v>
      </c>
      <c r="Q742" s="5">
        <v>14496.9</v>
      </c>
      <c r="R742" s="5" t="s">
        <v>64</v>
      </c>
      <c r="S742" s="5" t="s">
        <v>33</v>
      </c>
      <c r="T742" s="5" t="s">
        <v>34</v>
      </c>
      <c r="U742" s="5">
        <v>2</v>
      </c>
      <c r="V742" s="5" t="s">
        <v>45</v>
      </c>
    </row>
    <row r="743" spans="1:22" x14ac:dyDescent="0.3">
      <c r="A743" s="5" t="s">
        <v>1274</v>
      </c>
      <c r="B743" s="6">
        <v>46156</v>
      </c>
      <c r="C743" s="5" t="s">
        <v>23</v>
      </c>
      <c r="D743" s="5" t="s">
        <v>76</v>
      </c>
      <c r="E743" s="5" t="s">
        <v>39</v>
      </c>
      <c r="F743" s="5" t="s">
        <v>40</v>
      </c>
      <c r="G743" s="5" t="s">
        <v>41</v>
      </c>
      <c r="H743" s="5" t="s">
        <v>213</v>
      </c>
      <c r="I743" s="5" t="s">
        <v>214</v>
      </c>
      <c r="J743" s="5" t="s">
        <v>54</v>
      </c>
      <c r="K743" s="5" t="s">
        <v>97</v>
      </c>
      <c r="L743" s="5">
        <v>1</v>
      </c>
      <c r="M743" s="5">
        <v>52144</v>
      </c>
      <c r="N743" s="5">
        <v>20</v>
      </c>
      <c r="O743" s="5">
        <v>41715.199999999997</v>
      </c>
      <c r="P743" s="5">
        <v>43901.31</v>
      </c>
      <c r="Q743" s="5">
        <v>-2186.11</v>
      </c>
      <c r="R743" s="5" t="s">
        <v>32</v>
      </c>
      <c r="S743" s="5" t="s">
        <v>82</v>
      </c>
      <c r="T743" s="5" t="s">
        <v>73</v>
      </c>
      <c r="U743" s="5">
        <v>3</v>
      </c>
      <c r="V743" s="5" t="s">
        <v>45</v>
      </c>
    </row>
    <row r="744" spans="1:22" x14ac:dyDescent="0.3">
      <c r="A744" s="5" t="s">
        <v>1275</v>
      </c>
      <c r="B744" s="6">
        <v>46149</v>
      </c>
      <c r="C744" s="5" t="s">
        <v>315</v>
      </c>
      <c r="D744" s="5" t="s">
        <v>76</v>
      </c>
      <c r="E744" s="5" t="s">
        <v>59</v>
      </c>
      <c r="F744" s="5" t="s">
        <v>60</v>
      </c>
      <c r="G744" s="5" t="s">
        <v>61</v>
      </c>
      <c r="H744" s="5" t="s">
        <v>147</v>
      </c>
      <c r="I744" s="5" t="s">
        <v>148</v>
      </c>
      <c r="J744" s="5" t="s">
        <v>71</v>
      </c>
      <c r="K744" s="5" t="s">
        <v>81</v>
      </c>
      <c r="L744" s="5">
        <v>3</v>
      </c>
      <c r="M744" s="5">
        <v>21467</v>
      </c>
      <c r="N744" s="5">
        <v>0</v>
      </c>
      <c r="O744" s="5">
        <v>64401</v>
      </c>
      <c r="P744" s="5">
        <v>53870.05</v>
      </c>
      <c r="Q744" s="5">
        <v>10530.95</v>
      </c>
      <c r="R744" s="5" t="s">
        <v>32</v>
      </c>
      <c r="S744" s="5" t="s">
        <v>82</v>
      </c>
      <c r="T744" s="5" t="s">
        <v>73</v>
      </c>
      <c r="U744" s="5">
        <v>1</v>
      </c>
      <c r="V744" s="5" t="s">
        <v>45</v>
      </c>
    </row>
    <row r="745" spans="1:22" x14ac:dyDescent="0.3">
      <c r="A745" s="5" t="s">
        <v>1276</v>
      </c>
      <c r="B745" s="6">
        <v>46155</v>
      </c>
      <c r="C745" s="5" t="s">
        <v>383</v>
      </c>
      <c r="D745" s="5" t="s">
        <v>58</v>
      </c>
      <c r="E745" s="5" t="s">
        <v>39</v>
      </c>
      <c r="F745" s="5" t="s">
        <v>40</v>
      </c>
      <c r="G745" s="5" t="s">
        <v>41</v>
      </c>
      <c r="H745" s="5" t="s">
        <v>440</v>
      </c>
      <c r="I745" s="5" t="s">
        <v>441</v>
      </c>
      <c r="J745" s="5" t="s">
        <v>30</v>
      </c>
      <c r="K745" s="5" t="s">
        <v>31</v>
      </c>
      <c r="L745" s="5">
        <v>5</v>
      </c>
      <c r="M745" s="5">
        <v>44429</v>
      </c>
      <c r="N745" s="5">
        <v>10</v>
      </c>
      <c r="O745" s="5">
        <v>199930.5</v>
      </c>
      <c r="P745" s="5">
        <v>139352.94</v>
      </c>
      <c r="Q745" s="5">
        <v>60577.56</v>
      </c>
      <c r="R745" s="5" t="s">
        <v>64</v>
      </c>
      <c r="S745" s="5" t="s">
        <v>82</v>
      </c>
      <c r="T745" s="5" t="s">
        <v>34</v>
      </c>
      <c r="U745" s="5">
        <v>5</v>
      </c>
      <c r="V745" s="5" t="s">
        <v>45</v>
      </c>
    </row>
    <row r="746" spans="1:22" x14ac:dyDescent="0.3">
      <c r="A746" s="5" t="s">
        <v>1277</v>
      </c>
      <c r="B746" s="6">
        <v>46113</v>
      </c>
      <c r="C746" s="5" t="s">
        <v>952</v>
      </c>
      <c r="D746" s="5" t="s">
        <v>68</v>
      </c>
      <c r="E746" s="5" t="s">
        <v>126</v>
      </c>
      <c r="F746" s="5" t="s">
        <v>126</v>
      </c>
      <c r="G746" s="5" t="s">
        <v>51</v>
      </c>
      <c r="H746" s="5" t="s">
        <v>338</v>
      </c>
      <c r="I746" s="5" t="s">
        <v>339</v>
      </c>
      <c r="J746" s="5" t="s">
        <v>54</v>
      </c>
      <c r="K746" s="5" t="s">
        <v>97</v>
      </c>
      <c r="L746" s="5">
        <v>1</v>
      </c>
      <c r="M746" s="5">
        <v>647</v>
      </c>
      <c r="N746" s="5">
        <v>15</v>
      </c>
      <c r="O746" s="5">
        <v>549.95000000000005</v>
      </c>
      <c r="P746" s="5">
        <v>474.98</v>
      </c>
      <c r="Q746" s="5">
        <v>74.97</v>
      </c>
      <c r="R746" s="5" t="s">
        <v>64</v>
      </c>
      <c r="S746" s="5" t="s">
        <v>82</v>
      </c>
      <c r="T746" s="5" t="s">
        <v>73</v>
      </c>
      <c r="U746" s="5">
        <v>3</v>
      </c>
      <c r="V746" s="5" t="s">
        <v>45</v>
      </c>
    </row>
    <row r="747" spans="1:22" x14ac:dyDescent="0.3">
      <c r="A747" s="5" t="s">
        <v>1278</v>
      </c>
      <c r="B747" s="6">
        <v>46185</v>
      </c>
      <c r="C747" s="5" t="s">
        <v>244</v>
      </c>
      <c r="D747" s="5" t="s">
        <v>117</v>
      </c>
      <c r="E747" s="5" t="s">
        <v>39</v>
      </c>
      <c r="F747" s="5" t="s">
        <v>40</v>
      </c>
      <c r="G747" s="5" t="s">
        <v>41</v>
      </c>
      <c r="H747" s="5" t="s">
        <v>406</v>
      </c>
      <c r="I747" s="5" t="s">
        <v>407</v>
      </c>
      <c r="J747" s="5" t="s">
        <v>30</v>
      </c>
      <c r="K747" s="5" t="s">
        <v>31</v>
      </c>
      <c r="L747" s="5">
        <v>4</v>
      </c>
      <c r="M747" s="5">
        <v>19074</v>
      </c>
      <c r="N747" s="5">
        <v>20</v>
      </c>
      <c r="O747" s="5">
        <v>61036.800000000003</v>
      </c>
      <c r="P747" s="5">
        <v>44626.16</v>
      </c>
      <c r="Q747" s="5">
        <v>16410.64</v>
      </c>
      <c r="R747" s="5" t="s">
        <v>64</v>
      </c>
      <c r="S747" s="5" t="s">
        <v>33</v>
      </c>
      <c r="T747" s="5" t="s">
        <v>34</v>
      </c>
      <c r="U747" s="5">
        <v>3</v>
      </c>
      <c r="V747" s="5" t="s">
        <v>45</v>
      </c>
    </row>
    <row r="748" spans="1:22" x14ac:dyDescent="0.3">
      <c r="A748" s="5" t="s">
        <v>1279</v>
      </c>
      <c r="B748" s="6">
        <v>46140</v>
      </c>
      <c r="C748" s="5" t="s">
        <v>150</v>
      </c>
      <c r="D748" s="5" t="s">
        <v>68</v>
      </c>
      <c r="E748" s="5" t="s">
        <v>126</v>
      </c>
      <c r="F748" s="5" t="s">
        <v>126</v>
      </c>
      <c r="G748" s="5" t="s">
        <v>51</v>
      </c>
      <c r="H748" s="5" t="s">
        <v>241</v>
      </c>
      <c r="I748" s="5" t="s">
        <v>242</v>
      </c>
      <c r="J748" s="5" t="s">
        <v>54</v>
      </c>
      <c r="K748" s="5" t="s">
        <v>55</v>
      </c>
      <c r="L748" s="5">
        <v>3</v>
      </c>
      <c r="M748" s="5">
        <v>41739</v>
      </c>
      <c r="N748" s="5">
        <v>0</v>
      </c>
      <c r="O748" s="5">
        <v>125217</v>
      </c>
      <c r="P748" s="5">
        <v>72635.929999999993</v>
      </c>
      <c r="Q748" s="5">
        <v>52581.07</v>
      </c>
      <c r="R748" s="5" t="s">
        <v>44</v>
      </c>
      <c r="S748" s="5" t="s">
        <v>33</v>
      </c>
      <c r="T748" s="5" t="s">
        <v>34</v>
      </c>
      <c r="U748" s="5">
        <v>1</v>
      </c>
      <c r="V748" s="5" t="s">
        <v>45</v>
      </c>
    </row>
    <row r="749" spans="1:22" x14ac:dyDescent="0.3">
      <c r="A749" s="5" t="s">
        <v>1280</v>
      </c>
      <c r="B749" s="6">
        <v>46027</v>
      </c>
      <c r="C749" s="5" t="s">
        <v>579</v>
      </c>
      <c r="D749" s="5" t="s">
        <v>117</v>
      </c>
      <c r="E749" s="5" t="s">
        <v>39</v>
      </c>
      <c r="F749" s="5" t="s">
        <v>40</v>
      </c>
      <c r="G749" s="5" t="s">
        <v>41</v>
      </c>
      <c r="H749" s="5" t="s">
        <v>180</v>
      </c>
      <c r="I749" s="5" t="s">
        <v>181</v>
      </c>
      <c r="J749" s="5" t="s">
        <v>54</v>
      </c>
      <c r="K749" s="5" t="s">
        <v>55</v>
      </c>
      <c r="L749" s="5">
        <v>2</v>
      </c>
      <c r="M749" s="5">
        <v>53095</v>
      </c>
      <c r="N749" s="5">
        <v>20</v>
      </c>
      <c r="O749" s="5">
        <v>84952</v>
      </c>
      <c r="P749" s="5">
        <v>64089.440000000002</v>
      </c>
      <c r="Q749" s="5">
        <v>20862.560000000001</v>
      </c>
      <c r="R749" s="5" t="s">
        <v>32</v>
      </c>
      <c r="S749" s="5" t="s">
        <v>82</v>
      </c>
      <c r="T749" s="5" t="s">
        <v>65</v>
      </c>
      <c r="U749" s="5">
        <v>3</v>
      </c>
      <c r="V749" s="5" t="s">
        <v>45</v>
      </c>
    </row>
    <row r="750" spans="1:22" x14ac:dyDescent="0.3">
      <c r="A750" s="5" t="s">
        <v>1281</v>
      </c>
      <c r="B750" s="6">
        <v>46078</v>
      </c>
      <c r="C750" s="5" t="s">
        <v>1282</v>
      </c>
      <c r="D750" s="5" t="s">
        <v>89</v>
      </c>
      <c r="E750" s="5" t="s">
        <v>126</v>
      </c>
      <c r="F750" s="5" t="s">
        <v>126</v>
      </c>
      <c r="G750" s="5" t="s">
        <v>51</v>
      </c>
      <c r="H750" s="5" t="s">
        <v>431</v>
      </c>
      <c r="I750" s="5" t="s">
        <v>432</v>
      </c>
      <c r="J750" s="5" t="s">
        <v>30</v>
      </c>
      <c r="K750" s="5" t="s">
        <v>31</v>
      </c>
      <c r="L750" s="5">
        <v>1</v>
      </c>
      <c r="M750" s="5">
        <v>18382</v>
      </c>
      <c r="N750" s="5">
        <v>5</v>
      </c>
      <c r="O750" s="5">
        <v>17462.900000000001</v>
      </c>
      <c r="P750" s="5">
        <v>13758.63</v>
      </c>
      <c r="Q750" s="5">
        <v>3704.27</v>
      </c>
      <c r="R750" s="5" t="s">
        <v>32</v>
      </c>
      <c r="S750" s="5" t="s">
        <v>82</v>
      </c>
      <c r="T750" s="5" t="s">
        <v>73</v>
      </c>
      <c r="U750" s="5">
        <v>3</v>
      </c>
      <c r="V750" s="5" t="s">
        <v>35</v>
      </c>
    </row>
    <row r="751" spans="1:22" x14ac:dyDescent="0.3">
      <c r="A751" s="5" t="s">
        <v>1283</v>
      </c>
      <c r="B751" s="6">
        <v>46171</v>
      </c>
      <c r="C751" s="5" t="s">
        <v>1268</v>
      </c>
      <c r="D751" s="5" t="s">
        <v>58</v>
      </c>
      <c r="E751" s="5" t="s">
        <v>25</v>
      </c>
      <c r="F751" s="5" t="s">
        <v>26</v>
      </c>
      <c r="G751" s="5" t="s">
        <v>27</v>
      </c>
      <c r="H751" s="5" t="s">
        <v>52</v>
      </c>
      <c r="I751" s="5" t="s">
        <v>53</v>
      </c>
      <c r="J751" s="5" t="s">
        <v>54</v>
      </c>
      <c r="K751" s="5" t="s">
        <v>55</v>
      </c>
      <c r="L751" s="5">
        <v>3</v>
      </c>
      <c r="M751" s="5">
        <v>60553</v>
      </c>
      <c r="N751" s="5">
        <v>0</v>
      </c>
      <c r="O751" s="5">
        <v>181659</v>
      </c>
      <c r="P751" s="5">
        <v>129234.11</v>
      </c>
      <c r="Q751" s="5">
        <v>52424.89</v>
      </c>
      <c r="R751" s="5" t="s">
        <v>32</v>
      </c>
      <c r="S751" s="5" t="s">
        <v>33</v>
      </c>
      <c r="T751" s="5" t="s">
        <v>73</v>
      </c>
      <c r="U751" s="5">
        <v>3</v>
      </c>
      <c r="V751" s="5" t="s">
        <v>35</v>
      </c>
    </row>
    <row r="752" spans="1:22" x14ac:dyDescent="0.3">
      <c r="A752" s="5" t="s">
        <v>1284</v>
      </c>
      <c r="B752" s="6">
        <v>46097</v>
      </c>
      <c r="C752" s="5" t="s">
        <v>1285</v>
      </c>
      <c r="D752" s="5" t="s">
        <v>38</v>
      </c>
      <c r="E752" s="5" t="s">
        <v>39</v>
      </c>
      <c r="F752" s="5" t="s">
        <v>40</v>
      </c>
      <c r="G752" s="5" t="s">
        <v>41</v>
      </c>
      <c r="H752" s="5" t="s">
        <v>447</v>
      </c>
      <c r="I752" s="5" t="s">
        <v>448</v>
      </c>
      <c r="J752" s="5" t="s">
        <v>71</v>
      </c>
      <c r="K752" s="5" t="s">
        <v>72</v>
      </c>
      <c r="L752" s="5">
        <v>1</v>
      </c>
      <c r="M752" s="5">
        <v>60165</v>
      </c>
      <c r="N752" s="5">
        <v>20</v>
      </c>
      <c r="O752" s="5">
        <v>48132</v>
      </c>
      <c r="P752" s="5">
        <v>47353.2</v>
      </c>
      <c r="Q752" s="5">
        <v>778.8</v>
      </c>
      <c r="R752" s="5" t="s">
        <v>44</v>
      </c>
      <c r="S752" s="5" t="s">
        <v>82</v>
      </c>
      <c r="T752" s="5" t="s">
        <v>73</v>
      </c>
      <c r="U752" s="5">
        <v>3</v>
      </c>
      <c r="V752" s="5" t="s">
        <v>45</v>
      </c>
    </row>
    <row r="753" spans="1:22" x14ac:dyDescent="0.3">
      <c r="A753" s="5" t="s">
        <v>1286</v>
      </c>
      <c r="B753" s="6">
        <v>46037</v>
      </c>
      <c r="C753" s="5" t="s">
        <v>780</v>
      </c>
      <c r="D753" s="5" t="s">
        <v>38</v>
      </c>
      <c r="E753" s="5" t="s">
        <v>126</v>
      </c>
      <c r="F753" s="5" t="s">
        <v>126</v>
      </c>
      <c r="G753" s="5" t="s">
        <v>51</v>
      </c>
      <c r="H753" s="5" t="s">
        <v>234</v>
      </c>
      <c r="I753" s="5" t="s">
        <v>235</v>
      </c>
      <c r="J753" s="5" t="s">
        <v>102</v>
      </c>
      <c r="K753" s="5" t="s">
        <v>103</v>
      </c>
      <c r="L753" s="5">
        <v>5</v>
      </c>
      <c r="M753" s="5">
        <v>63505</v>
      </c>
      <c r="N753" s="5">
        <v>10</v>
      </c>
      <c r="O753" s="5">
        <v>285772.5</v>
      </c>
      <c r="P753" s="5">
        <v>236941.46</v>
      </c>
      <c r="Q753" s="5">
        <v>48831.040000000001</v>
      </c>
      <c r="R753" s="5" t="s">
        <v>32</v>
      </c>
      <c r="S753" s="5" t="s">
        <v>82</v>
      </c>
      <c r="T753" s="5" t="s">
        <v>65</v>
      </c>
      <c r="U753" s="5">
        <v>5</v>
      </c>
      <c r="V753" s="5" t="s">
        <v>45</v>
      </c>
    </row>
    <row r="754" spans="1:22" x14ac:dyDescent="0.3">
      <c r="A754" s="5" t="s">
        <v>1287</v>
      </c>
      <c r="B754" s="6">
        <v>46185</v>
      </c>
      <c r="C754" s="5" t="s">
        <v>952</v>
      </c>
      <c r="D754" s="5" t="s">
        <v>48</v>
      </c>
      <c r="E754" s="5" t="s">
        <v>59</v>
      </c>
      <c r="F754" s="5" t="s">
        <v>60</v>
      </c>
      <c r="G754" s="5" t="s">
        <v>61</v>
      </c>
      <c r="H754" s="5" t="s">
        <v>62</v>
      </c>
      <c r="I754" s="5" t="s">
        <v>63</v>
      </c>
      <c r="J754" s="5" t="s">
        <v>54</v>
      </c>
      <c r="K754" s="5" t="s">
        <v>55</v>
      </c>
      <c r="L754" s="5">
        <v>5</v>
      </c>
      <c r="M754" s="5">
        <v>37043</v>
      </c>
      <c r="N754" s="5">
        <v>0</v>
      </c>
      <c r="O754" s="5">
        <v>185215</v>
      </c>
      <c r="P754" s="5">
        <v>114472.63</v>
      </c>
      <c r="Q754" s="5">
        <v>70742.37</v>
      </c>
      <c r="R754" s="5" t="s">
        <v>44</v>
      </c>
      <c r="S754" s="5" t="s">
        <v>82</v>
      </c>
      <c r="T754" s="5" t="s">
        <v>65</v>
      </c>
      <c r="U754" s="5">
        <v>1</v>
      </c>
      <c r="V754" s="5" t="s">
        <v>45</v>
      </c>
    </row>
    <row r="755" spans="1:22" x14ac:dyDescent="0.3">
      <c r="A755" s="5" t="s">
        <v>1288</v>
      </c>
      <c r="B755" s="6">
        <v>46196</v>
      </c>
      <c r="C755" s="5" t="s">
        <v>196</v>
      </c>
      <c r="D755" s="5" t="s">
        <v>151</v>
      </c>
      <c r="E755" s="5" t="s">
        <v>49</v>
      </c>
      <c r="F755" s="5" t="s">
        <v>50</v>
      </c>
      <c r="G755" s="5" t="s">
        <v>51</v>
      </c>
      <c r="H755" s="5" t="s">
        <v>206</v>
      </c>
      <c r="I755" s="5" t="s">
        <v>207</v>
      </c>
      <c r="J755" s="5" t="s">
        <v>30</v>
      </c>
      <c r="K755" s="5" t="s">
        <v>31</v>
      </c>
      <c r="L755" s="5">
        <v>1</v>
      </c>
      <c r="M755" s="5">
        <v>48490</v>
      </c>
      <c r="N755" s="5">
        <v>0</v>
      </c>
      <c r="O755" s="5">
        <v>48490</v>
      </c>
      <c r="P755" s="5">
        <v>32338.71</v>
      </c>
      <c r="Q755" s="5">
        <v>16151.29</v>
      </c>
      <c r="R755" s="5" t="s">
        <v>44</v>
      </c>
      <c r="S755" s="5" t="s">
        <v>82</v>
      </c>
      <c r="T755" s="5" t="s">
        <v>73</v>
      </c>
      <c r="U755" s="5">
        <v>3</v>
      </c>
      <c r="V755" s="5" t="s">
        <v>45</v>
      </c>
    </row>
    <row r="756" spans="1:22" x14ac:dyDescent="0.3">
      <c r="A756" s="5" t="s">
        <v>1289</v>
      </c>
      <c r="B756" s="6">
        <v>46134</v>
      </c>
      <c r="C756" s="5" t="s">
        <v>494</v>
      </c>
      <c r="D756" s="5" t="s">
        <v>38</v>
      </c>
      <c r="E756" s="5" t="s">
        <v>49</v>
      </c>
      <c r="F756" s="5" t="s">
        <v>50</v>
      </c>
      <c r="G756" s="5" t="s">
        <v>51</v>
      </c>
      <c r="H756" s="5" t="s">
        <v>100</v>
      </c>
      <c r="I756" s="5" t="s">
        <v>101</v>
      </c>
      <c r="J756" s="5" t="s">
        <v>102</v>
      </c>
      <c r="K756" s="5" t="s">
        <v>103</v>
      </c>
      <c r="L756" s="5">
        <v>2</v>
      </c>
      <c r="M756" s="5">
        <v>74023</v>
      </c>
      <c r="N756" s="5">
        <v>5</v>
      </c>
      <c r="O756" s="5">
        <v>140643.70000000001</v>
      </c>
      <c r="P756" s="5">
        <v>96493.67</v>
      </c>
      <c r="Q756" s="5">
        <v>44150.03</v>
      </c>
      <c r="R756" s="5" t="s">
        <v>44</v>
      </c>
      <c r="S756" s="5" t="s">
        <v>82</v>
      </c>
      <c r="T756" s="5" t="s">
        <v>73</v>
      </c>
      <c r="U756" s="5">
        <v>5</v>
      </c>
      <c r="V756" s="5" t="s">
        <v>45</v>
      </c>
    </row>
    <row r="757" spans="1:22" x14ac:dyDescent="0.3">
      <c r="A757" s="5" t="s">
        <v>1290</v>
      </c>
      <c r="B757" s="6">
        <v>46133</v>
      </c>
      <c r="C757" s="5" t="s">
        <v>652</v>
      </c>
      <c r="D757" s="5" t="s">
        <v>24</v>
      </c>
      <c r="E757" s="5" t="s">
        <v>126</v>
      </c>
      <c r="F757" s="5" t="s">
        <v>126</v>
      </c>
      <c r="G757" s="5" t="s">
        <v>51</v>
      </c>
      <c r="H757" s="5" t="s">
        <v>401</v>
      </c>
      <c r="I757" s="5" t="s">
        <v>402</v>
      </c>
      <c r="J757" s="5" t="s">
        <v>102</v>
      </c>
      <c r="K757" s="5" t="s">
        <v>103</v>
      </c>
      <c r="L757" s="5">
        <v>1</v>
      </c>
      <c r="M757" s="5">
        <v>31488</v>
      </c>
      <c r="N757" s="5">
        <v>0</v>
      </c>
      <c r="O757" s="5">
        <v>31488</v>
      </c>
      <c r="P757" s="5">
        <v>26109.91</v>
      </c>
      <c r="Q757" s="5">
        <v>5378.09</v>
      </c>
      <c r="R757" s="5" t="s">
        <v>32</v>
      </c>
      <c r="S757" s="5" t="s">
        <v>82</v>
      </c>
      <c r="T757" s="5" t="s">
        <v>73</v>
      </c>
      <c r="U757" s="5">
        <v>2</v>
      </c>
      <c r="V757" s="5" t="s">
        <v>35</v>
      </c>
    </row>
    <row r="758" spans="1:22" x14ac:dyDescent="0.3">
      <c r="A758" s="5" t="s">
        <v>1291</v>
      </c>
      <c r="B758" s="6">
        <v>46153</v>
      </c>
      <c r="C758" s="5" t="s">
        <v>1184</v>
      </c>
      <c r="D758" s="5" t="s">
        <v>48</v>
      </c>
      <c r="E758" s="5" t="s">
        <v>126</v>
      </c>
      <c r="F758" s="5" t="s">
        <v>126</v>
      </c>
      <c r="G758" s="5" t="s">
        <v>51</v>
      </c>
      <c r="H758" s="5" t="s">
        <v>306</v>
      </c>
      <c r="I758" s="5" t="s">
        <v>307</v>
      </c>
      <c r="J758" s="5" t="s">
        <v>71</v>
      </c>
      <c r="K758" s="5" t="s">
        <v>81</v>
      </c>
      <c r="L758" s="5">
        <v>1</v>
      </c>
      <c r="M758" s="5">
        <v>72134</v>
      </c>
      <c r="N758" s="5">
        <v>20</v>
      </c>
      <c r="O758" s="5">
        <v>57707.199999999997</v>
      </c>
      <c r="P758" s="5">
        <v>47975.58</v>
      </c>
      <c r="Q758" s="5">
        <v>9731.6200000000008</v>
      </c>
      <c r="R758" s="5" t="s">
        <v>44</v>
      </c>
      <c r="S758" s="5" t="s">
        <v>33</v>
      </c>
      <c r="T758" s="5" t="s">
        <v>34</v>
      </c>
      <c r="U758" s="5">
        <v>2</v>
      </c>
      <c r="V758" s="5" t="s">
        <v>35</v>
      </c>
    </row>
    <row r="759" spans="1:22" x14ac:dyDescent="0.3">
      <c r="A759" s="5" t="s">
        <v>1292</v>
      </c>
      <c r="B759" s="6">
        <v>46190</v>
      </c>
      <c r="C759" s="5" t="s">
        <v>770</v>
      </c>
      <c r="D759" s="5" t="s">
        <v>151</v>
      </c>
      <c r="E759" s="5" t="s">
        <v>25</v>
      </c>
      <c r="F759" s="5" t="s">
        <v>26</v>
      </c>
      <c r="G759" s="5" t="s">
        <v>27</v>
      </c>
      <c r="H759" s="5" t="s">
        <v>28</v>
      </c>
      <c r="I759" s="5" t="s">
        <v>29</v>
      </c>
      <c r="J759" s="5" t="s">
        <v>30</v>
      </c>
      <c r="K759" s="5" t="s">
        <v>31</v>
      </c>
      <c r="L759" s="5">
        <v>5</v>
      </c>
      <c r="M759" s="5">
        <v>24252</v>
      </c>
      <c r="N759" s="5">
        <v>20</v>
      </c>
      <c r="O759" s="5">
        <v>97008</v>
      </c>
      <c r="P759" s="5">
        <v>88056.05</v>
      </c>
      <c r="Q759" s="5">
        <v>8951.9500000000007</v>
      </c>
      <c r="R759" s="5" t="s">
        <v>44</v>
      </c>
      <c r="S759" s="5" t="s">
        <v>33</v>
      </c>
      <c r="T759" s="5" t="s">
        <v>73</v>
      </c>
      <c r="U759" s="5">
        <v>5</v>
      </c>
      <c r="V759" s="5" t="s">
        <v>35</v>
      </c>
    </row>
    <row r="760" spans="1:22" x14ac:dyDescent="0.3">
      <c r="A760" s="5" t="s">
        <v>1293</v>
      </c>
      <c r="B760" s="6">
        <v>46115</v>
      </c>
      <c r="C760" s="5" t="s">
        <v>1294</v>
      </c>
      <c r="D760" s="5" t="s">
        <v>24</v>
      </c>
      <c r="E760" s="5" t="s">
        <v>77</v>
      </c>
      <c r="F760" s="5" t="s">
        <v>78</v>
      </c>
      <c r="G760" s="5" t="s">
        <v>41</v>
      </c>
      <c r="H760" s="5" t="s">
        <v>574</v>
      </c>
      <c r="I760" s="5" t="s">
        <v>575</v>
      </c>
      <c r="J760" s="5" t="s">
        <v>30</v>
      </c>
      <c r="K760" s="5" t="s">
        <v>31</v>
      </c>
      <c r="L760" s="5">
        <v>5</v>
      </c>
      <c r="M760" s="5">
        <v>52518</v>
      </c>
      <c r="N760" s="5">
        <v>0</v>
      </c>
      <c r="O760" s="5">
        <v>262590</v>
      </c>
      <c r="P760" s="5">
        <v>168016.45</v>
      </c>
      <c r="Q760" s="5">
        <v>94573.55</v>
      </c>
      <c r="R760" s="5" t="s">
        <v>64</v>
      </c>
      <c r="S760" s="5" t="s">
        <v>82</v>
      </c>
      <c r="T760" s="5" t="s">
        <v>34</v>
      </c>
      <c r="U760" s="5">
        <v>2</v>
      </c>
      <c r="V760" s="5" t="s">
        <v>35</v>
      </c>
    </row>
    <row r="761" spans="1:22" x14ac:dyDescent="0.3">
      <c r="A761" s="5" t="s">
        <v>1295</v>
      </c>
      <c r="B761" s="6">
        <v>46045</v>
      </c>
      <c r="C761" s="5" t="s">
        <v>581</v>
      </c>
      <c r="D761" s="5" t="s">
        <v>89</v>
      </c>
      <c r="E761" s="5" t="s">
        <v>59</v>
      </c>
      <c r="F761" s="5" t="s">
        <v>60</v>
      </c>
      <c r="G761" s="5" t="s">
        <v>61</v>
      </c>
      <c r="H761" s="5" t="s">
        <v>396</v>
      </c>
      <c r="I761" s="5" t="s">
        <v>397</v>
      </c>
      <c r="J761" s="5" t="s">
        <v>54</v>
      </c>
      <c r="K761" s="5" t="s">
        <v>55</v>
      </c>
      <c r="L761" s="5">
        <v>3</v>
      </c>
      <c r="M761" s="5">
        <v>13452</v>
      </c>
      <c r="N761" s="5">
        <v>20</v>
      </c>
      <c r="O761" s="5">
        <v>32284.799999999999</v>
      </c>
      <c r="P761" s="5">
        <v>26970.18</v>
      </c>
      <c r="Q761" s="5">
        <v>5314.62</v>
      </c>
      <c r="R761" s="5" t="s">
        <v>44</v>
      </c>
      <c r="S761" s="5" t="s">
        <v>33</v>
      </c>
      <c r="T761" s="5" t="s">
        <v>73</v>
      </c>
      <c r="U761" s="5">
        <v>2</v>
      </c>
      <c r="V761" s="5" t="s">
        <v>45</v>
      </c>
    </row>
    <row r="762" spans="1:22" x14ac:dyDescent="0.3">
      <c r="A762" s="5" t="s">
        <v>1296</v>
      </c>
      <c r="B762" s="6">
        <v>46123</v>
      </c>
      <c r="C762" s="5" t="s">
        <v>171</v>
      </c>
      <c r="D762" s="5" t="s">
        <v>89</v>
      </c>
      <c r="E762" s="5" t="s">
        <v>77</v>
      </c>
      <c r="F762" s="5" t="s">
        <v>78</v>
      </c>
      <c r="G762" s="5" t="s">
        <v>41</v>
      </c>
      <c r="H762" s="5" t="s">
        <v>358</v>
      </c>
      <c r="I762" s="5" t="s">
        <v>359</v>
      </c>
      <c r="J762" s="5" t="s">
        <v>102</v>
      </c>
      <c r="K762" s="5" t="s">
        <v>103</v>
      </c>
      <c r="L762" s="5">
        <v>1</v>
      </c>
      <c r="M762" s="5">
        <v>24566</v>
      </c>
      <c r="N762" s="5">
        <v>15</v>
      </c>
      <c r="O762" s="5">
        <v>20881.099999999999</v>
      </c>
      <c r="P762" s="5">
        <v>14916</v>
      </c>
      <c r="Q762" s="5">
        <v>5965.1</v>
      </c>
      <c r="R762" s="5" t="s">
        <v>32</v>
      </c>
      <c r="S762" s="5" t="s">
        <v>82</v>
      </c>
      <c r="T762" s="5" t="s">
        <v>65</v>
      </c>
      <c r="U762" s="5">
        <v>2</v>
      </c>
      <c r="V762" s="5" t="s">
        <v>45</v>
      </c>
    </row>
    <row r="763" spans="1:22" x14ac:dyDescent="0.3">
      <c r="A763" s="5" t="s">
        <v>1297</v>
      </c>
      <c r="B763" s="6">
        <v>46095</v>
      </c>
      <c r="C763" s="5" t="s">
        <v>652</v>
      </c>
      <c r="D763" s="5" t="s">
        <v>38</v>
      </c>
      <c r="E763" s="5" t="s">
        <v>126</v>
      </c>
      <c r="F763" s="5" t="s">
        <v>126</v>
      </c>
      <c r="G763" s="5" t="s">
        <v>51</v>
      </c>
      <c r="H763" s="5" t="s">
        <v>447</v>
      </c>
      <c r="I763" s="5" t="s">
        <v>448</v>
      </c>
      <c r="J763" s="5" t="s">
        <v>71</v>
      </c>
      <c r="K763" s="5" t="s">
        <v>72</v>
      </c>
      <c r="L763" s="5">
        <v>4</v>
      </c>
      <c r="M763" s="5">
        <v>17355</v>
      </c>
      <c r="N763" s="5">
        <v>0</v>
      </c>
      <c r="O763" s="5">
        <v>69420</v>
      </c>
      <c r="P763" s="5">
        <v>42309.53</v>
      </c>
      <c r="Q763" s="5">
        <v>27110.47</v>
      </c>
      <c r="R763" s="5" t="s">
        <v>44</v>
      </c>
      <c r="S763" s="5" t="s">
        <v>33</v>
      </c>
      <c r="T763" s="5" t="s">
        <v>34</v>
      </c>
      <c r="U763" s="5">
        <v>3</v>
      </c>
      <c r="V763" s="5" t="s">
        <v>35</v>
      </c>
    </row>
    <row r="764" spans="1:22" x14ac:dyDescent="0.3">
      <c r="A764" s="5" t="s">
        <v>1298</v>
      </c>
      <c r="B764" s="6">
        <v>46055</v>
      </c>
      <c r="C764" s="5" t="s">
        <v>556</v>
      </c>
      <c r="D764" s="5" t="s">
        <v>68</v>
      </c>
      <c r="E764" s="5" t="s">
        <v>77</v>
      </c>
      <c r="F764" s="5" t="s">
        <v>78</v>
      </c>
      <c r="G764" s="5" t="s">
        <v>41</v>
      </c>
      <c r="H764" s="5" t="s">
        <v>28</v>
      </c>
      <c r="I764" s="5" t="s">
        <v>29</v>
      </c>
      <c r="J764" s="5" t="s">
        <v>30</v>
      </c>
      <c r="K764" s="5" t="s">
        <v>31</v>
      </c>
      <c r="L764" s="5">
        <v>5</v>
      </c>
      <c r="M764" s="5">
        <v>49630</v>
      </c>
      <c r="N764" s="5">
        <v>10</v>
      </c>
      <c r="O764" s="5">
        <v>223335</v>
      </c>
      <c r="P764" s="5">
        <v>204629.42</v>
      </c>
      <c r="Q764" s="5">
        <v>18705.580000000002</v>
      </c>
      <c r="R764" s="5" t="s">
        <v>32</v>
      </c>
      <c r="S764" s="5" t="s">
        <v>33</v>
      </c>
      <c r="T764" s="5" t="s">
        <v>34</v>
      </c>
      <c r="U764" s="5">
        <v>3</v>
      </c>
      <c r="V764" s="5" t="s">
        <v>45</v>
      </c>
    </row>
    <row r="765" spans="1:22" x14ac:dyDescent="0.3">
      <c r="A765" s="5" t="s">
        <v>1299</v>
      </c>
      <c r="B765" s="6">
        <v>46024</v>
      </c>
      <c r="C765" s="5" t="s">
        <v>1171</v>
      </c>
      <c r="D765" s="5" t="s">
        <v>24</v>
      </c>
      <c r="E765" s="5" t="s">
        <v>39</v>
      </c>
      <c r="F765" s="5" t="s">
        <v>40</v>
      </c>
      <c r="G765" s="5" t="s">
        <v>41</v>
      </c>
      <c r="H765" s="5" t="s">
        <v>160</v>
      </c>
      <c r="I765" s="5" t="s">
        <v>161</v>
      </c>
      <c r="J765" s="5" t="s">
        <v>102</v>
      </c>
      <c r="K765" s="5" t="s">
        <v>103</v>
      </c>
      <c r="L765" s="5">
        <v>1</v>
      </c>
      <c r="M765" s="5">
        <v>71590</v>
      </c>
      <c r="N765" s="5">
        <v>20</v>
      </c>
      <c r="O765" s="5">
        <v>57272</v>
      </c>
      <c r="P765" s="5">
        <v>56322.11</v>
      </c>
      <c r="Q765" s="5">
        <v>949.89</v>
      </c>
      <c r="R765" s="5" t="s">
        <v>44</v>
      </c>
      <c r="S765" s="5" t="s">
        <v>33</v>
      </c>
      <c r="T765" s="5" t="s">
        <v>65</v>
      </c>
      <c r="U765" s="5">
        <v>4</v>
      </c>
      <c r="V765" s="5" t="s">
        <v>45</v>
      </c>
    </row>
    <row r="766" spans="1:22" x14ac:dyDescent="0.3">
      <c r="A766" s="5" t="s">
        <v>1300</v>
      </c>
      <c r="B766" s="6">
        <v>46112</v>
      </c>
      <c r="C766" s="5" t="s">
        <v>783</v>
      </c>
      <c r="D766" s="5" t="s">
        <v>151</v>
      </c>
      <c r="E766" s="5" t="s">
        <v>49</v>
      </c>
      <c r="F766" s="5" t="s">
        <v>50</v>
      </c>
      <c r="G766" s="5" t="s">
        <v>51</v>
      </c>
      <c r="H766" s="5" t="s">
        <v>762</v>
      </c>
      <c r="I766" s="5" t="s">
        <v>763</v>
      </c>
      <c r="J766" s="5" t="s">
        <v>54</v>
      </c>
      <c r="K766" s="5" t="s">
        <v>55</v>
      </c>
      <c r="L766" s="5">
        <v>4</v>
      </c>
      <c r="M766" s="5">
        <v>14313</v>
      </c>
      <c r="N766" s="5">
        <v>15</v>
      </c>
      <c r="O766" s="5">
        <v>48664.2</v>
      </c>
      <c r="P766" s="5">
        <v>36896.870000000003</v>
      </c>
      <c r="Q766" s="5">
        <v>11767.33</v>
      </c>
      <c r="R766" s="5" t="s">
        <v>44</v>
      </c>
      <c r="S766" s="5" t="s">
        <v>82</v>
      </c>
      <c r="T766" s="5" t="s">
        <v>34</v>
      </c>
      <c r="U766" s="5">
        <v>1</v>
      </c>
      <c r="V766" s="5" t="s">
        <v>35</v>
      </c>
    </row>
    <row r="767" spans="1:22" x14ac:dyDescent="0.3">
      <c r="A767" s="5" t="s">
        <v>1301</v>
      </c>
      <c r="B767" s="6">
        <v>46162</v>
      </c>
      <c r="C767" s="5" t="s">
        <v>607</v>
      </c>
      <c r="D767" s="5" t="s">
        <v>89</v>
      </c>
      <c r="E767" s="5" t="s">
        <v>39</v>
      </c>
      <c r="F767" s="5" t="s">
        <v>40</v>
      </c>
      <c r="G767" s="5" t="s">
        <v>41</v>
      </c>
      <c r="H767" s="5" t="s">
        <v>374</v>
      </c>
      <c r="I767" s="5" t="s">
        <v>375</v>
      </c>
      <c r="J767" s="5" t="s">
        <v>54</v>
      </c>
      <c r="K767" s="5" t="s">
        <v>55</v>
      </c>
      <c r="L767" s="5">
        <v>2</v>
      </c>
      <c r="M767" s="5">
        <v>4026</v>
      </c>
      <c r="N767" s="5">
        <v>20</v>
      </c>
      <c r="O767" s="5">
        <v>6441.6</v>
      </c>
      <c r="P767" s="5">
        <v>6378.23</v>
      </c>
      <c r="Q767" s="5">
        <v>63.37</v>
      </c>
      <c r="R767" s="5" t="s">
        <v>64</v>
      </c>
      <c r="S767" s="5" t="s">
        <v>33</v>
      </c>
      <c r="T767" s="5" t="s">
        <v>65</v>
      </c>
      <c r="U767" s="5">
        <v>4</v>
      </c>
      <c r="V767" s="5" t="s">
        <v>45</v>
      </c>
    </row>
    <row r="768" spans="1:22" x14ac:dyDescent="0.3">
      <c r="A768" s="5" t="s">
        <v>1302</v>
      </c>
      <c r="B768" s="6">
        <v>46188</v>
      </c>
      <c r="C768" s="5" t="s">
        <v>751</v>
      </c>
      <c r="D768" s="5" t="s">
        <v>76</v>
      </c>
      <c r="E768" s="5" t="s">
        <v>94</v>
      </c>
      <c r="F768" s="5" t="s">
        <v>26</v>
      </c>
      <c r="G768" s="5" t="s">
        <v>27</v>
      </c>
      <c r="H768" s="5" t="s">
        <v>678</v>
      </c>
      <c r="I768" s="5" t="s">
        <v>679</v>
      </c>
      <c r="J768" s="5" t="s">
        <v>54</v>
      </c>
      <c r="K768" s="5" t="s">
        <v>55</v>
      </c>
      <c r="L768" s="5">
        <v>4</v>
      </c>
      <c r="M768" s="5">
        <v>74029</v>
      </c>
      <c r="N768" s="5">
        <v>20</v>
      </c>
      <c r="O768" s="5">
        <v>236892.79999999999</v>
      </c>
      <c r="P768" s="5">
        <v>191574.88</v>
      </c>
      <c r="Q768" s="5">
        <v>45317.919999999998</v>
      </c>
      <c r="R768" s="5" t="s">
        <v>44</v>
      </c>
      <c r="S768" s="5" t="s">
        <v>33</v>
      </c>
      <c r="T768" s="5" t="s">
        <v>73</v>
      </c>
      <c r="U768" s="5">
        <v>1</v>
      </c>
      <c r="V768" s="5" t="s">
        <v>35</v>
      </c>
    </row>
    <row r="769" spans="1:22" x14ac:dyDescent="0.3">
      <c r="A769" s="5" t="s">
        <v>1303</v>
      </c>
      <c r="B769" s="6">
        <v>46037</v>
      </c>
      <c r="C769" s="5" t="s">
        <v>774</v>
      </c>
      <c r="D769" s="5" t="s">
        <v>151</v>
      </c>
      <c r="E769" s="5" t="s">
        <v>77</v>
      </c>
      <c r="F769" s="5" t="s">
        <v>78</v>
      </c>
      <c r="G769" s="5" t="s">
        <v>41</v>
      </c>
      <c r="H769" s="5" t="s">
        <v>238</v>
      </c>
      <c r="I769" s="5" t="s">
        <v>239</v>
      </c>
      <c r="J769" s="5" t="s">
        <v>71</v>
      </c>
      <c r="K769" s="5" t="s">
        <v>81</v>
      </c>
      <c r="L769" s="5">
        <v>5</v>
      </c>
      <c r="M769" s="5">
        <v>14937</v>
      </c>
      <c r="N769" s="5">
        <v>0</v>
      </c>
      <c r="O769" s="5">
        <v>74685</v>
      </c>
      <c r="P769" s="5">
        <v>50282.11</v>
      </c>
      <c r="Q769" s="5">
        <v>24402.89</v>
      </c>
      <c r="R769" s="5" t="s">
        <v>64</v>
      </c>
      <c r="S769" s="5" t="s">
        <v>33</v>
      </c>
      <c r="T769" s="5" t="s">
        <v>73</v>
      </c>
      <c r="U769" s="5">
        <v>1</v>
      </c>
      <c r="V769" s="5" t="s">
        <v>45</v>
      </c>
    </row>
    <row r="770" spans="1:22" x14ac:dyDescent="0.3">
      <c r="A770" s="5" t="s">
        <v>1304</v>
      </c>
      <c r="B770" s="6">
        <v>46066</v>
      </c>
      <c r="C770" s="5" t="s">
        <v>753</v>
      </c>
      <c r="D770" s="5" t="s">
        <v>89</v>
      </c>
      <c r="E770" s="5" t="s">
        <v>25</v>
      </c>
      <c r="F770" s="5" t="s">
        <v>26</v>
      </c>
      <c r="G770" s="5" t="s">
        <v>27</v>
      </c>
      <c r="H770" s="5" t="s">
        <v>95</v>
      </c>
      <c r="I770" s="5" t="s">
        <v>96</v>
      </c>
      <c r="J770" s="5" t="s">
        <v>54</v>
      </c>
      <c r="K770" s="5" t="s">
        <v>97</v>
      </c>
      <c r="L770" s="5">
        <v>2</v>
      </c>
      <c r="M770" s="5">
        <v>56615</v>
      </c>
      <c r="N770" s="5">
        <v>10</v>
      </c>
      <c r="O770" s="5">
        <v>101907</v>
      </c>
      <c r="P770" s="5">
        <v>78039.16</v>
      </c>
      <c r="Q770" s="5">
        <v>23867.84</v>
      </c>
      <c r="R770" s="5" t="s">
        <v>44</v>
      </c>
      <c r="S770" s="5" t="s">
        <v>82</v>
      </c>
      <c r="T770" s="5" t="s">
        <v>73</v>
      </c>
      <c r="U770" s="5">
        <v>2</v>
      </c>
      <c r="V770" s="5" t="s">
        <v>35</v>
      </c>
    </row>
    <row r="771" spans="1:22" x14ac:dyDescent="0.3">
      <c r="A771" s="5" t="s">
        <v>1305</v>
      </c>
      <c r="B771" s="6">
        <v>46176</v>
      </c>
      <c r="C771" s="5" t="s">
        <v>276</v>
      </c>
      <c r="D771" s="5" t="s">
        <v>58</v>
      </c>
      <c r="E771" s="5" t="s">
        <v>94</v>
      </c>
      <c r="F771" s="5" t="s">
        <v>26</v>
      </c>
      <c r="G771" s="5" t="s">
        <v>27</v>
      </c>
      <c r="H771" s="5" t="s">
        <v>277</v>
      </c>
      <c r="I771" s="5" t="s">
        <v>278</v>
      </c>
      <c r="J771" s="5" t="s">
        <v>71</v>
      </c>
      <c r="K771" s="5" t="s">
        <v>81</v>
      </c>
      <c r="L771" s="5">
        <v>3</v>
      </c>
      <c r="M771" s="5">
        <v>6205</v>
      </c>
      <c r="N771" s="5">
        <v>20</v>
      </c>
      <c r="O771" s="5">
        <v>14892</v>
      </c>
      <c r="P771" s="5">
        <v>12638.49</v>
      </c>
      <c r="Q771" s="5">
        <v>2253.5100000000002</v>
      </c>
      <c r="R771" s="5" t="s">
        <v>32</v>
      </c>
      <c r="S771" s="5" t="s">
        <v>33</v>
      </c>
      <c r="T771" s="5" t="s">
        <v>73</v>
      </c>
      <c r="U771" s="5">
        <v>1</v>
      </c>
      <c r="V771" s="5" t="s">
        <v>45</v>
      </c>
    </row>
    <row r="772" spans="1:22" x14ac:dyDescent="0.3">
      <c r="A772" s="5" t="s">
        <v>1306</v>
      </c>
      <c r="B772" s="6">
        <v>46040</v>
      </c>
      <c r="C772" s="5" t="s">
        <v>560</v>
      </c>
      <c r="D772" s="5" t="s">
        <v>48</v>
      </c>
      <c r="E772" s="5" t="s">
        <v>77</v>
      </c>
      <c r="F772" s="5" t="s">
        <v>78</v>
      </c>
      <c r="G772" s="5" t="s">
        <v>41</v>
      </c>
      <c r="H772" s="5" t="s">
        <v>816</v>
      </c>
      <c r="I772" s="5" t="s">
        <v>817</v>
      </c>
      <c r="J772" s="5" t="s">
        <v>54</v>
      </c>
      <c r="K772" s="5" t="s">
        <v>97</v>
      </c>
      <c r="L772" s="5">
        <v>5</v>
      </c>
      <c r="M772" s="5">
        <v>60819</v>
      </c>
      <c r="N772" s="5">
        <v>5</v>
      </c>
      <c r="O772" s="5">
        <v>288890.25</v>
      </c>
      <c r="P772" s="5">
        <v>206088.37</v>
      </c>
      <c r="Q772" s="5">
        <v>82801.88</v>
      </c>
      <c r="R772" s="5" t="s">
        <v>64</v>
      </c>
      <c r="S772" s="5" t="s">
        <v>82</v>
      </c>
      <c r="T772" s="5" t="s">
        <v>73</v>
      </c>
      <c r="U772" s="5">
        <v>3</v>
      </c>
      <c r="V772" s="5" t="s">
        <v>45</v>
      </c>
    </row>
    <row r="773" spans="1:22" x14ac:dyDescent="0.3">
      <c r="A773" s="5" t="s">
        <v>1307</v>
      </c>
      <c r="B773" s="6">
        <v>46079</v>
      </c>
      <c r="C773" s="5" t="s">
        <v>444</v>
      </c>
      <c r="D773" s="5" t="s">
        <v>76</v>
      </c>
      <c r="E773" s="5" t="s">
        <v>39</v>
      </c>
      <c r="F773" s="5" t="s">
        <v>40</v>
      </c>
      <c r="G773" s="5" t="s">
        <v>41</v>
      </c>
      <c r="H773" s="5" t="s">
        <v>496</v>
      </c>
      <c r="I773" s="5" t="s">
        <v>497</v>
      </c>
      <c r="J773" s="5" t="s">
        <v>30</v>
      </c>
      <c r="K773" s="5" t="s">
        <v>31</v>
      </c>
      <c r="L773" s="5">
        <v>1</v>
      </c>
      <c r="M773" s="5">
        <v>62933</v>
      </c>
      <c r="N773" s="5">
        <v>0</v>
      </c>
      <c r="O773" s="5">
        <v>62933</v>
      </c>
      <c r="P773" s="5">
        <v>45098.720000000001</v>
      </c>
      <c r="Q773" s="5">
        <v>17834.28</v>
      </c>
      <c r="R773" s="5" t="s">
        <v>32</v>
      </c>
      <c r="S773" s="5" t="s">
        <v>33</v>
      </c>
      <c r="T773" s="5" t="s">
        <v>65</v>
      </c>
      <c r="U773" s="5">
        <v>3</v>
      </c>
      <c r="V773" s="5" t="s">
        <v>45</v>
      </c>
    </row>
    <row r="774" spans="1:22" x14ac:dyDescent="0.3">
      <c r="A774" s="5" t="s">
        <v>1308</v>
      </c>
      <c r="B774" s="6">
        <v>46188</v>
      </c>
      <c r="C774" s="5" t="s">
        <v>304</v>
      </c>
      <c r="D774" s="5" t="s">
        <v>48</v>
      </c>
      <c r="E774" s="5" t="s">
        <v>94</v>
      </c>
      <c r="F774" s="5" t="s">
        <v>26</v>
      </c>
      <c r="G774" s="5" t="s">
        <v>27</v>
      </c>
      <c r="H774" s="5" t="s">
        <v>504</v>
      </c>
      <c r="I774" s="5" t="s">
        <v>505</v>
      </c>
      <c r="J774" s="5" t="s">
        <v>54</v>
      </c>
      <c r="K774" s="5" t="s">
        <v>55</v>
      </c>
      <c r="L774" s="5">
        <v>4</v>
      </c>
      <c r="M774" s="5">
        <v>44455</v>
      </c>
      <c r="N774" s="5">
        <v>5</v>
      </c>
      <c r="O774" s="5">
        <v>168929</v>
      </c>
      <c r="P774" s="5">
        <v>145921.62</v>
      </c>
      <c r="Q774" s="5">
        <v>23007.38</v>
      </c>
      <c r="R774" s="5" t="s">
        <v>44</v>
      </c>
      <c r="S774" s="5" t="s">
        <v>33</v>
      </c>
      <c r="T774" s="5" t="s">
        <v>34</v>
      </c>
      <c r="U774" s="5">
        <v>3</v>
      </c>
      <c r="V774" s="5" t="s">
        <v>35</v>
      </c>
    </row>
    <row r="775" spans="1:22" x14ac:dyDescent="0.3">
      <c r="A775" s="5" t="s">
        <v>1309</v>
      </c>
      <c r="B775" s="6">
        <v>46151</v>
      </c>
      <c r="C775" s="5" t="s">
        <v>1310</v>
      </c>
      <c r="D775" s="5" t="s">
        <v>58</v>
      </c>
      <c r="E775" s="5" t="s">
        <v>25</v>
      </c>
      <c r="F775" s="5" t="s">
        <v>26</v>
      </c>
      <c r="G775" s="5" t="s">
        <v>27</v>
      </c>
      <c r="H775" s="5" t="s">
        <v>546</v>
      </c>
      <c r="I775" s="5" t="s">
        <v>547</v>
      </c>
      <c r="J775" s="5" t="s">
        <v>71</v>
      </c>
      <c r="K775" s="5" t="s">
        <v>81</v>
      </c>
      <c r="L775" s="5">
        <v>5</v>
      </c>
      <c r="M775" s="5">
        <v>21577</v>
      </c>
      <c r="N775" s="5">
        <v>0</v>
      </c>
      <c r="O775" s="5">
        <v>107885</v>
      </c>
      <c r="P775" s="5">
        <v>88742.69</v>
      </c>
      <c r="Q775" s="5">
        <v>19142.310000000001</v>
      </c>
      <c r="R775" s="5" t="s">
        <v>44</v>
      </c>
      <c r="S775" s="5" t="s">
        <v>82</v>
      </c>
      <c r="T775" s="5" t="s">
        <v>65</v>
      </c>
      <c r="U775" s="5">
        <v>3</v>
      </c>
      <c r="V775" s="5" t="s">
        <v>45</v>
      </c>
    </row>
    <row r="776" spans="1:22" x14ac:dyDescent="0.3">
      <c r="A776" s="5" t="s">
        <v>1311</v>
      </c>
      <c r="B776" s="6">
        <v>46132</v>
      </c>
      <c r="C776" s="5" t="s">
        <v>1312</v>
      </c>
      <c r="D776" s="5" t="s">
        <v>76</v>
      </c>
      <c r="E776" s="5" t="s">
        <v>25</v>
      </c>
      <c r="F776" s="5" t="s">
        <v>26</v>
      </c>
      <c r="G776" s="5" t="s">
        <v>27</v>
      </c>
      <c r="H776" s="5" t="s">
        <v>147</v>
      </c>
      <c r="I776" s="5" t="s">
        <v>148</v>
      </c>
      <c r="J776" s="5" t="s">
        <v>71</v>
      </c>
      <c r="K776" s="5" t="s">
        <v>81</v>
      </c>
      <c r="L776" s="5">
        <v>1</v>
      </c>
      <c r="M776" s="5">
        <v>25248</v>
      </c>
      <c r="N776" s="5">
        <v>0</v>
      </c>
      <c r="O776" s="5">
        <v>25248</v>
      </c>
      <c r="P776" s="5">
        <v>14217.53</v>
      </c>
      <c r="Q776" s="5">
        <v>11030.47</v>
      </c>
      <c r="R776" s="5" t="s">
        <v>64</v>
      </c>
      <c r="S776" s="5" t="s">
        <v>82</v>
      </c>
      <c r="T776" s="5" t="s">
        <v>34</v>
      </c>
      <c r="U776" s="5">
        <v>1</v>
      </c>
      <c r="V776" s="5" t="s">
        <v>45</v>
      </c>
    </row>
    <row r="777" spans="1:22" x14ac:dyDescent="0.3">
      <c r="A777" s="5" t="s">
        <v>1313</v>
      </c>
      <c r="B777" s="6">
        <v>46072</v>
      </c>
      <c r="C777" s="5" t="s">
        <v>661</v>
      </c>
      <c r="D777" s="5" t="s">
        <v>89</v>
      </c>
      <c r="E777" s="5" t="s">
        <v>59</v>
      </c>
      <c r="F777" s="5" t="s">
        <v>60</v>
      </c>
      <c r="G777" s="5" t="s">
        <v>61</v>
      </c>
      <c r="H777" s="5" t="s">
        <v>451</v>
      </c>
      <c r="I777" s="5" t="s">
        <v>452</v>
      </c>
      <c r="J777" s="5" t="s">
        <v>30</v>
      </c>
      <c r="K777" s="5" t="s">
        <v>31</v>
      </c>
      <c r="L777" s="5">
        <v>5</v>
      </c>
      <c r="M777" s="5">
        <v>47233</v>
      </c>
      <c r="N777" s="5">
        <v>0</v>
      </c>
      <c r="O777" s="5">
        <v>236165</v>
      </c>
      <c r="P777" s="5">
        <v>144476.9</v>
      </c>
      <c r="Q777" s="5">
        <v>91688.1</v>
      </c>
      <c r="R777" s="5" t="s">
        <v>32</v>
      </c>
      <c r="S777" s="5" t="s">
        <v>82</v>
      </c>
      <c r="T777" s="5" t="s">
        <v>65</v>
      </c>
      <c r="U777" s="5">
        <v>2</v>
      </c>
      <c r="V777" s="5" t="s">
        <v>45</v>
      </c>
    </row>
    <row r="778" spans="1:22" x14ac:dyDescent="0.3">
      <c r="A778" s="5" t="s">
        <v>1314</v>
      </c>
      <c r="B778" s="6">
        <v>46195</v>
      </c>
      <c r="C778" s="5" t="s">
        <v>837</v>
      </c>
      <c r="D778" s="5" t="s">
        <v>58</v>
      </c>
      <c r="E778" s="5" t="s">
        <v>126</v>
      </c>
      <c r="F778" s="5" t="s">
        <v>126</v>
      </c>
      <c r="G778" s="5" t="s">
        <v>51</v>
      </c>
      <c r="H778" s="5" t="s">
        <v>189</v>
      </c>
      <c r="I778" s="5" t="s">
        <v>190</v>
      </c>
      <c r="J778" s="5" t="s">
        <v>102</v>
      </c>
      <c r="K778" s="5" t="s">
        <v>103</v>
      </c>
      <c r="L778" s="5">
        <v>3</v>
      </c>
      <c r="M778" s="5">
        <v>9741</v>
      </c>
      <c r="N778" s="5">
        <v>0</v>
      </c>
      <c r="O778" s="5">
        <v>29223</v>
      </c>
      <c r="P778" s="5">
        <v>20700.09</v>
      </c>
      <c r="Q778" s="5">
        <v>8522.91</v>
      </c>
      <c r="R778" s="5" t="s">
        <v>64</v>
      </c>
      <c r="S778" s="5" t="s">
        <v>82</v>
      </c>
      <c r="T778" s="5" t="s">
        <v>73</v>
      </c>
      <c r="U778" s="5">
        <v>3</v>
      </c>
      <c r="V778" s="5" t="s">
        <v>45</v>
      </c>
    </row>
    <row r="779" spans="1:22" x14ac:dyDescent="0.3">
      <c r="A779" s="5" t="s">
        <v>1315</v>
      </c>
      <c r="B779" s="6">
        <v>46152</v>
      </c>
      <c r="C779" s="5" t="s">
        <v>538</v>
      </c>
      <c r="D779" s="5" t="s">
        <v>110</v>
      </c>
      <c r="E779" s="5" t="s">
        <v>59</v>
      </c>
      <c r="F779" s="5" t="s">
        <v>60</v>
      </c>
      <c r="G779" s="5" t="s">
        <v>61</v>
      </c>
      <c r="H779" s="5" t="s">
        <v>496</v>
      </c>
      <c r="I779" s="5" t="s">
        <v>497</v>
      </c>
      <c r="J779" s="5" t="s">
        <v>30</v>
      </c>
      <c r="K779" s="5" t="s">
        <v>31</v>
      </c>
      <c r="L779" s="5">
        <v>2</v>
      </c>
      <c r="M779" s="5">
        <v>75143</v>
      </c>
      <c r="N779" s="5">
        <v>0</v>
      </c>
      <c r="O779" s="5">
        <v>150286</v>
      </c>
      <c r="P779" s="5">
        <v>103459.27</v>
      </c>
      <c r="Q779" s="5">
        <v>46826.73</v>
      </c>
      <c r="R779" s="5" t="s">
        <v>32</v>
      </c>
      <c r="S779" s="5" t="s">
        <v>33</v>
      </c>
      <c r="T779" s="5" t="s">
        <v>65</v>
      </c>
      <c r="U779" s="5">
        <v>5</v>
      </c>
      <c r="V779" s="5" t="s">
        <v>45</v>
      </c>
    </row>
    <row r="780" spans="1:22" x14ac:dyDescent="0.3">
      <c r="A780" s="5" t="s">
        <v>1316</v>
      </c>
      <c r="B780" s="6">
        <v>46202</v>
      </c>
      <c r="C780" s="5" t="s">
        <v>650</v>
      </c>
      <c r="D780" s="5" t="s">
        <v>117</v>
      </c>
      <c r="E780" s="5" t="s">
        <v>77</v>
      </c>
      <c r="F780" s="5" t="s">
        <v>78</v>
      </c>
      <c r="G780" s="5" t="s">
        <v>41</v>
      </c>
      <c r="H780" s="5" t="s">
        <v>152</v>
      </c>
      <c r="I780" s="5" t="s">
        <v>153</v>
      </c>
      <c r="J780" s="5" t="s">
        <v>54</v>
      </c>
      <c r="K780" s="5" t="s">
        <v>97</v>
      </c>
      <c r="L780" s="5">
        <v>2</v>
      </c>
      <c r="M780" s="5">
        <v>28371</v>
      </c>
      <c r="N780" s="5">
        <v>10</v>
      </c>
      <c r="O780" s="5">
        <v>51067.8</v>
      </c>
      <c r="P780" s="5">
        <v>38428.22</v>
      </c>
      <c r="Q780" s="5">
        <v>12639.58</v>
      </c>
      <c r="R780" s="5" t="s">
        <v>32</v>
      </c>
      <c r="S780" s="5" t="s">
        <v>33</v>
      </c>
      <c r="T780" s="5" t="s">
        <v>34</v>
      </c>
      <c r="U780" s="5">
        <v>4</v>
      </c>
      <c r="V780" s="5" t="s">
        <v>35</v>
      </c>
    </row>
    <row r="781" spans="1:22" x14ac:dyDescent="0.3">
      <c r="A781" s="5" t="s">
        <v>1317</v>
      </c>
      <c r="B781" s="6">
        <v>46106</v>
      </c>
      <c r="C781" s="5" t="s">
        <v>298</v>
      </c>
      <c r="D781" s="5" t="s">
        <v>58</v>
      </c>
      <c r="E781" s="5" t="s">
        <v>25</v>
      </c>
      <c r="F781" s="5" t="s">
        <v>26</v>
      </c>
      <c r="G781" s="5" t="s">
        <v>27</v>
      </c>
      <c r="H781" s="5" t="s">
        <v>234</v>
      </c>
      <c r="I781" s="5" t="s">
        <v>235</v>
      </c>
      <c r="J781" s="5" t="s">
        <v>102</v>
      </c>
      <c r="K781" s="5" t="s">
        <v>103</v>
      </c>
      <c r="L781" s="5">
        <v>3</v>
      </c>
      <c r="M781" s="5">
        <v>40128</v>
      </c>
      <c r="N781" s="5">
        <v>5</v>
      </c>
      <c r="O781" s="5">
        <v>114364.8</v>
      </c>
      <c r="P781" s="5">
        <v>94348.31</v>
      </c>
      <c r="Q781" s="5">
        <v>20016.490000000002</v>
      </c>
      <c r="R781" s="5" t="s">
        <v>32</v>
      </c>
      <c r="S781" s="5" t="s">
        <v>82</v>
      </c>
      <c r="T781" s="5" t="s">
        <v>34</v>
      </c>
      <c r="U781" s="5">
        <v>2</v>
      </c>
      <c r="V781" s="5" t="s">
        <v>35</v>
      </c>
    </row>
    <row r="782" spans="1:22" x14ac:dyDescent="0.3">
      <c r="A782" s="5" t="s">
        <v>1318</v>
      </c>
      <c r="B782" s="6">
        <v>46132</v>
      </c>
      <c r="C782" s="5" t="s">
        <v>88</v>
      </c>
      <c r="D782" s="5" t="s">
        <v>76</v>
      </c>
      <c r="E782" s="5" t="s">
        <v>39</v>
      </c>
      <c r="F782" s="5" t="s">
        <v>40</v>
      </c>
      <c r="G782" s="5" t="s">
        <v>41</v>
      </c>
      <c r="H782" s="5" t="s">
        <v>541</v>
      </c>
      <c r="I782" s="5" t="s">
        <v>542</v>
      </c>
      <c r="J782" s="5" t="s">
        <v>54</v>
      </c>
      <c r="K782" s="5" t="s">
        <v>55</v>
      </c>
      <c r="L782" s="5">
        <v>3</v>
      </c>
      <c r="M782" s="5">
        <v>15435</v>
      </c>
      <c r="N782" s="5">
        <v>5</v>
      </c>
      <c r="O782" s="5">
        <v>43989.75</v>
      </c>
      <c r="P782" s="5">
        <v>39000.949999999997</v>
      </c>
      <c r="Q782" s="5">
        <v>4988.8</v>
      </c>
      <c r="R782" s="5" t="s">
        <v>44</v>
      </c>
      <c r="S782" s="5" t="s">
        <v>33</v>
      </c>
      <c r="T782" s="5" t="s">
        <v>65</v>
      </c>
      <c r="U782" s="5">
        <v>4</v>
      </c>
      <c r="V782" s="5" t="s">
        <v>45</v>
      </c>
    </row>
    <row r="783" spans="1:22" x14ac:dyDescent="0.3">
      <c r="A783" s="5" t="s">
        <v>1319</v>
      </c>
      <c r="B783" s="6">
        <v>46047</v>
      </c>
      <c r="C783" s="5" t="s">
        <v>150</v>
      </c>
      <c r="D783" s="5" t="s">
        <v>24</v>
      </c>
      <c r="E783" s="5" t="s">
        <v>49</v>
      </c>
      <c r="F783" s="5" t="s">
        <v>50</v>
      </c>
      <c r="G783" s="5" t="s">
        <v>51</v>
      </c>
      <c r="H783" s="5" t="s">
        <v>316</v>
      </c>
      <c r="I783" s="5" t="s">
        <v>317</v>
      </c>
      <c r="J783" s="5" t="s">
        <v>54</v>
      </c>
      <c r="K783" s="5" t="s">
        <v>55</v>
      </c>
      <c r="L783" s="5">
        <v>3</v>
      </c>
      <c r="M783" s="5">
        <v>25536</v>
      </c>
      <c r="N783" s="5">
        <v>0</v>
      </c>
      <c r="O783" s="5">
        <v>76608</v>
      </c>
      <c r="P783" s="5">
        <v>57030.82</v>
      </c>
      <c r="Q783" s="5">
        <v>19577.18</v>
      </c>
      <c r="R783" s="5" t="s">
        <v>44</v>
      </c>
      <c r="S783" s="5" t="s">
        <v>33</v>
      </c>
      <c r="T783" s="5" t="s">
        <v>73</v>
      </c>
      <c r="U783" s="5">
        <v>4</v>
      </c>
      <c r="V783" s="5" t="s">
        <v>35</v>
      </c>
    </row>
    <row r="784" spans="1:22" x14ac:dyDescent="0.3">
      <c r="A784" s="5" t="s">
        <v>1320</v>
      </c>
      <c r="B784" s="6">
        <v>46069</v>
      </c>
      <c r="C784" s="5" t="s">
        <v>743</v>
      </c>
      <c r="D784" s="5" t="s">
        <v>58</v>
      </c>
      <c r="E784" s="5" t="s">
        <v>94</v>
      </c>
      <c r="F784" s="5" t="s">
        <v>26</v>
      </c>
      <c r="G784" s="5" t="s">
        <v>27</v>
      </c>
      <c r="H784" s="5" t="s">
        <v>245</v>
      </c>
      <c r="I784" s="5" t="s">
        <v>246</v>
      </c>
      <c r="J784" s="5" t="s">
        <v>54</v>
      </c>
      <c r="K784" s="5" t="s">
        <v>97</v>
      </c>
      <c r="L784" s="5">
        <v>1</v>
      </c>
      <c r="M784" s="5">
        <v>25986</v>
      </c>
      <c r="N784" s="5">
        <v>5</v>
      </c>
      <c r="O784" s="5">
        <v>24686.7</v>
      </c>
      <c r="P784" s="5">
        <v>19142.46</v>
      </c>
      <c r="Q784" s="5">
        <v>5544.24</v>
      </c>
      <c r="R784" s="5" t="s">
        <v>32</v>
      </c>
      <c r="S784" s="5" t="s">
        <v>33</v>
      </c>
      <c r="T784" s="5" t="s">
        <v>34</v>
      </c>
      <c r="U784" s="5">
        <v>4</v>
      </c>
      <c r="V784" s="5" t="s">
        <v>45</v>
      </c>
    </row>
    <row r="785" spans="1:22" x14ac:dyDescent="0.3">
      <c r="A785" s="5" t="s">
        <v>1321</v>
      </c>
      <c r="B785" s="6">
        <v>46113</v>
      </c>
      <c r="C785" s="5" t="s">
        <v>1322</v>
      </c>
      <c r="D785" s="5" t="s">
        <v>48</v>
      </c>
      <c r="E785" s="5" t="s">
        <v>39</v>
      </c>
      <c r="F785" s="5" t="s">
        <v>40</v>
      </c>
      <c r="G785" s="5" t="s">
        <v>41</v>
      </c>
      <c r="H785" s="5" t="s">
        <v>401</v>
      </c>
      <c r="I785" s="5" t="s">
        <v>402</v>
      </c>
      <c r="J785" s="5" t="s">
        <v>102</v>
      </c>
      <c r="K785" s="5" t="s">
        <v>103</v>
      </c>
      <c r="L785" s="5">
        <v>2</v>
      </c>
      <c r="M785" s="5">
        <v>32685</v>
      </c>
      <c r="N785" s="5">
        <v>5</v>
      </c>
      <c r="O785" s="5">
        <v>62101.5</v>
      </c>
      <c r="P785" s="5">
        <v>45850.84</v>
      </c>
      <c r="Q785" s="5">
        <v>16250.66</v>
      </c>
      <c r="R785" s="5" t="s">
        <v>64</v>
      </c>
      <c r="S785" s="5" t="s">
        <v>33</v>
      </c>
      <c r="T785" s="5" t="s">
        <v>34</v>
      </c>
      <c r="U785" s="5">
        <v>4</v>
      </c>
      <c r="V785" s="5" t="s">
        <v>45</v>
      </c>
    </row>
    <row r="786" spans="1:22" x14ac:dyDescent="0.3">
      <c r="A786" s="5" t="s">
        <v>1323</v>
      </c>
      <c r="B786" s="6">
        <v>46123</v>
      </c>
      <c r="C786" s="5" t="s">
        <v>353</v>
      </c>
      <c r="D786" s="5" t="s">
        <v>110</v>
      </c>
      <c r="E786" s="5" t="s">
        <v>49</v>
      </c>
      <c r="F786" s="5" t="s">
        <v>50</v>
      </c>
      <c r="G786" s="5" t="s">
        <v>51</v>
      </c>
      <c r="H786" s="5" t="s">
        <v>152</v>
      </c>
      <c r="I786" s="5" t="s">
        <v>153</v>
      </c>
      <c r="J786" s="5" t="s">
        <v>54</v>
      </c>
      <c r="K786" s="5" t="s">
        <v>97</v>
      </c>
      <c r="L786" s="5">
        <v>2</v>
      </c>
      <c r="M786" s="5">
        <v>58397</v>
      </c>
      <c r="N786" s="5">
        <v>5</v>
      </c>
      <c r="O786" s="5">
        <v>110954.3</v>
      </c>
      <c r="P786" s="5">
        <v>84618.07</v>
      </c>
      <c r="Q786" s="5">
        <v>26336.23</v>
      </c>
      <c r="R786" s="5" t="s">
        <v>32</v>
      </c>
      <c r="S786" s="5" t="s">
        <v>33</v>
      </c>
      <c r="T786" s="5" t="s">
        <v>65</v>
      </c>
      <c r="U786" s="5">
        <v>3</v>
      </c>
      <c r="V786" s="5" t="s">
        <v>45</v>
      </c>
    </row>
    <row r="787" spans="1:22" x14ac:dyDescent="0.3">
      <c r="A787" s="5" t="s">
        <v>1324</v>
      </c>
      <c r="B787" s="6">
        <v>46035</v>
      </c>
      <c r="C787" s="5" t="s">
        <v>341</v>
      </c>
      <c r="D787" s="5" t="s">
        <v>58</v>
      </c>
      <c r="E787" s="5" t="s">
        <v>59</v>
      </c>
      <c r="F787" s="5" t="s">
        <v>60</v>
      </c>
      <c r="G787" s="5" t="s">
        <v>61</v>
      </c>
      <c r="H787" s="5" t="s">
        <v>367</v>
      </c>
      <c r="I787" s="5" t="s">
        <v>368</v>
      </c>
      <c r="J787" s="5" t="s">
        <v>71</v>
      </c>
      <c r="K787" s="5" t="s">
        <v>72</v>
      </c>
      <c r="L787" s="5">
        <v>5</v>
      </c>
      <c r="M787" s="5">
        <v>43338</v>
      </c>
      <c r="N787" s="5">
        <v>5</v>
      </c>
      <c r="O787" s="5">
        <v>205855.5</v>
      </c>
      <c r="P787" s="5">
        <v>177517.97</v>
      </c>
      <c r="Q787" s="5">
        <v>28337.53</v>
      </c>
      <c r="R787" s="5" t="s">
        <v>32</v>
      </c>
      <c r="S787" s="5" t="s">
        <v>82</v>
      </c>
      <c r="T787" s="5" t="s">
        <v>73</v>
      </c>
      <c r="U787" s="5">
        <v>1</v>
      </c>
      <c r="V787" s="5" t="s">
        <v>45</v>
      </c>
    </row>
    <row r="788" spans="1:22" x14ac:dyDescent="0.3">
      <c r="A788" s="5" t="s">
        <v>1325</v>
      </c>
      <c r="B788" s="6">
        <v>46095</v>
      </c>
      <c r="C788" s="5" t="s">
        <v>23</v>
      </c>
      <c r="D788" s="5" t="s">
        <v>110</v>
      </c>
      <c r="E788" s="5" t="s">
        <v>94</v>
      </c>
      <c r="F788" s="5" t="s">
        <v>26</v>
      </c>
      <c r="G788" s="5" t="s">
        <v>27</v>
      </c>
      <c r="H788" s="5" t="s">
        <v>816</v>
      </c>
      <c r="I788" s="5" t="s">
        <v>817</v>
      </c>
      <c r="J788" s="5" t="s">
        <v>54</v>
      </c>
      <c r="K788" s="5" t="s">
        <v>97</v>
      </c>
      <c r="L788" s="5">
        <v>5</v>
      </c>
      <c r="M788" s="5">
        <v>9120</v>
      </c>
      <c r="N788" s="5">
        <v>15</v>
      </c>
      <c r="O788" s="5">
        <v>38760</v>
      </c>
      <c r="P788" s="5">
        <v>30809.599999999999</v>
      </c>
      <c r="Q788" s="5">
        <v>7950.4</v>
      </c>
      <c r="R788" s="5" t="s">
        <v>44</v>
      </c>
      <c r="S788" s="5" t="s">
        <v>33</v>
      </c>
      <c r="T788" s="5" t="s">
        <v>65</v>
      </c>
      <c r="U788" s="5">
        <v>4</v>
      </c>
      <c r="V788" s="5" t="s">
        <v>45</v>
      </c>
    </row>
    <row r="789" spans="1:22" x14ac:dyDescent="0.3">
      <c r="A789" s="5" t="s">
        <v>1326</v>
      </c>
      <c r="B789" s="6">
        <v>46081</v>
      </c>
      <c r="C789" s="5" t="s">
        <v>1294</v>
      </c>
      <c r="D789" s="5" t="s">
        <v>151</v>
      </c>
      <c r="E789" s="5" t="s">
        <v>94</v>
      </c>
      <c r="F789" s="5" t="s">
        <v>26</v>
      </c>
      <c r="G789" s="5" t="s">
        <v>27</v>
      </c>
      <c r="H789" s="5" t="s">
        <v>265</v>
      </c>
      <c r="I789" s="5" t="s">
        <v>266</v>
      </c>
      <c r="J789" s="5" t="s">
        <v>71</v>
      </c>
      <c r="K789" s="5" t="s">
        <v>81</v>
      </c>
      <c r="L789" s="5">
        <v>1</v>
      </c>
      <c r="M789" s="5">
        <v>59036</v>
      </c>
      <c r="N789" s="5">
        <v>10</v>
      </c>
      <c r="O789" s="5">
        <v>53132.4</v>
      </c>
      <c r="P789" s="5">
        <v>45763.73</v>
      </c>
      <c r="Q789" s="5">
        <v>7368.67</v>
      </c>
      <c r="R789" s="5" t="s">
        <v>64</v>
      </c>
      <c r="S789" s="5" t="s">
        <v>33</v>
      </c>
      <c r="T789" s="5" t="s">
        <v>73</v>
      </c>
      <c r="U789" s="5">
        <v>3</v>
      </c>
      <c r="V789" s="5" t="s">
        <v>45</v>
      </c>
    </row>
    <row r="790" spans="1:22" x14ac:dyDescent="0.3">
      <c r="A790" s="5" t="s">
        <v>1327</v>
      </c>
      <c r="B790" s="6">
        <v>46125</v>
      </c>
      <c r="C790" s="5" t="s">
        <v>399</v>
      </c>
      <c r="D790" s="5" t="s">
        <v>110</v>
      </c>
      <c r="E790" s="5" t="s">
        <v>49</v>
      </c>
      <c r="F790" s="5" t="s">
        <v>50</v>
      </c>
      <c r="G790" s="5" t="s">
        <v>51</v>
      </c>
      <c r="H790" s="5" t="s">
        <v>269</v>
      </c>
      <c r="I790" s="5" t="s">
        <v>270</v>
      </c>
      <c r="J790" s="5" t="s">
        <v>71</v>
      </c>
      <c r="K790" s="5" t="s">
        <v>72</v>
      </c>
      <c r="L790" s="5">
        <v>2</v>
      </c>
      <c r="M790" s="5">
        <v>23738</v>
      </c>
      <c r="N790" s="5">
        <v>0</v>
      </c>
      <c r="O790" s="5">
        <v>47476</v>
      </c>
      <c r="P790" s="5">
        <v>30978.639999999999</v>
      </c>
      <c r="Q790" s="5">
        <v>16497.36</v>
      </c>
      <c r="R790" s="5" t="s">
        <v>32</v>
      </c>
      <c r="S790" s="5" t="s">
        <v>82</v>
      </c>
      <c r="T790" s="5" t="s">
        <v>34</v>
      </c>
      <c r="U790" s="5">
        <v>1</v>
      </c>
      <c r="V790" s="5" t="s">
        <v>35</v>
      </c>
    </row>
    <row r="791" spans="1:22" x14ac:dyDescent="0.3">
      <c r="A791" s="5" t="s">
        <v>1328</v>
      </c>
      <c r="B791" s="6">
        <v>46118</v>
      </c>
      <c r="C791" s="5" t="s">
        <v>405</v>
      </c>
      <c r="D791" s="5" t="s">
        <v>68</v>
      </c>
      <c r="E791" s="5" t="s">
        <v>49</v>
      </c>
      <c r="F791" s="5" t="s">
        <v>50</v>
      </c>
      <c r="G791" s="5" t="s">
        <v>51</v>
      </c>
      <c r="H791" s="5" t="s">
        <v>374</v>
      </c>
      <c r="I791" s="5" t="s">
        <v>375</v>
      </c>
      <c r="J791" s="5" t="s">
        <v>54</v>
      </c>
      <c r="K791" s="5" t="s">
        <v>55</v>
      </c>
      <c r="L791" s="5">
        <v>3</v>
      </c>
      <c r="M791" s="5">
        <v>33136</v>
      </c>
      <c r="N791" s="5">
        <v>15</v>
      </c>
      <c r="O791" s="5">
        <v>84496.8</v>
      </c>
      <c r="P791" s="5">
        <v>61406.55</v>
      </c>
      <c r="Q791" s="5">
        <v>23090.25</v>
      </c>
      <c r="R791" s="5" t="s">
        <v>32</v>
      </c>
      <c r="S791" s="5" t="s">
        <v>82</v>
      </c>
      <c r="T791" s="5" t="s">
        <v>34</v>
      </c>
      <c r="U791" s="5">
        <v>4</v>
      </c>
      <c r="V791" s="5" t="s">
        <v>45</v>
      </c>
    </row>
    <row r="792" spans="1:22" x14ac:dyDescent="0.3">
      <c r="A792" s="5" t="s">
        <v>1329</v>
      </c>
      <c r="B792" s="6">
        <v>46031</v>
      </c>
      <c r="C792" s="5" t="s">
        <v>414</v>
      </c>
      <c r="D792" s="5" t="s">
        <v>24</v>
      </c>
      <c r="E792" s="5" t="s">
        <v>77</v>
      </c>
      <c r="F792" s="5" t="s">
        <v>78</v>
      </c>
      <c r="G792" s="5" t="s">
        <v>41</v>
      </c>
      <c r="H792" s="5" t="s">
        <v>541</v>
      </c>
      <c r="I792" s="5" t="s">
        <v>542</v>
      </c>
      <c r="J792" s="5" t="s">
        <v>54</v>
      </c>
      <c r="K792" s="5" t="s">
        <v>55</v>
      </c>
      <c r="L792" s="5">
        <v>1</v>
      </c>
      <c r="M792" s="5">
        <v>17016</v>
      </c>
      <c r="N792" s="5">
        <v>20</v>
      </c>
      <c r="O792" s="5">
        <v>13612.8</v>
      </c>
      <c r="P792" s="5">
        <v>12242.41</v>
      </c>
      <c r="Q792" s="5">
        <v>1370.39</v>
      </c>
      <c r="R792" s="5" t="s">
        <v>44</v>
      </c>
      <c r="S792" s="5" t="s">
        <v>33</v>
      </c>
      <c r="T792" s="5" t="s">
        <v>65</v>
      </c>
      <c r="U792" s="5">
        <v>3</v>
      </c>
      <c r="V792" s="5" t="s">
        <v>35</v>
      </c>
    </row>
    <row r="793" spans="1:22" x14ac:dyDescent="0.3">
      <c r="A793" s="5" t="s">
        <v>1330</v>
      </c>
      <c r="B793" s="6">
        <v>46169</v>
      </c>
      <c r="C793" s="5" t="s">
        <v>88</v>
      </c>
      <c r="D793" s="5" t="s">
        <v>76</v>
      </c>
      <c r="E793" s="5" t="s">
        <v>49</v>
      </c>
      <c r="F793" s="5" t="s">
        <v>50</v>
      </c>
      <c r="G793" s="5" t="s">
        <v>51</v>
      </c>
      <c r="H793" s="5" t="s">
        <v>396</v>
      </c>
      <c r="I793" s="5" t="s">
        <v>397</v>
      </c>
      <c r="J793" s="5" t="s">
        <v>54</v>
      </c>
      <c r="K793" s="5" t="s">
        <v>55</v>
      </c>
      <c r="L793" s="5">
        <v>5</v>
      </c>
      <c r="M793" s="5">
        <v>71283</v>
      </c>
      <c r="N793" s="5">
        <v>15</v>
      </c>
      <c r="O793" s="5">
        <v>302952.75</v>
      </c>
      <c r="P793" s="5">
        <v>299497.43</v>
      </c>
      <c r="Q793" s="5">
        <v>3455.32</v>
      </c>
      <c r="R793" s="5" t="s">
        <v>32</v>
      </c>
      <c r="S793" s="5" t="s">
        <v>33</v>
      </c>
      <c r="T793" s="5" t="s">
        <v>34</v>
      </c>
      <c r="U793" s="5">
        <v>4</v>
      </c>
      <c r="V793" s="5" t="s">
        <v>35</v>
      </c>
    </row>
    <row r="794" spans="1:22" x14ac:dyDescent="0.3">
      <c r="A794" s="5" t="s">
        <v>1331</v>
      </c>
      <c r="B794" s="6">
        <v>46129</v>
      </c>
      <c r="C794" s="5" t="s">
        <v>625</v>
      </c>
      <c r="D794" s="5" t="s">
        <v>68</v>
      </c>
      <c r="E794" s="5" t="s">
        <v>39</v>
      </c>
      <c r="F794" s="5" t="s">
        <v>40</v>
      </c>
      <c r="G794" s="5" t="s">
        <v>41</v>
      </c>
      <c r="H794" s="5" t="s">
        <v>265</v>
      </c>
      <c r="I794" s="5" t="s">
        <v>266</v>
      </c>
      <c r="J794" s="5" t="s">
        <v>71</v>
      </c>
      <c r="K794" s="5" t="s">
        <v>81</v>
      </c>
      <c r="L794" s="5">
        <v>3</v>
      </c>
      <c r="M794" s="5">
        <v>58746</v>
      </c>
      <c r="N794" s="5">
        <v>20</v>
      </c>
      <c r="O794" s="5">
        <v>140990.39999999999</v>
      </c>
      <c r="P794" s="5">
        <v>123892.95</v>
      </c>
      <c r="Q794" s="5">
        <v>17097.45</v>
      </c>
      <c r="R794" s="5" t="s">
        <v>44</v>
      </c>
      <c r="S794" s="5" t="s">
        <v>33</v>
      </c>
      <c r="T794" s="5" t="s">
        <v>73</v>
      </c>
      <c r="U794" s="5">
        <v>5</v>
      </c>
      <c r="V794" s="5" t="s">
        <v>35</v>
      </c>
    </row>
    <row r="795" spans="1:22" x14ac:dyDescent="0.3">
      <c r="A795" s="5" t="s">
        <v>1332</v>
      </c>
      <c r="B795" s="6">
        <v>46085</v>
      </c>
      <c r="C795" s="5" t="s">
        <v>121</v>
      </c>
      <c r="D795" s="5" t="s">
        <v>24</v>
      </c>
      <c r="E795" s="5" t="s">
        <v>77</v>
      </c>
      <c r="F795" s="5" t="s">
        <v>78</v>
      </c>
      <c r="G795" s="5" t="s">
        <v>41</v>
      </c>
      <c r="H795" s="5" t="s">
        <v>762</v>
      </c>
      <c r="I795" s="5" t="s">
        <v>763</v>
      </c>
      <c r="J795" s="5" t="s">
        <v>54</v>
      </c>
      <c r="K795" s="5" t="s">
        <v>55</v>
      </c>
      <c r="L795" s="5">
        <v>2</v>
      </c>
      <c r="M795" s="5">
        <v>9594</v>
      </c>
      <c r="N795" s="5">
        <v>5</v>
      </c>
      <c r="O795" s="5">
        <v>18228.599999999999</v>
      </c>
      <c r="P795" s="5">
        <v>14216.8</v>
      </c>
      <c r="Q795" s="5">
        <v>4011.8</v>
      </c>
      <c r="R795" s="5" t="s">
        <v>32</v>
      </c>
      <c r="S795" s="5" t="s">
        <v>33</v>
      </c>
      <c r="T795" s="5" t="s">
        <v>65</v>
      </c>
      <c r="U795" s="5">
        <v>5</v>
      </c>
      <c r="V795" s="5" t="s">
        <v>45</v>
      </c>
    </row>
    <row r="796" spans="1:22" x14ac:dyDescent="0.3">
      <c r="A796" s="5" t="s">
        <v>1333</v>
      </c>
      <c r="B796" s="6">
        <v>46168</v>
      </c>
      <c r="C796" s="5" t="s">
        <v>573</v>
      </c>
      <c r="D796" s="5" t="s">
        <v>48</v>
      </c>
      <c r="E796" s="5" t="s">
        <v>49</v>
      </c>
      <c r="F796" s="5" t="s">
        <v>50</v>
      </c>
      <c r="G796" s="5" t="s">
        <v>51</v>
      </c>
      <c r="H796" s="5" t="s">
        <v>640</v>
      </c>
      <c r="I796" s="5" t="s">
        <v>641</v>
      </c>
      <c r="J796" s="5" t="s">
        <v>54</v>
      </c>
      <c r="K796" s="5" t="s">
        <v>97</v>
      </c>
      <c r="L796" s="5">
        <v>4</v>
      </c>
      <c r="M796" s="5">
        <v>47843</v>
      </c>
      <c r="N796" s="5">
        <v>5</v>
      </c>
      <c r="O796" s="5">
        <v>181803.4</v>
      </c>
      <c r="P796" s="5">
        <v>109227.11</v>
      </c>
      <c r="Q796" s="5">
        <v>72576.289999999994</v>
      </c>
      <c r="R796" s="5" t="s">
        <v>64</v>
      </c>
      <c r="S796" s="5" t="s">
        <v>82</v>
      </c>
      <c r="T796" s="5" t="s">
        <v>73</v>
      </c>
      <c r="U796" s="5">
        <v>1</v>
      </c>
      <c r="V796" s="5" t="s">
        <v>45</v>
      </c>
    </row>
    <row r="797" spans="1:22" x14ac:dyDescent="0.3">
      <c r="A797" s="5" t="s">
        <v>1334</v>
      </c>
      <c r="B797" s="6">
        <v>46198</v>
      </c>
      <c r="C797" s="5" t="s">
        <v>171</v>
      </c>
      <c r="D797" s="5" t="s">
        <v>117</v>
      </c>
      <c r="E797" s="5" t="s">
        <v>126</v>
      </c>
      <c r="F797" s="5" t="s">
        <v>126</v>
      </c>
      <c r="G797" s="5" t="s">
        <v>51</v>
      </c>
      <c r="H797" s="5" t="s">
        <v>371</v>
      </c>
      <c r="I797" s="5" t="s">
        <v>372</v>
      </c>
      <c r="J797" s="5" t="s">
        <v>71</v>
      </c>
      <c r="K797" s="5" t="s">
        <v>72</v>
      </c>
      <c r="L797" s="5">
        <v>5</v>
      </c>
      <c r="M797" s="5">
        <v>42235</v>
      </c>
      <c r="N797" s="5">
        <v>20</v>
      </c>
      <c r="O797" s="5">
        <v>168940</v>
      </c>
      <c r="P797" s="5">
        <v>138073.06</v>
      </c>
      <c r="Q797" s="5">
        <v>30866.94</v>
      </c>
      <c r="R797" s="5" t="s">
        <v>32</v>
      </c>
      <c r="S797" s="5" t="s">
        <v>33</v>
      </c>
      <c r="T797" s="5" t="s">
        <v>73</v>
      </c>
      <c r="U797" s="5">
        <v>1</v>
      </c>
      <c r="V797" s="5" t="s">
        <v>45</v>
      </c>
    </row>
    <row r="798" spans="1:22" x14ac:dyDescent="0.3">
      <c r="A798" s="5" t="s">
        <v>1335</v>
      </c>
      <c r="B798" s="6">
        <v>46138</v>
      </c>
      <c r="C798" s="5" t="s">
        <v>347</v>
      </c>
      <c r="D798" s="5" t="s">
        <v>110</v>
      </c>
      <c r="E798" s="5" t="s">
        <v>126</v>
      </c>
      <c r="F798" s="5" t="s">
        <v>126</v>
      </c>
      <c r="G798" s="5" t="s">
        <v>51</v>
      </c>
      <c r="H798" s="5" t="s">
        <v>28</v>
      </c>
      <c r="I798" s="5" t="s">
        <v>29</v>
      </c>
      <c r="J798" s="5" t="s">
        <v>30</v>
      </c>
      <c r="K798" s="5" t="s">
        <v>31</v>
      </c>
      <c r="L798" s="5">
        <v>4</v>
      </c>
      <c r="M798" s="5">
        <v>77324</v>
      </c>
      <c r="N798" s="5">
        <v>10</v>
      </c>
      <c r="O798" s="5">
        <v>278366.40000000002</v>
      </c>
      <c r="P798" s="5">
        <v>211948.2</v>
      </c>
      <c r="Q798" s="5">
        <v>66418.2</v>
      </c>
      <c r="R798" s="5" t="s">
        <v>64</v>
      </c>
      <c r="S798" s="5" t="s">
        <v>33</v>
      </c>
      <c r="T798" s="5" t="s">
        <v>65</v>
      </c>
      <c r="U798" s="5">
        <v>5</v>
      </c>
      <c r="V798" s="5" t="s">
        <v>35</v>
      </c>
    </row>
    <row r="799" spans="1:22" x14ac:dyDescent="0.3">
      <c r="A799" s="5" t="s">
        <v>1336</v>
      </c>
      <c r="B799" s="6">
        <v>46137</v>
      </c>
      <c r="C799" s="5" t="s">
        <v>1322</v>
      </c>
      <c r="D799" s="5" t="s">
        <v>68</v>
      </c>
      <c r="E799" s="5" t="s">
        <v>39</v>
      </c>
      <c r="F799" s="5" t="s">
        <v>40</v>
      </c>
      <c r="G799" s="5" t="s">
        <v>41</v>
      </c>
      <c r="H799" s="5" t="s">
        <v>122</v>
      </c>
      <c r="I799" s="5" t="s">
        <v>123</v>
      </c>
      <c r="J799" s="5" t="s">
        <v>30</v>
      </c>
      <c r="K799" s="5" t="s">
        <v>31</v>
      </c>
      <c r="L799" s="5">
        <v>3</v>
      </c>
      <c r="M799" s="5">
        <v>74657</v>
      </c>
      <c r="N799" s="5">
        <v>20</v>
      </c>
      <c r="O799" s="5">
        <v>179176.8</v>
      </c>
      <c r="P799" s="5">
        <v>149060.32999999999</v>
      </c>
      <c r="Q799" s="5">
        <v>30116.47</v>
      </c>
      <c r="R799" s="5" t="s">
        <v>64</v>
      </c>
      <c r="S799" s="5" t="s">
        <v>33</v>
      </c>
      <c r="T799" s="5" t="s">
        <v>34</v>
      </c>
      <c r="U799" s="5">
        <v>2</v>
      </c>
      <c r="V799" s="5" t="s">
        <v>35</v>
      </c>
    </row>
    <row r="800" spans="1:22" x14ac:dyDescent="0.3">
      <c r="A800" s="5" t="s">
        <v>1337</v>
      </c>
      <c r="B800" s="6">
        <v>46110</v>
      </c>
      <c r="C800" s="5" t="s">
        <v>516</v>
      </c>
      <c r="D800" s="5" t="s">
        <v>110</v>
      </c>
      <c r="E800" s="5" t="s">
        <v>39</v>
      </c>
      <c r="F800" s="5" t="s">
        <v>40</v>
      </c>
      <c r="G800" s="5" t="s">
        <v>41</v>
      </c>
      <c r="H800" s="5" t="s">
        <v>735</v>
      </c>
      <c r="I800" s="5" t="s">
        <v>736</v>
      </c>
      <c r="J800" s="5" t="s">
        <v>54</v>
      </c>
      <c r="K800" s="5" t="s">
        <v>97</v>
      </c>
      <c r="L800" s="5">
        <v>5</v>
      </c>
      <c r="M800" s="5">
        <v>61619</v>
      </c>
      <c r="N800" s="5">
        <v>15</v>
      </c>
      <c r="O800" s="5">
        <v>261880.75</v>
      </c>
      <c r="P800" s="5">
        <v>222394.62</v>
      </c>
      <c r="Q800" s="5">
        <v>39486.129999999997</v>
      </c>
      <c r="R800" s="5" t="s">
        <v>32</v>
      </c>
      <c r="S800" s="5" t="s">
        <v>82</v>
      </c>
      <c r="T800" s="5" t="s">
        <v>73</v>
      </c>
      <c r="U800" s="5">
        <v>2</v>
      </c>
      <c r="V800" s="5" t="s">
        <v>45</v>
      </c>
    </row>
    <row r="801" spans="1:22" x14ac:dyDescent="0.3">
      <c r="A801" s="5" t="s">
        <v>1338</v>
      </c>
      <c r="B801" s="6">
        <v>46192</v>
      </c>
      <c r="C801" s="5" t="s">
        <v>140</v>
      </c>
      <c r="D801" s="5" t="s">
        <v>89</v>
      </c>
      <c r="E801" s="5" t="s">
        <v>59</v>
      </c>
      <c r="F801" s="5" t="s">
        <v>60</v>
      </c>
      <c r="G801" s="5" t="s">
        <v>61</v>
      </c>
      <c r="H801" s="5" t="s">
        <v>387</v>
      </c>
      <c r="I801" s="5" t="s">
        <v>388</v>
      </c>
      <c r="J801" s="5" t="s">
        <v>54</v>
      </c>
      <c r="K801" s="5" t="s">
        <v>97</v>
      </c>
      <c r="L801" s="5">
        <v>1</v>
      </c>
      <c r="M801" s="5">
        <v>34659</v>
      </c>
      <c r="N801" s="5">
        <v>20</v>
      </c>
      <c r="O801" s="5">
        <v>27727.200000000001</v>
      </c>
      <c r="P801" s="5">
        <v>26471.48</v>
      </c>
      <c r="Q801" s="5">
        <v>1255.72</v>
      </c>
      <c r="R801" s="5" t="s">
        <v>64</v>
      </c>
      <c r="S801" s="5" t="s">
        <v>33</v>
      </c>
      <c r="T801" s="5" t="s">
        <v>73</v>
      </c>
      <c r="U801" s="5">
        <v>3</v>
      </c>
      <c r="V801" s="5" t="s">
        <v>45</v>
      </c>
    </row>
    <row r="802" spans="1:22" x14ac:dyDescent="0.3">
      <c r="A802" s="5" t="s">
        <v>1339</v>
      </c>
      <c r="B802" s="6">
        <v>46203</v>
      </c>
      <c r="C802" s="5" t="s">
        <v>639</v>
      </c>
      <c r="D802" s="5" t="s">
        <v>58</v>
      </c>
      <c r="E802" s="5" t="s">
        <v>49</v>
      </c>
      <c r="F802" s="5" t="s">
        <v>50</v>
      </c>
      <c r="G802" s="5" t="s">
        <v>51</v>
      </c>
      <c r="H802" s="5" t="s">
        <v>295</v>
      </c>
      <c r="I802" s="5" t="s">
        <v>296</v>
      </c>
      <c r="J802" s="5" t="s">
        <v>30</v>
      </c>
      <c r="K802" s="5" t="s">
        <v>31</v>
      </c>
      <c r="L802" s="5">
        <v>1</v>
      </c>
      <c r="M802" s="5">
        <v>38933</v>
      </c>
      <c r="N802" s="5">
        <v>5</v>
      </c>
      <c r="O802" s="5">
        <v>36986.35</v>
      </c>
      <c r="P802" s="5">
        <v>32237.95</v>
      </c>
      <c r="Q802" s="5">
        <v>4748.3999999999996</v>
      </c>
      <c r="R802" s="5" t="s">
        <v>32</v>
      </c>
      <c r="S802" s="5" t="s">
        <v>82</v>
      </c>
      <c r="T802" s="5" t="s">
        <v>65</v>
      </c>
      <c r="U802" s="5">
        <v>5</v>
      </c>
      <c r="V802" s="5" t="s">
        <v>45</v>
      </c>
    </row>
    <row r="803" spans="1:22" x14ac:dyDescent="0.3">
      <c r="A803" s="5" t="s">
        <v>1340</v>
      </c>
      <c r="B803" s="6">
        <v>46199</v>
      </c>
      <c r="C803" s="5" t="s">
        <v>366</v>
      </c>
      <c r="D803" s="5" t="s">
        <v>58</v>
      </c>
      <c r="E803" s="5" t="s">
        <v>126</v>
      </c>
      <c r="F803" s="5" t="s">
        <v>126</v>
      </c>
      <c r="G803" s="5" t="s">
        <v>51</v>
      </c>
      <c r="H803" s="5" t="s">
        <v>152</v>
      </c>
      <c r="I803" s="5" t="s">
        <v>153</v>
      </c>
      <c r="J803" s="5" t="s">
        <v>54</v>
      </c>
      <c r="K803" s="5" t="s">
        <v>97</v>
      </c>
      <c r="L803" s="5">
        <v>2</v>
      </c>
      <c r="M803" s="5">
        <v>10802</v>
      </c>
      <c r="N803" s="5">
        <v>10</v>
      </c>
      <c r="O803" s="5">
        <v>19443.599999999999</v>
      </c>
      <c r="P803" s="5">
        <v>13613.5</v>
      </c>
      <c r="Q803" s="5">
        <v>5830.1</v>
      </c>
      <c r="R803" s="5" t="s">
        <v>44</v>
      </c>
      <c r="S803" s="5" t="s">
        <v>82</v>
      </c>
      <c r="T803" s="5" t="s">
        <v>73</v>
      </c>
      <c r="U803" s="5">
        <v>5</v>
      </c>
      <c r="V803" s="5" t="s">
        <v>45</v>
      </c>
    </row>
    <row r="804" spans="1:22" x14ac:dyDescent="0.3">
      <c r="A804" s="5" t="s">
        <v>1341</v>
      </c>
      <c r="B804" s="6">
        <v>46132</v>
      </c>
      <c r="C804" s="5" t="s">
        <v>699</v>
      </c>
      <c r="D804" s="5" t="s">
        <v>68</v>
      </c>
      <c r="E804" s="5" t="s">
        <v>94</v>
      </c>
      <c r="F804" s="5" t="s">
        <v>26</v>
      </c>
      <c r="G804" s="5" t="s">
        <v>27</v>
      </c>
      <c r="H804" s="5" t="s">
        <v>95</v>
      </c>
      <c r="I804" s="5" t="s">
        <v>96</v>
      </c>
      <c r="J804" s="5" t="s">
        <v>54</v>
      </c>
      <c r="K804" s="5" t="s">
        <v>97</v>
      </c>
      <c r="L804" s="5">
        <v>1</v>
      </c>
      <c r="M804" s="5">
        <v>40462</v>
      </c>
      <c r="N804" s="5">
        <v>10</v>
      </c>
      <c r="O804" s="5">
        <v>36415.800000000003</v>
      </c>
      <c r="P804" s="5">
        <v>28814.04</v>
      </c>
      <c r="Q804" s="5">
        <v>7601.76</v>
      </c>
      <c r="R804" s="5" t="s">
        <v>32</v>
      </c>
      <c r="S804" s="5" t="s">
        <v>82</v>
      </c>
      <c r="T804" s="5" t="s">
        <v>73</v>
      </c>
      <c r="U804" s="5">
        <v>3</v>
      </c>
      <c r="V804" s="5" t="s">
        <v>35</v>
      </c>
    </row>
    <row r="805" spans="1:22" x14ac:dyDescent="0.3">
      <c r="A805" s="5" t="s">
        <v>1342</v>
      </c>
      <c r="B805" s="6">
        <v>46144</v>
      </c>
      <c r="C805" s="5" t="s">
        <v>1027</v>
      </c>
      <c r="D805" s="5" t="s">
        <v>24</v>
      </c>
      <c r="E805" s="5" t="s">
        <v>59</v>
      </c>
      <c r="F805" s="5" t="s">
        <v>60</v>
      </c>
      <c r="G805" s="5" t="s">
        <v>61</v>
      </c>
      <c r="H805" s="5" t="s">
        <v>762</v>
      </c>
      <c r="I805" s="5" t="s">
        <v>763</v>
      </c>
      <c r="J805" s="5" t="s">
        <v>54</v>
      </c>
      <c r="K805" s="5" t="s">
        <v>55</v>
      </c>
      <c r="L805" s="5">
        <v>5</v>
      </c>
      <c r="M805" s="5">
        <v>20724</v>
      </c>
      <c r="N805" s="5">
        <v>5</v>
      </c>
      <c r="O805" s="5">
        <v>98439</v>
      </c>
      <c r="P805" s="5">
        <v>62929.2</v>
      </c>
      <c r="Q805" s="5">
        <v>35509.800000000003</v>
      </c>
      <c r="R805" s="5" t="s">
        <v>44</v>
      </c>
      <c r="S805" s="5" t="s">
        <v>33</v>
      </c>
      <c r="T805" s="5" t="s">
        <v>34</v>
      </c>
      <c r="U805" s="5">
        <v>3</v>
      </c>
      <c r="V805" s="5" t="s">
        <v>45</v>
      </c>
    </row>
    <row r="806" spans="1:22" x14ac:dyDescent="0.3">
      <c r="A806" s="5" t="s">
        <v>1343</v>
      </c>
      <c r="B806" s="6">
        <v>46072</v>
      </c>
      <c r="C806" s="5" t="s">
        <v>418</v>
      </c>
      <c r="D806" s="5" t="s">
        <v>24</v>
      </c>
      <c r="E806" s="5" t="s">
        <v>77</v>
      </c>
      <c r="F806" s="5" t="s">
        <v>78</v>
      </c>
      <c r="G806" s="5" t="s">
        <v>41</v>
      </c>
      <c r="H806" s="5" t="s">
        <v>152</v>
      </c>
      <c r="I806" s="5" t="s">
        <v>153</v>
      </c>
      <c r="J806" s="5" t="s">
        <v>54</v>
      </c>
      <c r="K806" s="5" t="s">
        <v>97</v>
      </c>
      <c r="L806" s="5">
        <v>2</v>
      </c>
      <c r="M806" s="5">
        <v>25994</v>
      </c>
      <c r="N806" s="5">
        <v>0</v>
      </c>
      <c r="O806" s="5">
        <v>51988</v>
      </c>
      <c r="P806" s="5">
        <v>36097.57</v>
      </c>
      <c r="Q806" s="5">
        <v>15890.43</v>
      </c>
      <c r="R806" s="5" t="s">
        <v>44</v>
      </c>
      <c r="S806" s="5" t="s">
        <v>82</v>
      </c>
      <c r="T806" s="5" t="s">
        <v>65</v>
      </c>
      <c r="U806" s="5">
        <v>1</v>
      </c>
      <c r="V806" s="5" t="s">
        <v>45</v>
      </c>
    </row>
    <row r="807" spans="1:22" x14ac:dyDescent="0.3">
      <c r="A807" s="5" t="s">
        <v>1344</v>
      </c>
      <c r="B807" s="6">
        <v>46175</v>
      </c>
      <c r="C807" s="5" t="s">
        <v>581</v>
      </c>
      <c r="D807" s="5" t="s">
        <v>117</v>
      </c>
      <c r="E807" s="5" t="s">
        <v>77</v>
      </c>
      <c r="F807" s="5" t="s">
        <v>78</v>
      </c>
      <c r="G807" s="5" t="s">
        <v>41</v>
      </c>
      <c r="H807" s="5" t="s">
        <v>461</v>
      </c>
      <c r="I807" s="5" t="s">
        <v>462</v>
      </c>
      <c r="J807" s="5" t="s">
        <v>71</v>
      </c>
      <c r="K807" s="5" t="s">
        <v>72</v>
      </c>
      <c r="L807" s="5">
        <v>5</v>
      </c>
      <c r="M807" s="5">
        <v>20639</v>
      </c>
      <c r="N807" s="5">
        <v>0</v>
      </c>
      <c r="O807" s="5">
        <v>103195</v>
      </c>
      <c r="P807" s="5">
        <v>83213.490000000005</v>
      </c>
      <c r="Q807" s="5">
        <v>19981.509999999998</v>
      </c>
      <c r="R807" s="5" t="s">
        <v>32</v>
      </c>
      <c r="S807" s="5" t="s">
        <v>33</v>
      </c>
      <c r="T807" s="5" t="s">
        <v>34</v>
      </c>
      <c r="U807" s="5">
        <v>3</v>
      </c>
      <c r="V807" s="5" t="s">
        <v>35</v>
      </c>
    </row>
    <row r="808" spans="1:22" x14ac:dyDescent="0.3">
      <c r="A808" s="5" t="s">
        <v>1345</v>
      </c>
      <c r="B808" s="6">
        <v>46195</v>
      </c>
      <c r="C808" s="5" t="s">
        <v>1186</v>
      </c>
      <c r="D808" s="5" t="s">
        <v>117</v>
      </c>
      <c r="E808" s="5" t="s">
        <v>59</v>
      </c>
      <c r="F808" s="5" t="s">
        <v>60</v>
      </c>
      <c r="G808" s="5" t="s">
        <v>61</v>
      </c>
      <c r="H808" s="5" t="s">
        <v>447</v>
      </c>
      <c r="I808" s="5" t="s">
        <v>448</v>
      </c>
      <c r="J808" s="5" t="s">
        <v>71</v>
      </c>
      <c r="K808" s="5" t="s">
        <v>72</v>
      </c>
      <c r="L808" s="5">
        <v>3</v>
      </c>
      <c r="M808" s="5">
        <v>34990</v>
      </c>
      <c r="N808" s="5">
        <v>15</v>
      </c>
      <c r="O808" s="5">
        <v>89224.5</v>
      </c>
      <c r="P808" s="5">
        <v>66639.59</v>
      </c>
      <c r="Q808" s="5">
        <v>22584.91</v>
      </c>
      <c r="R808" s="5" t="s">
        <v>44</v>
      </c>
      <c r="S808" s="5" t="s">
        <v>82</v>
      </c>
      <c r="T808" s="5" t="s">
        <v>65</v>
      </c>
      <c r="U808" s="5">
        <v>2</v>
      </c>
      <c r="V808" s="5" t="s">
        <v>45</v>
      </c>
    </row>
    <row r="809" spans="1:22" x14ac:dyDescent="0.3">
      <c r="A809" s="5" t="s">
        <v>1346</v>
      </c>
      <c r="B809" s="6">
        <v>46127</v>
      </c>
      <c r="C809" s="5" t="s">
        <v>906</v>
      </c>
      <c r="D809" s="5" t="s">
        <v>76</v>
      </c>
      <c r="E809" s="5" t="s">
        <v>59</v>
      </c>
      <c r="F809" s="5" t="s">
        <v>60</v>
      </c>
      <c r="G809" s="5" t="s">
        <v>61</v>
      </c>
      <c r="H809" s="5" t="s">
        <v>241</v>
      </c>
      <c r="I809" s="5" t="s">
        <v>242</v>
      </c>
      <c r="J809" s="5" t="s">
        <v>54</v>
      </c>
      <c r="K809" s="5" t="s">
        <v>55</v>
      </c>
      <c r="L809" s="5">
        <v>5</v>
      </c>
      <c r="M809" s="5">
        <v>70590</v>
      </c>
      <c r="N809" s="5">
        <v>10</v>
      </c>
      <c r="O809" s="5">
        <v>317655</v>
      </c>
      <c r="P809" s="5">
        <v>254808.63</v>
      </c>
      <c r="Q809" s="5">
        <v>62846.37</v>
      </c>
      <c r="R809" s="5" t="s">
        <v>32</v>
      </c>
      <c r="S809" s="5" t="s">
        <v>33</v>
      </c>
      <c r="T809" s="5" t="s">
        <v>73</v>
      </c>
      <c r="U809" s="5">
        <v>1</v>
      </c>
      <c r="V809" s="5" t="s">
        <v>35</v>
      </c>
    </row>
    <row r="810" spans="1:22" x14ac:dyDescent="0.3">
      <c r="A810" s="5" t="s">
        <v>1347</v>
      </c>
      <c r="B810" s="6">
        <v>46140</v>
      </c>
      <c r="C810" s="5" t="s">
        <v>289</v>
      </c>
      <c r="D810" s="5" t="s">
        <v>76</v>
      </c>
      <c r="E810" s="5" t="s">
        <v>49</v>
      </c>
      <c r="F810" s="5" t="s">
        <v>50</v>
      </c>
      <c r="G810" s="5" t="s">
        <v>51</v>
      </c>
      <c r="H810" s="5" t="s">
        <v>118</v>
      </c>
      <c r="I810" s="5" t="s">
        <v>119</v>
      </c>
      <c r="J810" s="5" t="s">
        <v>54</v>
      </c>
      <c r="K810" s="5" t="s">
        <v>97</v>
      </c>
      <c r="L810" s="5">
        <v>5</v>
      </c>
      <c r="M810" s="5">
        <v>61931</v>
      </c>
      <c r="N810" s="5">
        <v>20</v>
      </c>
      <c r="O810" s="5">
        <v>247724</v>
      </c>
      <c r="P810" s="5">
        <v>192262.14</v>
      </c>
      <c r="Q810" s="5">
        <v>55461.86</v>
      </c>
      <c r="R810" s="5" t="s">
        <v>32</v>
      </c>
      <c r="S810" s="5" t="s">
        <v>82</v>
      </c>
      <c r="T810" s="5" t="s">
        <v>65</v>
      </c>
      <c r="U810" s="5">
        <v>5</v>
      </c>
      <c r="V810" s="5" t="s">
        <v>45</v>
      </c>
    </row>
    <row r="811" spans="1:22" x14ac:dyDescent="0.3">
      <c r="A811" s="5" t="s">
        <v>1348</v>
      </c>
      <c r="B811" s="6">
        <v>46128</v>
      </c>
      <c r="C811" s="5" t="s">
        <v>740</v>
      </c>
      <c r="D811" s="5" t="s">
        <v>76</v>
      </c>
      <c r="E811" s="5" t="s">
        <v>49</v>
      </c>
      <c r="F811" s="5" t="s">
        <v>50</v>
      </c>
      <c r="G811" s="5" t="s">
        <v>51</v>
      </c>
      <c r="H811" s="5" t="s">
        <v>367</v>
      </c>
      <c r="I811" s="5" t="s">
        <v>368</v>
      </c>
      <c r="J811" s="5" t="s">
        <v>71</v>
      </c>
      <c r="K811" s="5" t="s">
        <v>72</v>
      </c>
      <c r="L811" s="5">
        <v>2</v>
      </c>
      <c r="M811" s="5">
        <v>69435</v>
      </c>
      <c r="N811" s="5">
        <v>5</v>
      </c>
      <c r="O811" s="5">
        <v>131926.5</v>
      </c>
      <c r="P811" s="5">
        <v>90270.44</v>
      </c>
      <c r="Q811" s="5">
        <v>41656.06</v>
      </c>
      <c r="R811" s="5" t="s">
        <v>44</v>
      </c>
      <c r="S811" s="5" t="s">
        <v>82</v>
      </c>
      <c r="T811" s="5" t="s">
        <v>34</v>
      </c>
      <c r="U811" s="5">
        <v>3</v>
      </c>
      <c r="V811" s="5" t="s">
        <v>45</v>
      </c>
    </row>
    <row r="812" spans="1:22" x14ac:dyDescent="0.3">
      <c r="A812" s="5" t="s">
        <v>1349</v>
      </c>
      <c r="B812" s="6">
        <v>46188</v>
      </c>
      <c r="C812" s="5" t="s">
        <v>414</v>
      </c>
      <c r="D812" s="5" t="s">
        <v>110</v>
      </c>
      <c r="E812" s="5" t="s">
        <v>126</v>
      </c>
      <c r="F812" s="5" t="s">
        <v>126</v>
      </c>
      <c r="G812" s="5" t="s">
        <v>51</v>
      </c>
      <c r="H812" s="5" t="s">
        <v>678</v>
      </c>
      <c r="I812" s="5" t="s">
        <v>679</v>
      </c>
      <c r="J812" s="5" t="s">
        <v>54</v>
      </c>
      <c r="K812" s="5" t="s">
        <v>55</v>
      </c>
      <c r="L812" s="5">
        <v>4</v>
      </c>
      <c r="M812" s="5">
        <v>79488</v>
      </c>
      <c r="N812" s="5">
        <v>0</v>
      </c>
      <c r="O812" s="5">
        <v>317952</v>
      </c>
      <c r="P812" s="5">
        <v>198569.92</v>
      </c>
      <c r="Q812" s="5">
        <v>119382.08</v>
      </c>
      <c r="R812" s="5" t="s">
        <v>44</v>
      </c>
      <c r="S812" s="5" t="s">
        <v>33</v>
      </c>
      <c r="T812" s="5" t="s">
        <v>34</v>
      </c>
      <c r="U812" s="5">
        <v>5</v>
      </c>
      <c r="V812" s="5" t="s">
        <v>45</v>
      </c>
    </row>
    <row r="813" spans="1:22" x14ac:dyDescent="0.3">
      <c r="A813" s="5" t="s">
        <v>1350</v>
      </c>
      <c r="B813" s="6">
        <v>46048</v>
      </c>
      <c r="C813" s="5" t="s">
        <v>220</v>
      </c>
      <c r="D813" s="5" t="s">
        <v>58</v>
      </c>
      <c r="E813" s="5" t="s">
        <v>126</v>
      </c>
      <c r="F813" s="5" t="s">
        <v>126</v>
      </c>
      <c r="G813" s="5" t="s">
        <v>51</v>
      </c>
      <c r="H813" s="5" t="s">
        <v>172</v>
      </c>
      <c r="I813" s="5" t="s">
        <v>173</v>
      </c>
      <c r="J813" s="5" t="s">
        <v>54</v>
      </c>
      <c r="K813" s="5" t="s">
        <v>97</v>
      </c>
      <c r="L813" s="5">
        <v>5</v>
      </c>
      <c r="M813" s="5">
        <v>65747</v>
      </c>
      <c r="N813" s="5">
        <v>15</v>
      </c>
      <c r="O813" s="5">
        <v>279424.75</v>
      </c>
      <c r="P813" s="5">
        <v>222727.41</v>
      </c>
      <c r="Q813" s="5">
        <v>56697.34</v>
      </c>
      <c r="R813" s="5" t="s">
        <v>32</v>
      </c>
      <c r="S813" s="5" t="s">
        <v>33</v>
      </c>
      <c r="T813" s="5" t="s">
        <v>73</v>
      </c>
      <c r="U813" s="5">
        <v>2</v>
      </c>
      <c r="V813" s="5" t="s">
        <v>35</v>
      </c>
    </row>
    <row r="814" spans="1:22" x14ac:dyDescent="0.3">
      <c r="A814" s="5" t="s">
        <v>1351</v>
      </c>
      <c r="B814" s="6">
        <v>46102</v>
      </c>
      <c r="C814" s="5" t="s">
        <v>420</v>
      </c>
      <c r="D814" s="5" t="s">
        <v>48</v>
      </c>
      <c r="E814" s="5" t="s">
        <v>94</v>
      </c>
      <c r="F814" s="5" t="s">
        <v>26</v>
      </c>
      <c r="G814" s="5" t="s">
        <v>27</v>
      </c>
      <c r="H814" s="5" t="s">
        <v>269</v>
      </c>
      <c r="I814" s="5" t="s">
        <v>270</v>
      </c>
      <c r="J814" s="5" t="s">
        <v>71</v>
      </c>
      <c r="K814" s="5" t="s">
        <v>72</v>
      </c>
      <c r="L814" s="5">
        <v>5</v>
      </c>
      <c r="M814" s="5">
        <v>78215</v>
      </c>
      <c r="N814" s="5">
        <v>20</v>
      </c>
      <c r="O814" s="5">
        <v>312860</v>
      </c>
      <c r="P814" s="5">
        <v>289660.34999999998</v>
      </c>
      <c r="Q814" s="5">
        <v>23199.65</v>
      </c>
      <c r="R814" s="5" t="s">
        <v>44</v>
      </c>
      <c r="S814" s="5" t="s">
        <v>33</v>
      </c>
      <c r="T814" s="5" t="s">
        <v>34</v>
      </c>
      <c r="U814" s="5">
        <v>3</v>
      </c>
      <c r="V814" s="5" t="s">
        <v>35</v>
      </c>
    </row>
    <row r="815" spans="1:22" x14ac:dyDescent="0.3">
      <c r="A815" s="5" t="s">
        <v>1352</v>
      </c>
      <c r="B815" s="6">
        <v>46052</v>
      </c>
      <c r="C815" s="5" t="s">
        <v>1087</v>
      </c>
      <c r="D815" s="5" t="s">
        <v>110</v>
      </c>
      <c r="E815" s="5" t="s">
        <v>77</v>
      </c>
      <c r="F815" s="5" t="s">
        <v>78</v>
      </c>
      <c r="G815" s="5" t="s">
        <v>41</v>
      </c>
      <c r="H815" s="5" t="s">
        <v>374</v>
      </c>
      <c r="I815" s="5" t="s">
        <v>375</v>
      </c>
      <c r="J815" s="5" t="s">
        <v>54</v>
      </c>
      <c r="K815" s="5" t="s">
        <v>55</v>
      </c>
      <c r="L815" s="5">
        <v>2</v>
      </c>
      <c r="M815" s="5">
        <v>36896</v>
      </c>
      <c r="N815" s="5">
        <v>15</v>
      </c>
      <c r="O815" s="5">
        <v>62723.199999999997</v>
      </c>
      <c r="P815" s="5">
        <v>59260.39</v>
      </c>
      <c r="Q815" s="5">
        <v>3462.81</v>
      </c>
      <c r="R815" s="5" t="s">
        <v>44</v>
      </c>
      <c r="S815" s="5" t="s">
        <v>82</v>
      </c>
      <c r="T815" s="5" t="s">
        <v>34</v>
      </c>
      <c r="U815" s="5">
        <v>2</v>
      </c>
      <c r="V815" s="5" t="s">
        <v>45</v>
      </c>
    </row>
    <row r="816" spans="1:22" x14ac:dyDescent="0.3">
      <c r="A816" s="5" t="s">
        <v>1353</v>
      </c>
      <c r="B816" s="6">
        <v>46025</v>
      </c>
      <c r="C816" s="5" t="s">
        <v>171</v>
      </c>
      <c r="D816" s="5" t="s">
        <v>58</v>
      </c>
      <c r="E816" s="5" t="s">
        <v>49</v>
      </c>
      <c r="F816" s="5" t="s">
        <v>50</v>
      </c>
      <c r="G816" s="5" t="s">
        <v>51</v>
      </c>
      <c r="H816" s="5" t="s">
        <v>106</v>
      </c>
      <c r="I816" s="5" t="s">
        <v>107</v>
      </c>
      <c r="J816" s="5" t="s">
        <v>30</v>
      </c>
      <c r="K816" s="5" t="s">
        <v>31</v>
      </c>
      <c r="L816" s="5">
        <v>5</v>
      </c>
      <c r="M816" s="5">
        <v>59769</v>
      </c>
      <c r="N816" s="5">
        <v>15</v>
      </c>
      <c r="O816" s="5">
        <v>254018.25</v>
      </c>
      <c r="P816" s="5">
        <v>213128.31</v>
      </c>
      <c r="Q816" s="5">
        <v>40889.94</v>
      </c>
      <c r="R816" s="5" t="s">
        <v>32</v>
      </c>
      <c r="S816" s="5" t="s">
        <v>82</v>
      </c>
      <c r="T816" s="5" t="s">
        <v>34</v>
      </c>
      <c r="U816" s="5">
        <v>1</v>
      </c>
      <c r="V816" s="5" t="s">
        <v>45</v>
      </c>
    </row>
    <row r="817" spans="1:22" x14ac:dyDescent="0.3">
      <c r="A817" s="5" t="s">
        <v>1354</v>
      </c>
      <c r="B817" s="6">
        <v>46032</v>
      </c>
      <c r="C817" s="5" t="s">
        <v>150</v>
      </c>
      <c r="D817" s="5" t="s">
        <v>24</v>
      </c>
      <c r="E817" s="5" t="s">
        <v>94</v>
      </c>
      <c r="F817" s="5" t="s">
        <v>26</v>
      </c>
      <c r="G817" s="5" t="s">
        <v>27</v>
      </c>
      <c r="H817" s="5" t="s">
        <v>42</v>
      </c>
      <c r="I817" s="5" t="s">
        <v>43</v>
      </c>
      <c r="J817" s="5" t="s">
        <v>30</v>
      </c>
      <c r="K817" s="5" t="s">
        <v>31</v>
      </c>
      <c r="L817" s="5">
        <v>4</v>
      </c>
      <c r="M817" s="5">
        <v>55362</v>
      </c>
      <c r="N817" s="5">
        <v>10</v>
      </c>
      <c r="O817" s="5">
        <v>199303.2</v>
      </c>
      <c r="P817" s="5">
        <v>127678.3</v>
      </c>
      <c r="Q817" s="5">
        <v>71624.899999999994</v>
      </c>
      <c r="R817" s="5" t="s">
        <v>64</v>
      </c>
      <c r="S817" s="5" t="s">
        <v>33</v>
      </c>
      <c r="T817" s="5" t="s">
        <v>65</v>
      </c>
      <c r="U817" s="5">
        <v>4</v>
      </c>
      <c r="V817" s="5" t="s">
        <v>45</v>
      </c>
    </row>
    <row r="818" spans="1:22" x14ac:dyDescent="0.3">
      <c r="A818" s="5" t="s">
        <v>1355</v>
      </c>
      <c r="B818" s="6">
        <v>46034</v>
      </c>
      <c r="C818" s="5" t="s">
        <v>1066</v>
      </c>
      <c r="D818" s="5" t="s">
        <v>76</v>
      </c>
      <c r="E818" s="5" t="s">
        <v>59</v>
      </c>
      <c r="F818" s="5" t="s">
        <v>60</v>
      </c>
      <c r="G818" s="5" t="s">
        <v>61</v>
      </c>
      <c r="H818" s="5" t="s">
        <v>824</v>
      </c>
      <c r="I818" s="5" t="s">
        <v>825</v>
      </c>
      <c r="J818" s="5" t="s">
        <v>71</v>
      </c>
      <c r="K818" s="5" t="s">
        <v>81</v>
      </c>
      <c r="L818" s="5">
        <v>2</v>
      </c>
      <c r="M818" s="5">
        <v>8429</v>
      </c>
      <c r="N818" s="5">
        <v>5</v>
      </c>
      <c r="O818" s="5">
        <v>16015.1</v>
      </c>
      <c r="P818" s="5">
        <v>11456.11</v>
      </c>
      <c r="Q818" s="5">
        <v>4558.99</v>
      </c>
      <c r="R818" s="5" t="s">
        <v>44</v>
      </c>
      <c r="S818" s="5" t="s">
        <v>82</v>
      </c>
      <c r="T818" s="5" t="s">
        <v>73</v>
      </c>
      <c r="U818" s="5">
        <v>1</v>
      </c>
      <c r="V818" s="5" t="s">
        <v>35</v>
      </c>
    </row>
    <row r="819" spans="1:22" x14ac:dyDescent="0.3">
      <c r="A819" s="5" t="s">
        <v>1356</v>
      </c>
      <c r="B819" s="6">
        <v>46099</v>
      </c>
      <c r="C819" s="5" t="s">
        <v>99</v>
      </c>
      <c r="D819" s="5" t="s">
        <v>110</v>
      </c>
      <c r="E819" s="5" t="s">
        <v>126</v>
      </c>
      <c r="F819" s="5" t="s">
        <v>126</v>
      </c>
      <c r="G819" s="5" t="s">
        <v>51</v>
      </c>
      <c r="H819" s="5" t="s">
        <v>69</v>
      </c>
      <c r="I819" s="5" t="s">
        <v>70</v>
      </c>
      <c r="J819" s="5" t="s">
        <v>71</v>
      </c>
      <c r="K819" s="5" t="s">
        <v>72</v>
      </c>
      <c r="L819" s="5">
        <v>1</v>
      </c>
      <c r="M819" s="5">
        <v>7264</v>
      </c>
      <c r="N819" s="5">
        <v>15</v>
      </c>
      <c r="O819" s="5">
        <v>6174.4</v>
      </c>
      <c r="P819" s="5">
        <v>5970.14</v>
      </c>
      <c r="Q819" s="5">
        <v>204.26</v>
      </c>
      <c r="R819" s="5" t="s">
        <v>44</v>
      </c>
      <c r="S819" s="5" t="s">
        <v>33</v>
      </c>
      <c r="T819" s="5" t="s">
        <v>73</v>
      </c>
      <c r="U819" s="5">
        <v>4</v>
      </c>
      <c r="V819" s="5" t="s">
        <v>45</v>
      </c>
    </row>
    <row r="820" spans="1:22" x14ac:dyDescent="0.3">
      <c r="A820" s="5" t="s">
        <v>1357</v>
      </c>
      <c r="B820" s="6">
        <v>46048</v>
      </c>
      <c r="C820" s="5" t="s">
        <v>1089</v>
      </c>
      <c r="D820" s="5" t="s">
        <v>89</v>
      </c>
      <c r="E820" s="5" t="s">
        <v>25</v>
      </c>
      <c r="F820" s="5" t="s">
        <v>26</v>
      </c>
      <c r="G820" s="5" t="s">
        <v>27</v>
      </c>
      <c r="H820" s="5" t="s">
        <v>717</v>
      </c>
      <c r="I820" s="5" t="s">
        <v>718</v>
      </c>
      <c r="J820" s="5" t="s">
        <v>102</v>
      </c>
      <c r="K820" s="5" t="s">
        <v>103</v>
      </c>
      <c r="L820" s="5">
        <v>2</v>
      </c>
      <c r="M820" s="5">
        <v>24699</v>
      </c>
      <c r="N820" s="5">
        <v>5</v>
      </c>
      <c r="O820" s="5">
        <v>46928.1</v>
      </c>
      <c r="P820" s="5">
        <v>29602.93</v>
      </c>
      <c r="Q820" s="5">
        <v>17325.169999999998</v>
      </c>
      <c r="R820" s="5" t="s">
        <v>64</v>
      </c>
      <c r="S820" s="5" t="s">
        <v>82</v>
      </c>
      <c r="T820" s="5" t="s">
        <v>73</v>
      </c>
      <c r="U820" s="5">
        <v>5</v>
      </c>
      <c r="V820" s="5" t="s">
        <v>45</v>
      </c>
    </row>
    <row r="821" spans="1:22" x14ac:dyDescent="0.3">
      <c r="A821" s="5" t="s">
        <v>1358</v>
      </c>
      <c r="B821" s="6">
        <v>46162</v>
      </c>
      <c r="C821" s="5" t="s">
        <v>673</v>
      </c>
      <c r="D821" s="5" t="s">
        <v>151</v>
      </c>
      <c r="E821" s="5" t="s">
        <v>25</v>
      </c>
      <c r="F821" s="5" t="s">
        <v>26</v>
      </c>
      <c r="G821" s="5" t="s">
        <v>27</v>
      </c>
      <c r="H821" s="5" t="s">
        <v>1359</v>
      </c>
      <c r="I821" s="5" t="s">
        <v>1360</v>
      </c>
      <c r="J821" s="5" t="s">
        <v>71</v>
      </c>
      <c r="K821" s="5" t="s">
        <v>72</v>
      </c>
      <c r="L821" s="5">
        <v>4</v>
      </c>
      <c r="M821" s="5">
        <v>68116</v>
      </c>
      <c r="N821" s="5">
        <v>10</v>
      </c>
      <c r="O821" s="5">
        <v>245217.6</v>
      </c>
      <c r="P821" s="5">
        <v>190634.02</v>
      </c>
      <c r="Q821" s="5">
        <v>54583.58</v>
      </c>
      <c r="R821" s="5" t="s">
        <v>44</v>
      </c>
      <c r="S821" s="5" t="s">
        <v>33</v>
      </c>
      <c r="T821" s="5" t="s">
        <v>65</v>
      </c>
      <c r="U821" s="5">
        <v>5</v>
      </c>
      <c r="V821" s="5" t="s">
        <v>45</v>
      </c>
    </row>
    <row r="822" spans="1:22" x14ac:dyDescent="0.3">
      <c r="A822" s="5" t="s">
        <v>1361</v>
      </c>
      <c r="B822" s="6">
        <v>46148</v>
      </c>
      <c r="C822" s="5" t="s">
        <v>861</v>
      </c>
      <c r="D822" s="5" t="s">
        <v>38</v>
      </c>
      <c r="E822" s="5" t="s">
        <v>25</v>
      </c>
      <c r="F822" s="5" t="s">
        <v>26</v>
      </c>
      <c r="G822" s="5" t="s">
        <v>27</v>
      </c>
      <c r="H822" s="5" t="s">
        <v>363</v>
      </c>
      <c r="I822" s="5" t="s">
        <v>364</v>
      </c>
      <c r="J822" s="5" t="s">
        <v>54</v>
      </c>
      <c r="K822" s="5" t="s">
        <v>55</v>
      </c>
      <c r="L822" s="5">
        <v>1</v>
      </c>
      <c r="M822" s="5">
        <v>13159</v>
      </c>
      <c r="N822" s="5">
        <v>0</v>
      </c>
      <c r="O822" s="5">
        <v>13159</v>
      </c>
      <c r="P822" s="5">
        <v>7917.43</v>
      </c>
      <c r="Q822" s="5">
        <v>5241.57</v>
      </c>
      <c r="R822" s="5" t="s">
        <v>32</v>
      </c>
      <c r="S822" s="5" t="s">
        <v>82</v>
      </c>
      <c r="T822" s="5" t="s">
        <v>73</v>
      </c>
      <c r="U822" s="5">
        <v>5</v>
      </c>
      <c r="V822" s="5" t="s">
        <v>45</v>
      </c>
    </row>
    <row r="823" spans="1:22" x14ac:dyDescent="0.3">
      <c r="A823" s="5" t="s">
        <v>1362</v>
      </c>
      <c r="B823" s="6">
        <v>46149</v>
      </c>
      <c r="C823" s="5" t="s">
        <v>1363</v>
      </c>
      <c r="D823" s="5" t="s">
        <v>89</v>
      </c>
      <c r="E823" s="5" t="s">
        <v>94</v>
      </c>
      <c r="F823" s="5" t="s">
        <v>26</v>
      </c>
      <c r="G823" s="5" t="s">
        <v>27</v>
      </c>
      <c r="H823" s="5" t="s">
        <v>257</v>
      </c>
      <c r="I823" s="5" t="s">
        <v>258</v>
      </c>
      <c r="J823" s="5" t="s">
        <v>71</v>
      </c>
      <c r="K823" s="5" t="s">
        <v>81</v>
      </c>
      <c r="L823" s="5">
        <v>1</v>
      </c>
      <c r="M823" s="5">
        <v>21056</v>
      </c>
      <c r="N823" s="5">
        <v>5</v>
      </c>
      <c r="O823" s="5">
        <v>20003.2</v>
      </c>
      <c r="P823" s="5">
        <v>17435.62</v>
      </c>
      <c r="Q823" s="5">
        <v>2567.58</v>
      </c>
      <c r="R823" s="5" t="s">
        <v>44</v>
      </c>
      <c r="S823" s="5" t="s">
        <v>33</v>
      </c>
      <c r="T823" s="5" t="s">
        <v>34</v>
      </c>
      <c r="U823" s="5">
        <v>5</v>
      </c>
      <c r="V823" s="5" t="s">
        <v>45</v>
      </c>
    </row>
    <row r="824" spans="1:22" x14ac:dyDescent="0.3">
      <c r="A824" s="5" t="s">
        <v>1364</v>
      </c>
      <c r="B824" s="6">
        <v>46041</v>
      </c>
      <c r="C824" s="5" t="s">
        <v>962</v>
      </c>
      <c r="D824" s="5" t="s">
        <v>58</v>
      </c>
      <c r="E824" s="5" t="s">
        <v>126</v>
      </c>
      <c r="F824" s="5" t="s">
        <v>126</v>
      </c>
      <c r="G824" s="5" t="s">
        <v>51</v>
      </c>
      <c r="H824" s="5" t="s">
        <v>1365</v>
      </c>
      <c r="I824" s="5" t="s">
        <v>1366</v>
      </c>
      <c r="J824" s="5" t="s">
        <v>54</v>
      </c>
      <c r="K824" s="5" t="s">
        <v>97</v>
      </c>
      <c r="L824" s="5">
        <v>5</v>
      </c>
      <c r="M824" s="5">
        <v>38097</v>
      </c>
      <c r="N824" s="5">
        <v>0</v>
      </c>
      <c r="O824" s="5">
        <v>190485</v>
      </c>
      <c r="P824" s="5">
        <v>140348.45000000001</v>
      </c>
      <c r="Q824" s="5">
        <v>50136.55</v>
      </c>
      <c r="R824" s="5" t="s">
        <v>32</v>
      </c>
      <c r="S824" s="5" t="s">
        <v>33</v>
      </c>
      <c r="T824" s="5" t="s">
        <v>73</v>
      </c>
      <c r="U824" s="5">
        <v>2</v>
      </c>
      <c r="V824" s="5" t="s">
        <v>45</v>
      </c>
    </row>
    <row r="825" spans="1:22" x14ac:dyDescent="0.3">
      <c r="A825" s="5" t="s">
        <v>1367</v>
      </c>
      <c r="B825" s="6">
        <v>46178</v>
      </c>
      <c r="C825" s="5" t="s">
        <v>1268</v>
      </c>
      <c r="D825" s="5" t="s">
        <v>110</v>
      </c>
      <c r="E825" s="5" t="s">
        <v>25</v>
      </c>
      <c r="F825" s="5" t="s">
        <v>26</v>
      </c>
      <c r="G825" s="5" t="s">
        <v>27</v>
      </c>
      <c r="H825" s="5" t="s">
        <v>95</v>
      </c>
      <c r="I825" s="5" t="s">
        <v>96</v>
      </c>
      <c r="J825" s="5" t="s">
        <v>54</v>
      </c>
      <c r="K825" s="5" t="s">
        <v>97</v>
      </c>
      <c r="L825" s="5">
        <v>5</v>
      </c>
      <c r="M825" s="5">
        <v>22400</v>
      </c>
      <c r="N825" s="5">
        <v>10</v>
      </c>
      <c r="O825" s="5">
        <v>100800</v>
      </c>
      <c r="P825" s="5">
        <v>89029.04</v>
      </c>
      <c r="Q825" s="5">
        <v>11770.96</v>
      </c>
      <c r="R825" s="5" t="s">
        <v>64</v>
      </c>
      <c r="S825" s="5" t="s">
        <v>82</v>
      </c>
      <c r="T825" s="5" t="s">
        <v>34</v>
      </c>
      <c r="U825" s="5">
        <v>3</v>
      </c>
      <c r="V825" s="5" t="s">
        <v>45</v>
      </c>
    </row>
    <row r="826" spans="1:22" x14ac:dyDescent="0.3">
      <c r="A826" s="5" t="s">
        <v>1368</v>
      </c>
      <c r="B826" s="6">
        <v>46115</v>
      </c>
      <c r="C826" s="5" t="s">
        <v>667</v>
      </c>
      <c r="D826" s="5" t="s">
        <v>151</v>
      </c>
      <c r="E826" s="5" t="s">
        <v>77</v>
      </c>
      <c r="F826" s="5" t="s">
        <v>78</v>
      </c>
      <c r="G826" s="5" t="s">
        <v>41</v>
      </c>
      <c r="H826" s="5" t="s">
        <v>253</v>
      </c>
      <c r="I826" s="5" t="s">
        <v>254</v>
      </c>
      <c r="J826" s="5" t="s">
        <v>54</v>
      </c>
      <c r="K826" s="5" t="s">
        <v>55</v>
      </c>
      <c r="L826" s="5">
        <v>1</v>
      </c>
      <c r="M826" s="5">
        <v>12850</v>
      </c>
      <c r="N826" s="5">
        <v>20</v>
      </c>
      <c r="O826" s="5">
        <v>10280</v>
      </c>
      <c r="P826" s="5">
        <v>7962.51</v>
      </c>
      <c r="Q826" s="5">
        <v>2317.4899999999998</v>
      </c>
      <c r="R826" s="5" t="s">
        <v>32</v>
      </c>
      <c r="S826" s="5" t="s">
        <v>82</v>
      </c>
      <c r="T826" s="5" t="s">
        <v>65</v>
      </c>
      <c r="U826" s="5">
        <v>1</v>
      </c>
      <c r="V826" s="5" t="s">
        <v>35</v>
      </c>
    </row>
    <row r="827" spans="1:22" x14ac:dyDescent="0.3">
      <c r="A827" s="5" t="s">
        <v>1369</v>
      </c>
      <c r="B827" s="6">
        <v>46180</v>
      </c>
      <c r="C827" s="5" t="s">
        <v>1085</v>
      </c>
      <c r="D827" s="5" t="s">
        <v>151</v>
      </c>
      <c r="E827" s="5" t="s">
        <v>126</v>
      </c>
      <c r="F827" s="5" t="s">
        <v>126</v>
      </c>
      <c r="G827" s="5" t="s">
        <v>51</v>
      </c>
      <c r="H827" s="5" t="s">
        <v>281</v>
      </c>
      <c r="I827" s="5" t="s">
        <v>282</v>
      </c>
      <c r="J827" s="5" t="s">
        <v>30</v>
      </c>
      <c r="K827" s="5" t="s">
        <v>31</v>
      </c>
      <c r="L827" s="5">
        <v>4</v>
      </c>
      <c r="M827" s="5">
        <v>8694</v>
      </c>
      <c r="N827" s="5">
        <v>5</v>
      </c>
      <c r="O827" s="5">
        <v>33037.199999999997</v>
      </c>
      <c r="P827" s="5">
        <v>19206.099999999999</v>
      </c>
      <c r="Q827" s="5">
        <v>13831.1</v>
      </c>
      <c r="R827" s="5" t="s">
        <v>64</v>
      </c>
      <c r="S827" s="5" t="s">
        <v>33</v>
      </c>
      <c r="T827" s="5" t="s">
        <v>73</v>
      </c>
      <c r="U827" s="5">
        <v>3</v>
      </c>
      <c r="V827" s="5" t="s">
        <v>45</v>
      </c>
    </row>
    <row r="828" spans="1:22" x14ac:dyDescent="0.3">
      <c r="A828" s="5" t="s">
        <v>1370</v>
      </c>
      <c r="B828" s="6">
        <v>46151</v>
      </c>
      <c r="C828" s="5" t="s">
        <v>248</v>
      </c>
      <c r="D828" s="5" t="s">
        <v>117</v>
      </c>
      <c r="E828" s="5" t="s">
        <v>77</v>
      </c>
      <c r="F828" s="5" t="s">
        <v>78</v>
      </c>
      <c r="G828" s="5" t="s">
        <v>41</v>
      </c>
      <c r="H828" s="5" t="s">
        <v>358</v>
      </c>
      <c r="I828" s="5" t="s">
        <v>359</v>
      </c>
      <c r="J828" s="5" t="s">
        <v>102</v>
      </c>
      <c r="K828" s="5" t="s">
        <v>103</v>
      </c>
      <c r="L828" s="5">
        <v>3</v>
      </c>
      <c r="M828" s="5">
        <v>67837</v>
      </c>
      <c r="N828" s="5">
        <v>20</v>
      </c>
      <c r="O828" s="5">
        <v>162808.79999999999</v>
      </c>
      <c r="P828" s="5">
        <v>135473.16</v>
      </c>
      <c r="Q828" s="5">
        <v>27335.64</v>
      </c>
      <c r="R828" s="5" t="s">
        <v>44</v>
      </c>
      <c r="S828" s="5" t="s">
        <v>82</v>
      </c>
      <c r="T828" s="5" t="s">
        <v>73</v>
      </c>
      <c r="U828" s="5">
        <v>5</v>
      </c>
      <c r="V828" s="5" t="s">
        <v>35</v>
      </c>
    </row>
    <row r="829" spans="1:22" x14ac:dyDescent="0.3">
      <c r="A829" s="5" t="s">
        <v>1371</v>
      </c>
      <c r="B829" s="6">
        <v>46100</v>
      </c>
      <c r="C829" s="5" t="s">
        <v>740</v>
      </c>
      <c r="D829" s="5" t="s">
        <v>48</v>
      </c>
      <c r="E829" s="5" t="s">
        <v>25</v>
      </c>
      <c r="F829" s="5" t="s">
        <v>26</v>
      </c>
      <c r="G829" s="5" t="s">
        <v>27</v>
      </c>
      <c r="H829" s="5" t="s">
        <v>406</v>
      </c>
      <c r="I829" s="5" t="s">
        <v>407</v>
      </c>
      <c r="J829" s="5" t="s">
        <v>30</v>
      </c>
      <c r="K829" s="5" t="s">
        <v>31</v>
      </c>
      <c r="L829" s="5">
        <v>5</v>
      </c>
      <c r="M829" s="5">
        <v>19749</v>
      </c>
      <c r="N829" s="5">
        <v>5</v>
      </c>
      <c r="O829" s="5">
        <v>93807.75</v>
      </c>
      <c r="P829" s="5">
        <v>82481.850000000006</v>
      </c>
      <c r="Q829" s="5">
        <v>11325.9</v>
      </c>
      <c r="R829" s="5" t="s">
        <v>32</v>
      </c>
      <c r="S829" s="5" t="s">
        <v>33</v>
      </c>
      <c r="T829" s="5" t="s">
        <v>34</v>
      </c>
      <c r="U829" s="5">
        <v>3</v>
      </c>
      <c r="V829" s="5" t="s">
        <v>35</v>
      </c>
    </row>
    <row r="830" spans="1:22" x14ac:dyDescent="0.3">
      <c r="A830" s="5" t="s">
        <v>1372</v>
      </c>
      <c r="B830" s="6">
        <v>46135</v>
      </c>
      <c r="C830" s="5" t="s">
        <v>529</v>
      </c>
      <c r="D830" s="5" t="s">
        <v>48</v>
      </c>
      <c r="E830" s="5" t="s">
        <v>49</v>
      </c>
      <c r="F830" s="5" t="s">
        <v>50</v>
      </c>
      <c r="G830" s="5" t="s">
        <v>51</v>
      </c>
      <c r="H830" s="5" t="s">
        <v>312</v>
      </c>
      <c r="I830" s="5" t="s">
        <v>313</v>
      </c>
      <c r="J830" s="5" t="s">
        <v>54</v>
      </c>
      <c r="K830" s="5" t="s">
        <v>97</v>
      </c>
      <c r="L830" s="5">
        <v>3</v>
      </c>
      <c r="M830" s="5">
        <v>32711</v>
      </c>
      <c r="N830" s="5">
        <v>0</v>
      </c>
      <c r="O830" s="5">
        <v>98133</v>
      </c>
      <c r="P830" s="5">
        <v>68029.210000000006</v>
      </c>
      <c r="Q830" s="5">
        <v>30103.79</v>
      </c>
      <c r="R830" s="5" t="s">
        <v>44</v>
      </c>
      <c r="S830" s="5" t="s">
        <v>33</v>
      </c>
      <c r="T830" s="5" t="s">
        <v>65</v>
      </c>
      <c r="U830" s="5">
        <v>1</v>
      </c>
      <c r="V830" s="5" t="s">
        <v>35</v>
      </c>
    </row>
    <row r="831" spans="1:22" x14ac:dyDescent="0.3">
      <c r="A831" s="5" t="s">
        <v>1373</v>
      </c>
      <c r="B831" s="6">
        <v>46074</v>
      </c>
      <c r="C831" s="5" t="s">
        <v>623</v>
      </c>
      <c r="D831" s="5" t="s">
        <v>48</v>
      </c>
      <c r="E831" s="5" t="s">
        <v>126</v>
      </c>
      <c r="F831" s="5" t="s">
        <v>126</v>
      </c>
      <c r="G831" s="5" t="s">
        <v>51</v>
      </c>
      <c r="H831" s="5" t="s">
        <v>42</v>
      </c>
      <c r="I831" s="5" t="s">
        <v>43</v>
      </c>
      <c r="J831" s="5" t="s">
        <v>30</v>
      </c>
      <c r="K831" s="5" t="s">
        <v>31</v>
      </c>
      <c r="L831" s="5">
        <v>2</v>
      </c>
      <c r="M831" s="5">
        <v>67016</v>
      </c>
      <c r="N831" s="5">
        <v>5</v>
      </c>
      <c r="O831" s="5">
        <v>127330.4</v>
      </c>
      <c r="P831" s="5">
        <v>92170.25</v>
      </c>
      <c r="Q831" s="5">
        <v>35160.15</v>
      </c>
      <c r="R831" s="5" t="s">
        <v>32</v>
      </c>
      <c r="S831" s="5" t="s">
        <v>33</v>
      </c>
      <c r="T831" s="5" t="s">
        <v>34</v>
      </c>
      <c r="U831" s="5">
        <v>4</v>
      </c>
      <c r="V831" s="5" t="s">
        <v>35</v>
      </c>
    </row>
    <row r="832" spans="1:22" x14ac:dyDescent="0.3">
      <c r="A832" s="5" t="s">
        <v>1374</v>
      </c>
      <c r="B832" s="6">
        <v>46068</v>
      </c>
      <c r="C832" s="5" t="s">
        <v>562</v>
      </c>
      <c r="D832" s="5" t="s">
        <v>38</v>
      </c>
      <c r="E832" s="5" t="s">
        <v>77</v>
      </c>
      <c r="F832" s="5" t="s">
        <v>78</v>
      </c>
      <c r="G832" s="5" t="s">
        <v>41</v>
      </c>
      <c r="H832" s="5" t="s">
        <v>106</v>
      </c>
      <c r="I832" s="5" t="s">
        <v>107</v>
      </c>
      <c r="J832" s="5" t="s">
        <v>30</v>
      </c>
      <c r="K832" s="5" t="s">
        <v>31</v>
      </c>
      <c r="L832" s="5">
        <v>3</v>
      </c>
      <c r="M832" s="5">
        <v>15287</v>
      </c>
      <c r="N832" s="5">
        <v>5</v>
      </c>
      <c r="O832" s="5">
        <v>43567.95</v>
      </c>
      <c r="P832" s="5">
        <v>34996.660000000003</v>
      </c>
      <c r="Q832" s="5">
        <v>8571.2900000000009</v>
      </c>
      <c r="R832" s="5" t="s">
        <v>44</v>
      </c>
      <c r="S832" s="5" t="s">
        <v>33</v>
      </c>
      <c r="T832" s="5" t="s">
        <v>65</v>
      </c>
      <c r="U832" s="5">
        <v>3</v>
      </c>
      <c r="V832" s="5" t="s">
        <v>35</v>
      </c>
    </row>
    <row r="833" spans="1:22" x14ac:dyDescent="0.3">
      <c r="A833" s="5" t="s">
        <v>1375</v>
      </c>
      <c r="B833" s="6">
        <v>46102</v>
      </c>
      <c r="C833" s="5" t="s">
        <v>659</v>
      </c>
      <c r="D833" s="5" t="s">
        <v>48</v>
      </c>
      <c r="E833" s="5" t="s">
        <v>49</v>
      </c>
      <c r="F833" s="5" t="s">
        <v>50</v>
      </c>
      <c r="G833" s="5" t="s">
        <v>51</v>
      </c>
      <c r="H833" s="5" t="s">
        <v>90</v>
      </c>
      <c r="I833" s="5" t="s">
        <v>91</v>
      </c>
      <c r="J833" s="5" t="s">
        <v>71</v>
      </c>
      <c r="K833" s="5" t="s">
        <v>81</v>
      </c>
      <c r="L833" s="5">
        <v>3</v>
      </c>
      <c r="M833" s="5">
        <v>44324</v>
      </c>
      <c r="N833" s="5">
        <v>10</v>
      </c>
      <c r="O833" s="5">
        <v>119674.8</v>
      </c>
      <c r="P833" s="5">
        <v>91283.66</v>
      </c>
      <c r="Q833" s="5">
        <v>28391.14</v>
      </c>
      <c r="R833" s="5" t="s">
        <v>44</v>
      </c>
      <c r="S833" s="5" t="s">
        <v>82</v>
      </c>
      <c r="T833" s="5" t="s">
        <v>34</v>
      </c>
      <c r="U833" s="5">
        <v>3</v>
      </c>
      <c r="V833" s="5" t="s">
        <v>45</v>
      </c>
    </row>
    <row r="834" spans="1:22" x14ac:dyDescent="0.3">
      <c r="A834" s="5" t="s">
        <v>1376</v>
      </c>
      <c r="B834" s="6">
        <v>46162</v>
      </c>
      <c r="C834" s="5" t="s">
        <v>661</v>
      </c>
      <c r="D834" s="5" t="s">
        <v>117</v>
      </c>
      <c r="E834" s="5" t="s">
        <v>126</v>
      </c>
      <c r="F834" s="5" t="s">
        <v>126</v>
      </c>
      <c r="G834" s="5" t="s">
        <v>51</v>
      </c>
      <c r="H834" s="5" t="s">
        <v>141</v>
      </c>
      <c r="I834" s="5" t="s">
        <v>142</v>
      </c>
      <c r="J834" s="5" t="s">
        <v>71</v>
      </c>
      <c r="K834" s="5" t="s">
        <v>81</v>
      </c>
      <c r="L834" s="5">
        <v>1</v>
      </c>
      <c r="M834" s="5">
        <v>62983</v>
      </c>
      <c r="N834" s="5">
        <v>15</v>
      </c>
      <c r="O834" s="5">
        <v>53535.55</v>
      </c>
      <c r="P834" s="5">
        <v>44201.4</v>
      </c>
      <c r="Q834" s="5">
        <v>9334.15</v>
      </c>
      <c r="R834" s="5" t="s">
        <v>44</v>
      </c>
      <c r="S834" s="5" t="s">
        <v>33</v>
      </c>
      <c r="T834" s="5" t="s">
        <v>34</v>
      </c>
      <c r="U834" s="5">
        <v>3</v>
      </c>
      <c r="V834" s="5" t="s">
        <v>45</v>
      </c>
    </row>
    <row r="835" spans="1:22" x14ac:dyDescent="0.3">
      <c r="A835" s="5" t="s">
        <v>1377</v>
      </c>
      <c r="B835" s="6">
        <v>46038</v>
      </c>
      <c r="C835" s="5" t="s">
        <v>1378</v>
      </c>
      <c r="D835" s="5" t="s">
        <v>38</v>
      </c>
      <c r="E835" s="5" t="s">
        <v>49</v>
      </c>
      <c r="F835" s="5" t="s">
        <v>50</v>
      </c>
      <c r="G835" s="5" t="s">
        <v>51</v>
      </c>
      <c r="H835" s="5" t="s">
        <v>122</v>
      </c>
      <c r="I835" s="5" t="s">
        <v>123</v>
      </c>
      <c r="J835" s="5" t="s">
        <v>30</v>
      </c>
      <c r="K835" s="5" t="s">
        <v>31</v>
      </c>
      <c r="L835" s="5">
        <v>4</v>
      </c>
      <c r="M835" s="5">
        <v>13596</v>
      </c>
      <c r="N835" s="5">
        <v>15</v>
      </c>
      <c r="O835" s="5">
        <v>46226.400000000001</v>
      </c>
      <c r="P835" s="5">
        <v>39999.64</v>
      </c>
      <c r="Q835" s="5">
        <v>6226.76</v>
      </c>
      <c r="R835" s="5" t="s">
        <v>44</v>
      </c>
      <c r="S835" s="5" t="s">
        <v>33</v>
      </c>
      <c r="T835" s="5" t="s">
        <v>73</v>
      </c>
      <c r="U835" s="5">
        <v>2</v>
      </c>
      <c r="V835" s="5" t="s">
        <v>35</v>
      </c>
    </row>
    <row r="836" spans="1:22" x14ac:dyDescent="0.3">
      <c r="A836" s="5" t="s">
        <v>1379</v>
      </c>
      <c r="B836" s="6">
        <v>46117</v>
      </c>
      <c r="C836" s="5" t="s">
        <v>610</v>
      </c>
      <c r="D836" s="5" t="s">
        <v>110</v>
      </c>
      <c r="E836" s="5" t="s">
        <v>126</v>
      </c>
      <c r="F836" s="5" t="s">
        <v>126</v>
      </c>
      <c r="G836" s="5" t="s">
        <v>51</v>
      </c>
      <c r="H836" s="5" t="s">
        <v>261</v>
      </c>
      <c r="I836" s="5" t="s">
        <v>262</v>
      </c>
      <c r="J836" s="5" t="s">
        <v>102</v>
      </c>
      <c r="K836" s="5" t="s">
        <v>103</v>
      </c>
      <c r="L836" s="5">
        <v>1</v>
      </c>
      <c r="M836" s="5">
        <v>42373</v>
      </c>
      <c r="N836" s="5">
        <v>0</v>
      </c>
      <c r="O836" s="5">
        <v>42373</v>
      </c>
      <c r="P836" s="5">
        <v>25025.38</v>
      </c>
      <c r="Q836" s="5">
        <v>17347.62</v>
      </c>
      <c r="R836" s="5" t="s">
        <v>44</v>
      </c>
      <c r="S836" s="5" t="s">
        <v>82</v>
      </c>
      <c r="T836" s="5" t="s">
        <v>34</v>
      </c>
      <c r="U836" s="5">
        <v>4</v>
      </c>
      <c r="V836" s="5" t="s">
        <v>45</v>
      </c>
    </row>
    <row r="837" spans="1:22" x14ac:dyDescent="0.3">
      <c r="A837" s="5" t="s">
        <v>1380</v>
      </c>
      <c r="B837" s="6">
        <v>46166</v>
      </c>
      <c r="C837" s="5" t="s">
        <v>552</v>
      </c>
      <c r="D837" s="5" t="s">
        <v>89</v>
      </c>
      <c r="E837" s="5" t="s">
        <v>25</v>
      </c>
      <c r="F837" s="5" t="s">
        <v>26</v>
      </c>
      <c r="G837" s="5" t="s">
        <v>27</v>
      </c>
      <c r="H837" s="5" t="s">
        <v>253</v>
      </c>
      <c r="I837" s="5" t="s">
        <v>254</v>
      </c>
      <c r="J837" s="5" t="s">
        <v>54</v>
      </c>
      <c r="K837" s="5" t="s">
        <v>55</v>
      </c>
      <c r="L837" s="5">
        <v>1</v>
      </c>
      <c r="M837" s="5">
        <v>6869</v>
      </c>
      <c r="N837" s="5">
        <v>0</v>
      </c>
      <c r="O837" s="5">
        <v>6869</v>
      </c>
      <c r="P837" s="5">
        <v>5193.3900000000003</v>
      </c>
      <c r="Q837" s="5">
        <v>1675.61</v>
      </c>
      <c r="R837" s="5" t="s">
        <v>64</v>
      </c>
      <c r="S837" s="5" t="s">
        <v>82</v>
      </c>
      <c r="T837" s="5" t="s">
        <v>34</v>
      </c>
      <c r="U837" s="5">
        <v>5</v>
      </c>
      <c r="V837" s="5" t="s">
        <v>45</v>
      </c>
    </row>
    <row r="838" spans="1:22" x14ac:dyDescent="0.3">
      <c r="A838" s="5" t="s">
        <v>1381</v>
      </c>
      <c r="B838" s="6">
        <v>46141</v>
      </c>
      <c r="C838" s="5" t="s">
        <v>581</v>
      </c>
      <c r="D838" s="5" t="s">
        <v>38</v>
      </c>
      <c r="E838" s="5" t="s">
        <v>59</v>
      </c>
      <c r="F838" s="5" t="s">
        <v>60</v>
      </c>
      <c r="G838" s="5" t="s">
        <v>61</v>
      </c>
      <c r="H838" s="5" t="s">
        <v>189</v>
      </c>
      <c r="I838" s="5" t="s">
        <v>190</v>
      </c>
      <c r="J838" s="5" t="s">
        <v>102</v>
      </c>
      <c r="K838" s="5" t="s">
        <v>103</v>
      </c>
      <c r="L838" s="5">
        <v>3</v>
      </c>
      <c r="M838" s="5">
        <v>8435</v>
      </c>
      <c r="N838" s="5">
        <v>10</v>
      </c>
      <c r="O838" s="5">
        <v>22774.5</v>
      </c>
      <c r="P838" s="5">
        <v>18732.5</v>
      </c>
      <c r="Q838" s="5">
        <v>4042</v>
      </c>
      <c r="R838" s="5" t="s">
        <v>44</v>
      </c>
      <c r="S838" s="5" t="s">
        <v>82</v>
      </c>
      <c r="T838" s="5" t="s">
        <v>34</v>
      </c>
      <c r="U838" s="5">
        <v>1</v>
      </c>
      <c r="V838" s="5" t="s">
        <v>35</v>
      </c>
    </row>
    <row r="839" spans="1:22" x14ac:dyDescent="0.3">
      <c r="A839" s="5" t="s">
        <v>1382</v>
      </c>
      <c r="B839" s="6">
        <v>46156</v>
      </c>
      <c r="C839" s="5" t="s">
        <v>1184</v>
      </c>
      <c r="D839" s="5" t="s">
        <v>151</v>
      </c>
      <c r="E839" s="5" t="s">
        <v>39</v>
      </c>
      <c r="F839" s="5" t="s">
        <v>40</v>
      </c>
      <c r="G839" s="5" t="s">
        <v>41</v>
      </c>
      <c r="H839" s="5" t="s">
        <v>122</v>
      </c>
      <c r="I839" s="5" t="s">
        <v>123</v>
      </c>
      <c r="J839" s="5" t="s">
        <v>30</v>
      </c>
      <c r="K839" s="5" t="s">
        <v>31</v>
      </c>
      <c r="L839" s="5">
        <v>4</v>
      </c>
      <c r="M839" s="5">
        <v>19179</v>
      </c>
      <c r="N839" s="5">
        <v>10</v>
      </c>
      <c r="O839" s="5">
        <v>69044.399999999994</v>
      </c>
      <c r="P839" s="5">
        <v>59771.39</v>
      </c>
      <c r="Q839" s="5">
        <v>9273.01</v>
      </c>
      <c r="R839" s="5" t="s">
        <v>32</v>
      </c>
      <c r="S839" s="5" t="s">
        <v>82</v>
      </c>
      <c r="T839" s="5" t="s">
        <v>73</v>
      </c>
      <c r="U839" s="5">
        <v>1</v>
      </c>
      <c r="V839" s="5" t="s">
        <v>35</v>
      </c>
    </row>
    <row r="840" spans="1:22" x14ac:dyDescent="0.3">
      <c r="A840" s="5" t="s">
        <v>1383</v>
      </c>
      <c r="B840" s="6">
        <v>46078</v>
      </c>
      <c r="C840" s="5" t="s">
        <v>171</v>
      </c>
      <c r="D840" s="5" t="s">
        <v>110</v>
      </c>
      <c r="E840" s="5" t="s">
        <v>126</v>
      </c>
      <c r="F840" s="5" t="s">
        <v>126</v>
      </c>
      <c r="G840" s="5" t="s">
        <v>51</v>
      </c>
      <c r="H840" s="5" t="s">
        <v>206</v>
      </c>
      <c r="I840" s="5" t="s">
        <v>207</v>
      </c>
      <c r="J840" s="5" t="s">
        <v>30</v>
      </c>
      <c r="K840" s="5" t="s">
        <v>31</v>
      </c>
      <c r="L840" s="5">
        <v>5</v>
      </c>
      <c r="M840" s="5">
        <v>79048</v>
      </c>
      <c r="N840" s="5">
        <v>10</v>
      </c>
      <c r="O840" s="5">
        <v>355716</v>
      </c>
      <c r="P840" s="5">
        <v>315934.98</v>
      </c>
      <c r="Q840" s="5">
        <v>39781.019999999997</v>
      </c>
      <c r="R840" s="5" t="s">
        <v>32</v>
      </c>
      <c r="S840" s="5" t="s">
        <v>82</v>
      </c>
      <c r="T840" s="5" t="s">
        <v>73</v>
      </c>
      <c r="U840" s="5">
        <v>1</v>
      </c>
      <c r="V840" s="5" t="s">
        <v>35</v>
      </c>
    </row>
    <row r="841" spans="1:22" x14ac:dyDescent="0.3">
      <c r="A841" s="5" t="s">
        <v>1384</v>
      </c>
      <c r="B841" s="6">
        <v>46195</v>
      </c>
      <c r="C841" s="5" t="s">
        <v>702</v>
      </c>
      <c r="D841" s="5" t="s">
        <v>89</v>
      </c>
      <c r="E841" s="5" t="s">
        <v>77</v>
      </c>
      <c r="F841" s="5" t="s">
        <v>78</v>
      </c>
      <c r="G841" s="5" t="s">
        <v>41</v>
      </c>
      <c r="H841" s="5" t="s">
        <v>42</v>
      </c>
      <c r="I841" s="5" t="s">
        <v>43</v>
      </c>
      <c r="J841" s="5" t="s">
        <v>30</v>
      </c>
      <c r="K841" s="5" t="s">
        <v>31</v>
      </c>
      <c r="L841" s="5">
        <v>5</v>
      </c>
      <c r="M841" s="5">
        <v>45315</v>
      </c>
      <c r="N841" s="5">
        <v>10</v>
      </c>
      <c r="O841" s="5">
        <v>203917.5</v>
      </c>
      <c r="P841" s="5">
        <v>181243.47</v>
      </c>
      <c r="Q841" s="5">
        <v>22674.03</v>
      </c>
      <c r="R841" s="5" t="s">
        <v>32</v>
      </c>
      <c r="S841" s="5" t="s">
        <v>82</v>
      </c>
      <c r="T841" s="5" t="s">
        <v>34</v>
      </c>
      <c r="U841" s="5">
        <v>1</v>
      </c>
      <c r="V841" s="5" t="s">
        <v>35</v>
      </c>
    </row>
    <row r="842" spans="1:22" x14ac:dyDescent="0.3">
      <c r="A842" s="5" t="s">
        <v>1385</v>
      </c>
      <c r="B842" s="6">
        <v>46043</v>
      </c>
      <c r="C842" s="5" t="s">
        <v>778</v>
      </c>
      <c r="D842" s="5" t="s">
        <v>58</v>
      </c>
      <c r="E842" s="5" t="s">
        <v>77</v>
      </c>
      <c r="F842" s="5" t="s">
        <v>78</v>
      </c>
      <c r="G842" s="5" t="s">
        <v>41</v>
      </c>
      <c r="H842" s="5" t="s">
        <v>135</v>
      </c>
      <c r="I842" s="5" t="s">
        <v>136</v>
      </c>
      <c r="J842" s="5" t="s">
        <v>30</v>
      </c>
      <c r="K842" s="5" t="s">
        <v>31</v>
      </c>
      <c r="L842" s="5">
        <v>3</v>
      </c>
      <c r="M842" s="5">
        <v>51825</v>
      </c>
      <c r="N842" s="5">
        <v>5</v>
      </c>
      <c r="O842" s="5">
        <v>147701.25</v>
      </c>
      <c r="P842" s="5">
        <v>98060.18</v>
      </c>
      <c r="Q842" s="5">
        <v>49641.07</v>
      </c>
      <c r="R842" s="5" t="s">
        <v>64</v>
      </c>
      <c r="S842" s="5" t="s">
        <v>33</v>
      </c>
      <c r="T842" s="5" t="s">
        <v>34</v>
      </c>
      <c r="U842" s="5">
        <v>5</v>
      </c>
      <c r="V842" s="5" t="s">
        <v>35</v>
      </c>
    </row>
    <row r="843" spans="1:22" x14ac:dyDescent="0.3">
      <c r="A843" s="5" t="s">
        <v>1386</v>
      </c>
      <c r="B843" s="6">
        <v>46180</v>
      </c>
      <c r="C843" s="5" t="s">
        <v>1387</v>
      </c>
      <c r="D843" s="5" t="s">
        <v>110</v>
      </c>
      <c r="E843" s="5" t="s">
        <v>94</v>
      </c>
      <c r="F843" s="5" t="s">
        <v>26</v>
      </c>
      <c r="G843" s="5" t="s">
        <v>27</v>
      </c>
      <c r="H843" s="5" t="s">
        <v>176</v>
      </c>
      <c r="I843" s="5" t="s">
        <v>177</v>
      </c>
      <c r="J843" s="5" t="s">
        <v>54</v>
      </c>
      <c r="K843" s="5" t="s">
        <v>97</v>
      </c>
      <c r="L843" s="5">
        <v>1</v>
      </c>
      <c r="M843" s="5">
        <v>60564</v>
      </c>
      <c r="N843" s="5">
        <v>15</v>
      </c>
      <c r="O843" s="5">
        <v>51479.4</v>
      </c>
      <c r="P843" s="5">
        <v>47811.360000000001</v>
      </c>
      <c r="Q843" s="5">
        <v>3668.04</v>
      </c>
      <c r="R843" s="5" t="s">
        <v>32</v>
      </c>
      <c r="S843" s="5" t="s">
        <v>33</v>
      </c>
      <c r="T843" s="5" t="s">
        <v>65</v>
      </c>
      <c r="U843" s="5">
        <v>5</v>
      </c>
      <c r="V843" s="5" t="s">
        <v>45</v>
      </c>
    </row>
    <row r="844" spans="1:22" x14ac:dyDescent="0.3">
      <c r="A844" s="5" t="s">
        <v>1388</v>
      </c>
      <c r="B844" s="6">
        <v>46155</v>
      </c>
      <c r="C844" s="5" t="s">
        <v>1389</v>
      </c>
      <c r="D844" s="5" t="s">
        <v>58</v>
      </c>
      <c r="E844" s="5" t="s">
        <v>49</v>
      </c>
      <c r="F844" s="5" t="s">
        <v>50</v>
      </c>
      <c r="G844" s="5" t="s">
        <v>51</v>
      </c>
      <c r="H844" s="5" t="s">
        <v>371</v>
      </c>
      <c r="I844" s="5" t="s">
        <v>372</v>
      </c>
      <c r="J844" s="5" t="s">
        <v>71</v>
      </c>
      <c r="K844" s="5" t="s">
        <v>72</v>
      </c>
      <c r="L844" s="5">
        <v>5</v>
      </c>
      <c r="M844" s="5">
        <v>25089</v>
      </c>
      <c r="N844" s="5">
        <v>0</v>
      </c>
      <c r="O844" s="5">
        <v>125445</v>
      </c>
      <c r="P844" s="5">
        <v>89145.24</v>
      </c>
      <c r="Q844" s="5">
        <v>36299.760000000002</v>
      </c>
      <c r="R844" s="5" t="s">
        <v>32</v>
      </c>
      <c r="S844" s="5" t="s">
        <v>82</v>
      </c>
      <c r="T844" s="5" t="s">
        <v>73</v>
      </c>
      <c r="U844" s="5">
        <v>4</v>
      </c>
      <c r="V844" s="5" t="s">
        <v>35</v>
      </c>
    </row>
    <row r="845" spans="1:22" x14ac:dyDescent="0.3">
      <c r="A845" s="5" t="s">
        <v>1390</v>
      </c>
      <c r="B845" s="6">
        <v>46141</v>
      </c>
      <c r="C845" s="5" t="s">
        <v>823</v>
      </c>
      <c r="D845" s="5" t="s">
        <v>89</v>
      </c>
      <c r="E845" s="5" t="s">
        <v>126</v>
      </c>
      <c r="F845" s="5" t="s">
        <v>126</v>
      </c>
      <c r="G845" s="5" t="s">
        <v>51</v>
      </c>
      <c r="H845" s="5" t="s">
        <v>299</v>
      </c>
      <c r="I845" s="5" t="s">
        <v>300</v>
      </c>
      <c r="J845" s="5" t="s">
        <v>71</v>
      </c>
      <c r="K845" s="5" t="s">
        <v>72</v>
      </c>
      <c r="L845" s="5">
        <v>4</v>
      </c>
      <c r="M845" s="5">
        <v>48656</v>
      </c>
      <c r="N845" s="5">
        <v>10</v>
      </c>
      <c r="O845" s="5">
        <v>175161.60000000001</v>
      </c>
      <c r="P845" s="5">
        <v>133760.73000000001</v>
      </c>
      <c r="Q845" s="5">
        <v>41400.870000000003</v>
      </c>
      <c r="R845" s="5" t="s">
        <v>32</v>
      </c>
      <c r="S845" s="5" t="s">
        <v>82</v>
      </c>
      <c r="T845" s="5" t="s">
        <v>73</v>
      </c>
      <c r="U845" s="5">
        <v>5</v>
      </c>
      <c r="V845" s="5" t="s">
        <v>45</v>
      </c>
    </row>
    <row r="846" spans="1:22" x14ac:dyDescent="0.3">
      <c r="A846" s="5" t="s">
        <v>1391</v>
      </c>
      <c r="B846" s="6">
        <v>46202</v>
      </c>
      <c r="C846" s="5" t="s">
        <v>797</v>
      </c>
      <c r="D846" s="5" t="s">
        <v>110</v>
      </c>
      <c r="E846" s="5" t="s">
        <v>94</v>
      </c>
      <c r="F846" s="5" t="s">
        <v>26</v>
      </c>
      <c r="G846" s="5" t="s">
        <v>27</v>
      </c>
      <c r="H846" s="5" t="s">
        <v>338</v>
      </c>
      <c r="I846" s="5" t="s">
        <v>339</v>
      </c>
      <c r="J846" s="5" t="s">
        <v>54</v>
      </c>
      <c r="K846" s="5" t="s">
        <v>97</v>
      </c>
      <c r="L846" s="5">
        <v>2</v>
      </c>
      <c r="M846" s="5">
        <v>19124</v>
      </c>
      <c r="N846" s="5">
        <v>5</v>
      </c>
      <c r="O846" s="5">
        <v>36335.599999999999</v>
      </c>
      <c r="P846" s="5">
        <v>29979.03</v>
      </c>
      <c r="Q846" s="5">
        <v>6356.57</v>
      </c>
      <c r="R846" s="5" t="s">
        <v>64</v>
      </c>
      <c r="S846" s="5" t="s">
        <v>33</v>
      </c>
      <c r="T846" s="5" t="s">
        <v>65</v>
      </c>
      <c r="U846" s="5">
        <v>5</v>
      </c>
      <c r="V846" s="5" t="s">
        <v>45</v>
      </c>
    </row>
    <row r="847" spans="1:22" x14ac:dyDescent="0.3">
      <c r="A847" s="5" t="s">
        <v>1392</v>
      </c>
      <c r="B847" s="6">
        <v>46189</v>
      </c>
      <c r="C847" s="5" t="s">
        <v>1036</v>
      </c>
      <c r="D847" s="5" t="s">
        <v>151</v>
      </c>
      <c r="E847" s="5" t="s">
        <v>94</v>
      </c>
      <c r="F847" s="5" t="s">
        <v>26</v>
      </c>
      <c r="G847" s="5" t="s">
        <v>27</v>
      </c>
      <c r="H847" s="5" t="s">
        <v>678</v>
      </c>
      <c r="I847" s="5" t="s">
        <v>679</v>
      </c>
      <c r="J847" s="5" t="s">
        <v>54</v>
      </c>
      <c r="K847" s="5" t="s">
        <v>55</v>
      </c>
      <c r="L847" s="5">
        <v>4</v>
      </c>
      <c r="M847" s="5">
        <v>71979</v>
      </c>
      <c r="N847" s="5">
        <v>15</v>
      </c>
      <c r="O847" s="5">
        <v>244728.6</v>
      </c>
      <c r="P847" s="5">
        <v>244609.82</v>
      </c>
      <c r="Q847" s="5">
        <v>118.78</v>
      </c>
      <c r="R847" s="5" t="s">
        <v>44</v>
      </c>
      <c r="S847" s="5" t="s">
        <v>82</v>
      </c>
      <c r="T847" s="5" t="s">
        <v>65</v>
      </c>
      <c r="U847" s="5">
        <v>1</v>
      </c>
      <c r="V847" s="5" t="s">
        <v>45</v>
      </c>
    </row>
    <row r="848" spans="1:22" x14ac:dyDescent="0.3">
      <c r="A848" s="5" t="s">
        <v>1393</v>
      </c>
      <c r="B848" s="6">
        <v>46052</v>
      </c>
      <c r="C848" s="5" t="s">
        <v>1186</v>
      </c>
      <c r="D848" s="5" t="s">
        <v>38</v>
      </c>
      <c r="E848" s="5" t="s">
        <v>49</v>
      </c>
      <c r="F848" s="5" t="s">
        <v>50</v>
      </c>
      <c r="G848" s="5" t="s">
        <v>51</v>
      </c>
      <c r="H848" s="5" t="s">
        <v>526</v>
      </c>
      <c r="I848" s="5" t="s">
        <v>527</v>
      </c>
      <c r="J848" s="5" t="s">
        <v>71</v>
      </c>
      <c r="K848" s="5" t="s">
        <v>81</v>
      </c>
      <c r="L848" s="5">
        <v>3</v>
      </c>
      <c r="M848" s="5">
        <v>58607</v>
      </c>
      <c r="N848" s="5">
        <v>10</v>
      </c>
      <c r="O848" s="5">
        <v>158238.9</v>
      </c>
      <c r="P848" s="5">
        <v>145002.65</v>
      </c>
      <c r="Q848" s="5">
        <v>13236.25</v>
      </c>
      <c r="R848" s="5" t="s">
        <v>44</v>
      </c>
      <c r="S848" s="5" t="s">
        <v>33</v>
      </c>
      <c r="T848" s="5" t="s">
        <v>73</v>
      </c>
      <c r="U848" s="5">
        <v>1</v>
      </c>
      <c r="V848" s="5" t="s">
        <v>35</v>
      </c>
    </row>
    <row r="849" spans="1:22" x14ac:dyDescent="0.3">
      <c r="A849" s="5" t="s">
        <v>1394</v>
      </c>
      <c r="B849" s="6">
        <v>46090</v>
      </c>
      <c r="C849" s="5" t="s">
        <v>337</v>
      </c>
      <c r="D849" s="5" t="s">
        <v>151</v>
      </c>
      <c r="E849" s="5" t="s">
        <v>94</v>
      </c>
      <c r="F849" s="5" t="s">
        <v>26</v>
      </c>
      <c r="G849" s="5" t="s">
        <v>27</v>
      </c>
      <c r="H849" s="5" t="s">
        <v>241</v>
      </c>
      <c r="I849" s="5" t="s">
        <v>242</v>
      </c>
      <c r="J849" s="5" t="s">
        <v>54</v>
      </c>
      <c r="K849" s="5" t="s">
        <v>55</v>
      </c>
      <c r="L849" s="5">
        <v>3</v>
      </c>
      <c r="M849" s="5">
        <v>21137</v>
      </c>
      <c r="N849" s="5">
        <v>20</v>
      </c>
      <c r="O849" s="5">
        <v>50728.800000000003</v>
      </c>
      <c r="P849" s="5">
        <v>49061.46</v>
      </c>
      <c r="Q849" s="5">
        <v>1667.34</v>
      </c>
      <c r="R849" s="5" t="s">
        <v>44</v>
      </c>
      <c r="S849" s="5" t="s">
        <v>33</v>
      </c>
      <c r="T849" s="5" t="s">
        <v>73</v>
      </c>
      <c r="U849" s="5">
        <v>3</v>
      </c>
      <c r="V849" s="5" t="s">
        <v>45</v>
      </c>
    </row>
    <row r="850" spans="1:22" x14ac:dyDescent="0.3">
      <c r="A850" s="5" t="s">
        <v>1395</v>
      </c>
      <c r="B850" s="6">
        <v>46167</v>
      </c>
      <c r="C850" s="5" t="s">
        <v>175</v>
      </c>
      <c r="D850" s="5" t="s">
        <v>48</v>
      </c>
      <c r="E850" s="5" t="s">
        <v>39</v>
      </c>
      <c r="F850" s="5" t="s">
        <v>40</v>
      </c>
      <c r="G850" s="5" t="s">
        <v>41</v>
      </c>
      <c r="H850" s="5" t="s">
        <v>479</v>
      </c>
      <c r="I850" s="5" t="s">
        <v>480</v>
      </c>
      <c r="J850" s="5" t="s">
        <v>71</v>
      </c>
      <c r="K850" s="5" t="s">
        <v>72</v>
      </c>
      <c r="L850" s="5">
        <v>3</v>
      </c>
      <c r="M850" s="5">
        <v>65964</v>
      </c>
      <c r="N850" s="5">
        <v>20</v>
      </c>
      <c r="O850" s="5">
        <v>158313.60000000001</v>
      </c>
      <c r="P850" s="5">
        <v>131681.73000000001</v>
      </c>
      <c r="Q850" s="5">
        <v>26631.87</v>
      </c>
      <c r="R850" s="5" t="s">
        <v>32</v>
      </c>
      <c r="S850" s="5" t="s">
        <v>82</v>
      </c>
      <c r="T850" s="5" t="s">
        <v>73</v>
      </c>
      <c r="U850" s="5">
        <v>3</v>
      </c>
      <c r="V850" s="5" t="s">
        <v>35</v>
      </c>
    </row>
    <row r="851" spans="1:22" x14ac:dyDescent="0.3">
      <c r="A851" s="5" t="s">
        <v>1396</v>
      </c>
      <c r="B851" s="6">
        <v>46071</v>
      </c>
      <c r="C851" s="5" t="s">
        <v>607</v>
      </c>
      <c r="D851" s="5" t="s">
        <v>58</v>
      </c>
      <c r="E851" s="5" t="s">
        <v>126</v>
      </c>
      <c r="F851" s="5" t="s">
        <v>126</v>
      </c>
      <c r="G851" s="5" t="s">
        <v>51</v>
      </c>
      <c r="H851" s="5" t="s">
        <v>717</v>
      </c>
      <c r="I851" s="5" t="s">
        <v>718</v>
      </c>
      <c r="J851" s="5" t="s">
        <v>102</v>
      </c>
      <c r="K851" s="5" t="s">
        <v>103</v>
      </c>
      <c r="L851" s="5">
        <v>4</v>
      </c>
      <c r="M851" s="5">
        <v>56374</v>
      </c>
      <c r="N851" s="5">
        <v>5</v>
      </c>
      <c r="O851" s="5">
        <v>214221.2</v>
      </c>
      <c r="P851" s="5">
        <v>158102.04999999999</v>
      </c>
      <c r="Q851" s="5">
        <v>56119.15</v>
      </c>
      <c r="R851" s="5" t="s">
        <v>44</v>
      </c>
      <c r="S851" s="5" t="s">
        <v>82</v>
      </c>
      <c r="T851" s="5" t="s">
        <v>34</v>
      </c>
      <c r="U851" s="5">
        <v>5</v>
      </c>
      <c r="V851" s="5" t="s">
        <v>45</v>
      </c>
    </row>
    <row r="852" spans="1:22" x14ac:dyDescent="0.3">
      <c r="A852" s="5" t="s">
        <v>1397</v>
      </c>
      <c r="B852" s="6">
        <v>46079</v>
      </c>
      <c r="C852" s="5" t="s">
        <v>685</v>
      </c>
      <c r="D852" s="5" t="s">
        <v>48</v>
      </c>
      <c r="E852" s="5" t="s">
        <v>126</v>
      </c>
      <c r="F852" s="5" t="s">
        <v>126</v>
      </c>
      <c r="G852" s="5" t="s">
        <v>51</v>
      </c>
      <c r="H852" s="5" t="s">
        <v>415</v>
      </c>
      <c r="I852" s="5" t="s">
        <v>416</v>
      </c>
      <c r="J852" s="5" t="s">
        <v>30</v>
      </c>
      <c r="K852" s="5" t="s">
        <v>31</v>
      </c>
      <c r="L852" s="5">
        <v>1</v>
      </c>
      <c r="M852" s="5">
        <v>29898</v>
      </c>
      <c r="N852" s="5">
        <v>15</v>
      </c>
      <c r="O852" s="5">
        <v>25413.3</v>
      </c>
      <c r="P852" s="5">
        <v>20009.47</v>
      </c>
      <c r="Q852" s="5">
        <v>5403.83</v>
      </c>
      <c r="R852" s="5" t="s">
        <v>44</v>
      </c>
      <c r="S852" s="5" t="s">
        <v>82</v>
      </c>
      <c r="T852" s="5" t="s">
        <v>73</v>
      </c>
      <c r="U852" s="5">
        <v>1</v>
      </c>
      <c r="V852" s="5" t="s">
        <v>35</v>
      </c>
    </row>
    <row r="853" spans="1:22" x14ac:dyDescent="0.3">
      <c r="A853" s="5" t="s">
        <v>1398</v>
      </c>
      <c r="B853" s="6">
        <v>46153</v>
      </c>
      <c r="C853" s="5" t="s">
        <v>857</v>
      </c>
      <c r="D853" s="5" t="s">
        <v>151</v>
      </c>
      <c r="E853" s="5" t="s">
        <v>59</v>
      </c>
      <c r="F853" s="5" t="s">
        <v>60</v>
      </c>
      <c r="G853" s="5" t="s">
        <v>61</v>
      </c>
      <c r="H853" s="5" t="s">
        <v>486</v>
      </c>
      <c r="I853" s="5" t="s">
        <v>487</v>
      </c>
      <c r="J853" s="5" t="s">
        <v>71</v>
      </c>
      <c r="K853" s="5" t="s">
        <v>81</v>
      </c>
      <c r="L853" s="5">
        <v>2</v>
      </c>
      <c r="M853" s="5">
        <v>9114</v>
      </c>
      <c r="N853" s="5">
        <v>15</v>
      </c>
      <c r="O853" s="5">
        <v>15493.8</v>
      </c>
      <c r="P853" s="5">
        <v>10806.24</v>
      </c>
      <c r="Q853" s="5">
        <v>4687.5600000000004</v>
      </c>
      <c r="R853" s="5" t="s">
        <v>44</v>
      </c>
      <c r="S853" s="5" t="s">
        <v>82</v>
      </c>
      <c r="T853" s="5" t="s">
        <v>65</v>
      </c>
      <c r="U853" s="5">
        <v>2</v>
      </c>
      <c r="V853" s="5" t="s">
        <v>45</v>
      </c>
    </row>
    <row r="854" spans="1:22" x14ac:dyDescent="0.3">
      <c r="A854" s="5" t="s">
        <v>1399</v>
      </c>
      <c r="B854" s="6">
        <v>46124</v>
      </c>
      <c r="C854" s="5" t="s">
        <v>556</v>
      </c>
      <c r="D854" s="5" t="s">
        <v>110</v>
      </c>
      <c r="E854" s="5" t="s">
        <v>49</v>
      </c>
      <c r="F854" s="5" t="s">
        <v>50</v>
      </c>
      <c r="G854" s="5" t="s">
        <v>51</v>
      </c>
      <c r="H854" s="5" t="s">
        <v>461</v>
      </c>
      <c r="I854" s="5" t="s">
        <v>462</v>
      </c>
      <c r="J854" s="5" t="s">
        <v>71</v>
      </c>
      <c r="K854" s="5" t="s">
        <v>72</v>
      </c>
      <c r="L854" s="5">
        <v>1</v>
      </c>
      <c r="M854" s="5">
        <v>65501</v>
      </c>
      <c r="N854" s="5">
        <v>5</v>
      </c>
      <c r="O854" s="5">
        <v>62225.95</v>
      </c>
      <c r="P854" s="5">
        <v>47693.23</v>
      </c>
      <c r="Q854" s="5">
        <v>14532.72</v>
      </c>
      <c r="R854" s="5" t="s">
        <v>32</v>
      </c>
      <c r="S854" s="5" t="s">
        <v>82</v>
      </c>
      <c r="T854" s="5" t="s">
        <v>65</v>
      </c>
      <c r="U854" s="5">
        <v>2</v>
      </c>
      <c r="V854" s="5" t="s">
        <v>35</v>
      </c>
    </row>
    <row r="855" spans="1:22" x14ac:dyDescent="0.3">
      <c r="A855" s="5" t="s">
        <v>1400</v>
      </c>
      <c r="B855" s="6">
        <v>46110</v>
      </c>
      <c r="C855" s="5" t="s">
        <v>621</v>
      </c>
      <c r="D855" s="5" t="s">
        <v>89</v>
      </c>
      <c r="E855" s="5" t="s">
        <v>77</v>
      </c>
      <c r="F855" s="5" t="s">
        <v>78</v>
      </c>
      <c r="G855" s="5" t="s">
        <v>41</v>
      </c>
      <c r="H855" s="5" t="s">
        <v>415</v>
      </c>
      <c r="I855" s="5" t="s">
        <v>416</v>
      </c>
      <c r="J855" s="5" t="s">
        <v>30</v>
      </c>
      <c r="K855" s="5" t="s">
        <v>31</v>
      </c>
      <c r="L855" s="5">
        <v>1</v>
      </c>
      <c r="M855" s="5">
        <v>22832</v>
      </c>
      <c r="N855" s="5">
        <v>20</v>
      </c>
      <c r="O855" s="5">
        <v>18265.599999999999</v>
      </c>
      <c r="P855" s="5">
        <v>18533.75</v>
      </c>
      <c r="Q855" s="5">
        <v>-268.14999999999998</v>
      </c>
      <c r="R855" s="5" t="s">
        <v>64</v>
      </c>
      <c r="S855" s="5" t="s">
        <v>33</v>
      </c>
      <c r="T855" s="5" t="s">
        <v>65</v>
      </c>
      <c r="U855" s="5">
        <v>1</v>
      </c>
      <c r="V855" s="5" t="s">
        <v>45</v>
      </c>
    </row>
    <row r="856" spans="1:22" x14ac:dyDescent="0.3">
      <c r="A856" s="5" t="s">
        <v>1401</v>
      </c>
      <c r="B856" s="6">
        <v>46046</v>
      </c>
      <c r="C856" s="5" t="s">
        <v>751</v>
      </c>
      <c r="D856" s="5" t="s">
        <v>117</v>
      </c>
      <c r="E856" s="5" t="s">
        <v>25</v>
      </c>
      <c r="F856" s="5" t="s">
        <v>26</v>
      </c>
      <c r="G856" s="5" t="s">
        <v>27</v>
      </c>
      <c r="H856" s="5" t="s">
        <v>281</v>
      </c>
      <c r="I856" s="5" t="s">
        <v>282</v>
      </c>
      <c r="J856" s="5" t="s">
        <v>30</v>
      </c>
      <c r="K856" s="5" t="s">
        <v>31</v>
      </c>
      <c r="L856" s="5">
        <v>4</v>
      </c>
      <c r="M856" s="5">
        <v>11102</v>
      </c>
      <c r="N856" s="5">
        <v>15</v>
      </c>
      <c r="O856" s="5">
        <v>37746.800000000003</v>
      </c>
      <c r="P856" s="5">
        <v>30447.42</v>
      </c>
      <c r="Q856" s="5">
        <v>7299.38</v>
      </c>
      <c r="R856" s="5" t="s">
        <v>32</v>
      </c>
      <c r="S856" s="5" t="s">
        <v>82</v>
      </c>
      <c r="T856" s="5" t="s">
        <v>65</v>
      </c>
      <c r="U856" s="5">
        <v>5</v>
      </c>
      <c r="V856" s="5" t="s">
        <v>45</v>
      </c>
    </row>
    <row r="857" spans="1:22" x14ac:dyDescent="0.3">
      <c r="A857" s="5" t="s">
        <v>1402</v>
      </c>
      <c r="B857" s="6">
        <v>46080</v>
      </c>
      <c r="C857" s="5" t="s">
        <v>579</v>
      </c>
      <c r="D857" s="5" t="s">
        <v>38</v>
      </c>
      <c r="E857" s="5" t="s">
        <v>49</v>
      </c>
      <c r="F857" s="5" t="s">
        <v>50</v>
      </c>
      <c r="G857" s="5" t="s">
        <v>51</v>
      </c>
      <c r="H857" s="5" t="s">
        <v>164</v>
      </c>
      <c r="I857" s="5" t="s">
        <v>165</v>
      </c>
      <c r="J857" s="5" t="s">
        <v>102</v>
      </c>
      <c r="K857" s="5" t="s">
        <v>103</v>
      </c>
      <c r="L857" s="5">
        <v>4</v>
      </c>
      <c r="M857" s="5">
        <v>69304</v>
      </c>
      <c r="N857" s="5">
        <v>20</v>
      </c>
      <c r="O857" s="5">
        <v>221772.79999999999</v>
      </c>
      <c r="P857" s="5">
        <v>179953.31</v>
      </c>
      <c r="Q857" s="5">
        <v>41819.49</v>
      </c>
      <c r="R857" s="5" t="s">
        <v>32</v>
      </c>
      <c r="S857" s="5" t="s">
        <v>33</v>
      </c>
      <c r="T857" s="5" t="s">
        <v>34</v>
      </c>
      <c r="U857" s="5">
        <v>3</v>
      </c>
      <c r="V857" s="5" t="s">
        <v>35</v>
      </c>
    </row>
    <row r="858" spans="1:22" x14ac:dyDescent="0.3">
      <c r="A858" s="5" t="s">
        <v>1403</v>
      </c>
      <c r="B858" s="6">
        <v>46160</v>
      </c>
      <c r="C858" s="5" t="s">
        <v>597</v>
      </c>
      <c r="D858" s="5" t="s">
        <v>24</v>
      </c>
      <c r="E858" s="5" t="s">
        <v>126</v>
      </c>
      <c r="F858" s="5" t="s">
        <v>126</v>
      </c>
      <c r="G858" s="5" t="s">
        <v>51</v>
      </c>
      <c r="H858" s="5" t="s">
        <v>374</v>
      </c>
      <c r="I858" s="5" t="s">
        <v>375</v>
      </c>
      <c r="J858" s="5" t="s">
        <v>54</v>
      </c>
      <c r="K858" s="5" t="s">
        <v>55</v>
      </c>
      <c r="L858" s="5">
        <v>3</v>
      </c>
      <c r="M858" s="5">
        <v>52099</v>
      </c>
      <c r="N858" s="5">
        <v>15</v>
      </c>
      <c r="O858" s="5">
        <v>132852.45000000001</v>
      </c>
      <c r="P858" s="5">
        <v>115422.03</v>
      </c>
      <c r="Q858" s="5">
        <v>17430.419999999998</v>
      </c>
      <c r="R858" s="5" t="s">
        <v>44</v>
      </c>
      <c r="S858" s="5" t="s">
        <v>33</v>
      </c>
      <c r="T858" s="5" t="s">
        <v>34</v>
      </c>
      <c r="U858" s="5">
        <v>3</v>
      </c>
      <c r="V858" s="5" t="s">
        <v>45</v>
      </c>
    </row>
    <row r="859" spans="1:22" x14ac:dyDescent="0.3">
      <c r="A859" s="5" t="s">
        <v>1404</v>
      </c>
      <c r="B859" s="6">
        <v>46071</v>
      </c>
      <c r="C859" s="5" t="s">
        <v>355</v>
      </c>
      <c r="D859" s="5" t="s">
        <v>151</v>
      </c>
      <c r="E859" s="5" t="s">
        <v>49</v>
      </c>
      <c r="F859" s="5" t="s">
        <v>50</v>
      </c>
      <c r="G859" s="5" t="s">
        <v>51</v>
      </c>
      <c r="H859" s="5" t="s">
        <v>184</v>
      </c>
      <c r="I859" s="5" t="s">
        <v>185</v>
      </c>
      <c r="J859" s="5" t="s">
        <v>102</v>
      </c>
      <c r="K859" s="5" t="s">
        <v>103</v>
      </c>
      <c r="L859" s="5">
        <v>3</v>
      </c>
      <c r="M859" s="5">
        <v>71410</v>
      </c>
      <c r="N859" s="5">
        <v>20</v>
      </c>
      <c r="O859" s="5">
        <v>171384</v>
      </c>
      <c r="P859" s="5">
        <v>139849.59</v>
      </c>
      <c r="Q859" s="5">
        <v>31534.41</v>
      </c>
      <c r="R859" s="5" t="s">
        <v>32</v>
      </c>
      <c r="S859" s="5" t="s">
        <v>82</v>
      </c>
      <c r="T859" s="5" t="s">
        <v>34</v>
      </c>
      <c r="U859" s="5">
        <v>4</v>
      </c>
      <c r="V859" s="5" t="s">
        <v>45</v>
      </c>
    </row>
    <row r="860" spans="1:22" x14ac:dyDescent="0.3">
      <c r="A860" s="5" t="s">
        <v>1405</v>
      </c>
      <c r="B860" s="6">
        <v>46094</v>
      </c>
      <c r="C860" s="5" t="s">
        <v>464</v>
      </c>
      <c r="D860" s="5" t="s">
        <v>76</v>
      </c>
      <c r="E860" s="5" t="s">
        <v>126</v>
      </c>
      <c r="F860" s="5" t="s">
        <v>126</v>
      </c>
      <c r="G860" s="5" t="s">
        <v>51</v>
      </c>
      <c r="H860" s="5" t="s">
        <v>164</v>
      </c>
      <c r="I860" s="5" t="s">
        <v>165</v>
      </c>
      <c r="J860" s="5" t="s">
        <v>102</v>
      </c>
      <c r="K860" s="5" t="s">
        <v>103</v>
      </c>
      <c r="L860" s="5">
        <v>2</v>
      </c>
      <c r="M860" s="5">
        <v>23553</v>
      </c>
      <c r="N860" s="5">
        <v>20</v>
      </c>
      <c r="O860" s="5">
        <v>37684.800000000003</v>
      </c>
      <c r="P860" s="5">
        <v>31688.080000000002</v>
      </c>
      <c r="Q860" s="5">
        <v>5996.72</v>
      </c>
      <c r="R860" s="5" t="s">
        <v>44</v>
      </c>
      <c r="S860" s="5" t="s">
        <v>82</v>
      </c>
      <c r="T860" s="5" t="s">
        <v>73</v>
      </c>
      <c r="U860" s="5">
        <v>5</v>
      </c>
      <c r="V860" s="5" t="s">
        <v>45</v>
      </c>
    </row>
    <row r="861" spans="1:22" x14ac:dyDescent="0.3">
      <c r="A861" s="5" t="s">
        <v>1406</v>
      </c>
      <c r="B861" s="6">
        <v>46202</v>
      </c>
      <c r="C861" s="5" t="s">
        <v>614</v>
      </c>
      <c r="D861" s="5" t="s">
        <v>24</v>
      </c>
      <c r="E861" s="5" t="s">
        <v>59</v>
      </c>
      <c r="F861" s="5" t="s">
        <v>60</v>
      </c>
      <c r="G861" s="5" t="s">
        <v>61</v>
      </c>
      <c r="H861" s="5" t="s">
        <v>762</v>
      </c>
      <c r="I861" s="5" t="s">
        <v>763</v>
      </c>
      <c r="J861" s="5" t="s">
        <v>54</v>
      </c>
      <c r="K861" s="5" t="s">
        <v>55</v>
      </c>
      <c r="L861" s="5">
        <v>5</v>
      </c>
      <c r="M861" s="5">
        <v>26841</v>
      </c>
      <c r="N861" s="5">
        <v>10</v>
      </c>
      <c r="O861" s="5">
        <v>120784.5</v>
      </c>
      <c r="P861" s="5">
        <v>97220.55</v>
      </c>
      <c r="Q861" s="5">
        <v>23563.95</v>
      </c>
      <c r="R861" s="5" t="s">
        <v>64</v>
      </c>
      <c r="S861" s="5" t="s">
        <v>82</v>
      </c>
      <c r="T861" s="5" t="s">
        <v>73</v>
      </c>
      <c r="U861" s="5">
        <v>4</v>
      </c>
      <c r="V861" s="5" t="s">
        <v>45</v>
      </c>
    </row>
    <row r="862" spans="1:22" x14ac:dyDescent="0.3">
      <c r="A862" s="5" t="s">
        <v>1407</v>
      </c>
      <c r="B862" s="6">
        <v>46052</v>
      </c>
      <c r="C862" s="5" t="s">
        <v>1312</v>
      </c>
      <c r="D862" s="5" t="s">
        <v>58</v>
      </c>
      <c r="E862" s="5" t="s">
        <v>59</v>
      </c>
      <c r="F862" s="5" t="s">
        <v>60</v>
      </c>
      <c r="G862" s="5" t="s">
        <v>61</v>
      </c>
      <c r="H862" s="5" t="s">
        <v>479</v>
      </c>
      <c r="I862" s="5" t="s">
        <v>480</v>
      </c>
      <c r="J862" s="5" t="s">
        <v>71</v>
      </c>
      <c r="K862" s="5" t="s">
        <v>72</v>
      </c>
      <c r="L862" s="5">
        <v>3</v>
      </c>
      <c r="M862" s="5">
        <v>24843</v>
      </c>
      <c r="N862" s="5">
        <v>5</v>
      </c>
      <c r="O862" s="5">
        <v>70802.55</v>
      </c>
      <c r="P862" s="5">
        <v>44113.59</v>
      </c>
      <c r="Q862" s="5">
        <v>26688.959999999999</v>
      </c>
      <c r="R862" s="5" t="s">
        <v>64</v>
      </c>
      <c r="S862" s="5" t="s">
        <v>82</v>
      </c>
      <c r="T862" s="5" t="s">
        <v>73</v>
      </c>
      <c r="U862" s="5">
        <v>3</v>
      </c>
      <c r="V862" s="5" t="s">
        <v>35</v>
      </c>
    </row>
    <row r="863" spans="1:22" x14ac:dyDescent="0.3">
      <c r="A863" s="5" t="s">
        <v>1408</v>
      </c>
      <c r="B863" s="6">
        <v>46120</v>
      </c>
      <c r="C863" s="5" t="s">
        <v>84</v>
      </c>
      <c r="D863" s="5" t="s">
        <v>48</v>
      </c>
      <c r="E863" s="5" t="s">
        <v>126</v>
      </c>
      <c r="F863" s="5" t="s">
        <v>126</v>
      </c>
      <c r="G863" s="5" t="s">
        <v>51</v>
      </c>
      <c r="H863" s="5" t="s">
        <v>122</v>
      </c>
      <c r="I863" s="5" t="s">
        <v>123</v>
      </c>
      <c r="J863" s="5" t="s">
        <v>30</v>
      </c>
      <c r="K863" s="5" t="s">
        <v>31</v>
      </c>
      <c r="L863" s="5">
        <v>3</v>
      </c>
      <c r="M863" s="5">
        <v>10869</v>
      </c>
      <c r="N863" s="5">
        <v>20</v>
      </c>
      <c r="O863" s="5">
        <v>26085.599999999999</v>
      </c>
      <c r="P863" s="5">
        <v>22143.73</v>
      </c>
      <c r="Q863" s="5">
        <v>3941.87</v>
      </c>
      <c r="R863" s="5" t="s">
        <v>32</v>
      </c>
      <c r="S863" s="5" t="s">
        <v>33</v>
      </c>
      <c r="T863" s="5" t="s">
        <v>73</v>
      </c>
      <c r="U863" s="5">
        <v>5</v>
      </c>
      <c r="V863" s="5" t="s">
        <v>35</v>
      </c>
    </row>
    <row r="864" spans="1:22" x14ac:dyDescent="0.3">
      <c r="A864" s="5" t="s">
        <v>1409</v>
      </c>
      <c r="B864" s="6">
        <v>46108</v>
      </c>
      <c r="C864" s="5" t="s">
        <v>866</v>
      </c>
      <c r="D864" s="5" t="s">
        <v>76</v>
      </c>
      <c r="E864" s="5" t="s">
        <v>94</v>
      </c>
      <c r="F864" s="5" t="s">
        <v>26</v>
      </c>
      <c r="G864" s="5" t="s">
        <v>27</v>
      </c>
      <c r="H864" s="5" t="s">
        <v>245</v>
      </c>
      <c r="I864" s="5" t="s">
        <v>246</v>
      </c>
      <c r="J864" s="5" t="s">
        <v>54</v>
      </c>
      <c r="K864" s="5" t="s">
        <v>97</v>
      </c>
      <c r="L864" s="5">
        <v>2</v>
      </c>
      <c r="M864" s="5">
        <v>74098</v>
      </c>
      <c r="N864" s="5">
        <v>10</v>
      </c>
      <c r="O864" s="5">
        <v>133376.4</v>
      </c>
      <c r="P864" s="5">
        <v>86424.25</v>
      </c>
      <c r="Q864" s="5">
        <v>46952.15</v>
      </c>
      <c r="R864" s="5" t="s">
        <v>64</v>
      </c>
      <c r="S864" s="5" t="s">
        <v>82</v>
      </c>
      <c r="T864" s="5" t="s">
        <v>73</v>
      </c>
      <c r="U864" s="5">
        <v>2</v>
      </c>
      <c r="V864" s="5" t="s">
        <v>35</v>
      </c>
    </row>
    <row r="865" spans="1:22" x14ac:dyDescent="0.3">
      <c r="A865" s="5" t="s">
        <v>1410</v>
      </c>
      <c r="B865" s="6">
        <v>46106</v>
      </c>
      <c r="C865" s="5" t="s">
        <v>809</v>
      </c>
      <c r="D865" s="5" t="s">
        <v>38</v>
      </c>
      <c r="E865" s="5" t="s">
        <v>77</v>
      </c>
      <c r="F865" s="5" t="s">
        <v>78</v>
      </c>
      <c r="G865" s="5" t="s">
        <v>41</v>
      </c>
      <c r="H865" s="5" t="s">
        <v>90</v>
      </c>
      <c r="I865" s="5" t="s">
        <v>91</v>
      </c>
      <c r="J865" s="5" t="s">
        <v>71</v>
      </c>
      <c r="K865" s="5" t="s">
        <v>81</v>
      </c>
      <c r="L865" s="5">
        <v>4</v>
      </c>
      <c r="M865" s="5">
        <v>46024</v>
      </c>
      <c r="N865" s="5">
        <v>15</v>
      </c>
      <c r="O865" s="5">
        <v>156481.60000000001</v>
      </c>
      <c r="P865" s="5">
        <v>119864.48</v>
      </c>
      <c r="Q865" s="5">
        <v>36617.120000000003</v>
      </c>
      <c r="R865" s="5" t="s">
        <v>44</v>
      </c>
      <c r="S865" s="5" t="s">
        <v>33</v>
      </c>
      <c r="T865" s="5" t="s">
        <v>65</v>
      </c>
      <c r="U865" s="5">
        <v>1</v>
      </c>
      <c r="V865" s="5" t="s">
        <v>45</v>
      </c>
    </row>
    <row r="866" spans="1:22" x14ac:dyDescent="0.3">
      <c r="A866" s="5" t="s">
        <v>1411</v>
      </c>
      <c r="B866" s="6">
        <v>46121</v>
      </c>
      <c r="C866" s="5" t="s">
        <v>366</v>
      </c>
      <c r="D866" s="5" t="s">
        <v>151</v>
      </c>
      <c r="E866" s="5" t="s">
        <v>94</v>
      </c>
      <c r="F866" s="5" t="s">
        <v>26</v>
      </c>
      <c r="G866" s="5" t="s">
        <v>27</v>
      </c>
      <c r="H866" s="5" t="s">
        <v>131</v>
      </c>
      <c r="I866" s="5" t="s">
        <v>132</v>
      </c>
      <c r="J866" s="5" t="s">
        <v>71</v>
      </c>
      <c r="K866" s="5" t="s">
        <v>81</v>
      </c>
      <c r="L866" s="5">
        <v>1</v>
      </c>
      <c r="M866" s="5">
        <v>27748</v>
      </c>
      <c r="N866" s="5">
        <v>10</v>
      </c>
      <c r="O866" s="5">
        <v>24973.200000000001</v>
      </c>
      <c r="P866" s="5">
        <v>19892.009999999998</v>
      </c>
      <c r="Q866" s="5">
        <v>5081.1899999999996</v>
      </c>
      <c r="R866" s="5" t="s">
        <v>44</v>
      </c>
      <c r="S866" s="5" t="s">
        <v>82</v>
      </c>
      <c r="T866" s="5" t="s">
        <v>73</v>
      </c>
      <c r="U866" s="5">
        <v>1</v>
      </c>
      <c r="V866" s="5" t="s">
        <v>45</v>
      </c>
    </row>
    <row r="867" spans="1:22" x14ac:dyDescent="0.3">
      <c r="A867" s="5" t="s">
        <v>1412</v>
      </c>
      <c r="B867" s="6">
        <v>46029</v>
      </c>
      <c r="C867" s="5" t="s">
        <v>859</v>
      </c>
      <c r="D867" s="5" t="s">
        <v>76</v>
      </c>
      <c r="E867" s="5" t="s">
        <v>49</v>
      </c>
      <c r="F867" s="5" t="s">
        <v>50</v>
      </c>
      <c r="G867" s="5" t="s">
        <v>51</v>
      </c>
      <c r="H867" s="5" t="s">
        <v>213</v>
      </c>
      <c r="I867" s="5" t="s">
        <v>214</v>
      </c>
      <c r="J867" s="5" t="s">
        <v>54</v>
      </c>
      <c r="K867" s="5" t="s">
        <v>97</v>
      </c>
      <c r="L867" s="5">
        <v>4</v>
      </c>
      <c r="M867" s="5">
        <v>2044</v>
      </c>
      <c r="N867" s="5">
        <v>15</v>
      </c>
      <c r="O867" s="5">
        <v>6949.6</v>
      </c>
      <c r="P867" s="5">
        <v>6591.86</v>
      </c>
      <c r="Q867" s="5">
        <v>357.74</v>
      </c>
      <c r="R867" s="5" t="s">
        <v>64</v>
      </c>
      <c r="S867" s="5" t="s">
        <v>33</v>
      </c>
      <c r="T867" s="5" t="s">
        <v>34</v>
      </c>
      <c r="U867" s="5">
        <v>5</v>
      </c>
      <c r="V867" s="5" t="s">
        <v>45</v>
      </c>
    </row>
    <row r="868" spans="1:22" x14ac:dyDescent="0.3">
      <c r="A868" s="5" t="s">
        <v>1413</v>
      </c>
      <c r="B868" s="6">
        <v>46099</v>
      </c>
      <c r="C868" s="5" t="s">
        <v>483</v>
      </c>
      <c r="D868" s="5" t="s">
        <v>76</v>
      </c>
      <c r="E868" s="5" t="s">
        <v>126</v>
      </c>
      <c r="F868" s="5" t="s">
        <v>126</v>
      </c>
      <c r="G868" s="5" t="s">
        <v>51</v>
      </c>
      <c r="H868" s="5" t="s">
        <v>457</v>
      </c>
      <c r="I868" s="5" t="s">
        <v>458</v>
      </c>
      <c r="J868" s="5" t="s">
        <v>71</v>
      </c>
      <c r="K868" s="5" t="s">
        <v>81</v>
      </c>
      <c r="L868" s="5">
        <v>1</v>
      </c>
      <c r="M868" s="5">
        <v>42352</v>
      </c>
      <c r="N868" s="5">
        <v>20</v>
      </c>
      <c r="O868" s="5">
        <v>33881.599999999999</v>
      </c>
      <c r="P868" s="5">
        <v>25255.87</v>
      </c>
      <c r="Q868" s="5">
        <v>8625.73</v>
      </c>
      <c r="R868" s="5" t="s">
        <v>32</v>
      </c>
      <c r="S868" s="5" t="s">
        <v>82</v>
      </c>
      <c r="T868" s="5" t="s">
        <v>73</v>
      </c>
      <c r="U868" s="5">
        <v>2</v>
      </c>
      <c r="V868" s="5" t="s">
        <v>35</v>
      </c>
    </row>
    <row r="869" spans="1:22" x14ac:dyDescent="0.3">
      <c r="A869" s="5" t="s">
        <v>1414</v>
      </c>
      <c r="B869" s="6">
        <v>46177</v>
      </c>
      <c r="C869" s="5" t="s">
        <v>1415</v>
      </c>
      <c r="D869" s="5" t="s">
        <v>38</v>
      </c>
      <c r="E869" s="5" t="s">
        <v>25</v>
      </c>
      <c r="F869" s="5" t="s">
        <v>26</v>
      </c>
      <c r="G869" s="5" t="s">
        <v>27</v>
      </c>
      <c r="H869" s="5" t="s">
        <v>486</v>
      </c>
      <c r="I869" s="5" t="s">
        <v>487</v>
      </c>
      <c r="J869" s="5" t="s">
        <v>71</v>
      </c>
      <c r="K869" s="5" t="s">
        <v>81</v>
      </c>
      <c r="L869" s="5">
        <v>5</v>
      </c>
      <c r="M869" s="5">
        <v>54111</v>
      </c>
      <c r="N869" s="5">
        <v>10</v>
      </c>
      <c r="O869" s="5">
        <v>243499.5</v>
      </c>
      <c r="P869" s="5">
        <v>161374.20000000001</v>
      </c>
      <c r="Q869" s="5">
        <v>82125.3</v>
      </c>
      <c r="R869" s="5" t="s">
        <v>64</v>
      </c>
      <c r="S869" s="5" t="s">
        <v>82</v>
      </c>
      <c r="T869" s="5" t="s">
        <v>65</v>
      </c>
      <c r="U869" s="5">
        <v>4</v>
      </c>
      <c r="V869" s="5" t="s">
        <v>45</v>
      </c>
    </row>
    <row r="870" spans="1:22" x14ac:dyDescent="0.3">
      <c r="A870" s="5" t="s">
        <v>1416</v>
      </c>
      <c r="B870" s="6">
        <v>46118</v>
      </c>
      <c r="C870" s="5" t="s">
        <v>248</v>
      </c>
      <c r="D870" s="5" t="s">
        <v>48</v>
      </c>
      <c r="E870" s="5" t="s">
        <v>25</v>
      </c>
      <c r="F870" s="5" t="s">
        <v>26</v>
      </c>
      <c r="G870" s="5" t="s">
        <v>27</v>
      </c>
      <c r="H870" s="5" t="s">
        <v>213</v>
      </c>
      <c r="I870" s="5" t="s">
        <v>214</v>
      </c>
      <c r="J870" s="5" t="s">
        <v>54</v>
      </c>
      <c r="K870" s="5" t="s">
        <v>97</v>
      </c>
      <c r="L870" s="5">
        <v>5</v>
      </c>
      <c r="M870" s="5">
        <v>14441</v>
      </c>
      <c r="N870" s="5">
        <v>10</v>
      </c>
      <c r="O870" s="5">
        <v>64984.5</v>
      </c>
      <c r="P870" s="5">
        <v>54664.79</v>
      </c>
      <c r="Q870" s="5">
        <v>10319.709999999999</v>
      </c>
      <c r="R870" s="5" t="s">
        <v>32</v>
      </c>
      <c r="S870" s="5" t="s">
        <v>33</v>
      </c>
      <c r="T870" s="5" t="s">
        <v>34</v>
      </c>
      <c r="U870" s="5">
        <v>1</v>
      </c>
      <c r="V870" s="5" t="s">
        <v>35</v>
      </c>
    </row>
    <row r="871" spans="1:22" x14ac:dyDescent="0.3">
      <c r="A871" s="5" t="s">
        <v>1417</v>
      </c>
      <c r="B871" s="6">
        <v>46034</v>
      </c>
      <c r="C871" s="5" t="s">
        <v>464</v>
      </c>
      <c r="D871" s="5" t="s">
        <v>117</v>
      </c>
      <c r="E871" s="5" t="s">
        <v>49</v>
      </c>
      <c r="F871" s="5" t="s">
        <v>50</v>
      </c>
      <c r="G871" s="5" t="s">
        <v>51</v>
      </c>
      <c r="H871" s="5" t="s">
        <v>231</v>
      </c>
      <c r="I871" s="5" t="s">
        <v>232</v>
      </c>
      <c r="J871" s="5" t="s">
        <v>54</v>
      </c>
      <c r="K871" s="5" t="s">
        <v>97</v>
      </c>
      <c r="L871" s="5">
        <v>5</v>
      </c>
      <c r="M871" s="5">
        <v>55314</v>
      </c>
      <c r="N871" s="5">
        <v>0</v>
      </c>
      <c r="O871" s="5">
        <v>276570</v>
      </c>
      <c r="P871" s="5">
        <v>200178.57</v>
      </c>
      <c r="Q871" s="5">
        <v>76391.429999999993</v>
      </c>
      <c r="R871" s="5" t="s">
        <v>44</v>
      </c>
      <c r="S871" s="5" t="s">
        <v>82</v>
      </c>
      <c r="T871" s="5" t="s">
        <v>34</v>
      </c>
      <c r="U871" s="5">
        <v>2</v>
      </c>
      <c r="V871" s="5" t="s">
        <v>35</v>
      </c>
    </row>
    <row r="872" spans="1:22" x14ac:dyDescent="0.3">
      <c r="A872" s="5" t="s">
        <v>1418</v>
      </c>
      <c r="B872" s="6">
        <v>46160</v>
      </c>
      <c r="C872" s="5" t="s">
        <v>625</v>
      </c>
      <c r="D872" s="5" t="s">
        <v>48</v>
      </c>
      <c r="E872" s="5" t="s">
        <v>49</v>
      </c>
      <c r="F872" s="5" t="s">
        <v>50</v>
      </c>
      <c r="G872" s="5" t="s">
        <v>51</v>
      </c>
      <c r="H872" s="5" t="s">
        <v>387</v>
      </c>
      <c r="I872" s="5" t="s">
        <v>388</v>
      </c>
      <c r="J872" s="5" t="s">
        <v>54</v>
      </c>
      <c r="K872" s="5" t="s">
        <v>97</v>
      </c>
      <c r="L872" s="5">
        <v>5</v>
      </c>
      <c r="M872" s="5">
        <v>5625</v>
      </c>
      <c r="N872" s="5">
        <v>15</v>
      </c>
      <c r="O872" s="5">
        <v>23906.25</v>
      </c>
      <c r="P872" s="5">
        <v>19343.73</v>
      </c>
      <c r="Q872" s="5">
        <v>4562.5200000000004</v>
      </c>
      <c r="R872" s="5" t="s">
        <v>64</v>
      </c>
      <c r="S872" s="5" t="s">
        <v>82</v>
      </c>
      <c r="T872" s="5" t="s">
        <v>73</v>
      </c>
      <c r="U872" s="5">
        <v>5</v>
      </c>
      <c r="V872" s="5" t="s">
        <v>35</v>
      </c>
    </row>
    <row r="873" spans="1:22" x14ac:dyDescent="0.3">
      <c r="A873" s="5" t="s">
        <v>1419</v>
      </c>
      <c r="B873" s="6">
        <v>46039</v>
      </c>
      <c r="C873" s="5" t="s">
        <v>381</v>
      </c>
      <c r="D873" s="5" t="s">
        <v>48</v>
      </c>
      <c r="E873" s="5" t="s">
        <v>77</v>
      </c>
      <c r="F873" s="5" t="s">
        <v>78</v>
      </c>
      <c r="G873" s="5" t="s">
        <v>41</v>
      </c>
      <c r="H873" s="5" t="s">
        <v>277</v>
      </c>
      <c r="I873" s="5" t="s">
        <v>278</v>
      </c>
      <c r="J873" s="5" t="s">
        <v>71</v>
      </c>
      <c r="K873" s="5" t="s">
        <v>81</v>
      </c>
      <c r="L873" s="5">
        <v>1</v>
      </c>
      <c r="M873" s="5">
        <v>69243</v>
      </c>
      <c r="N873" s="5">
        <v>5</v>
      </c>
      <c r="O873" s="5">
        <v>65780.850000000006</v>
      </c>
      <c r="P873" s="5">
        <v>46736.3</v>
      </c>
      <c r="Q873" s="5">
        <v>19044.55</v>
      </c>
      <c r="R873" s="5" t="s">
        <v>32</v>
      </c>
      <c r="S873" s="5" t="s">
        <v>33</v>
      </c>
      <c r="T873" s="5" t="s">
        <v>34</v>
      </c>
      <c r="U873" s="5">
        <v>3</v>
      </c>
      <c r="V873" s="5" t="s">
        <v>45</v>
      </c>
    </row>
    <row r="874" spans="1:22" x14ac:dyDescent="0.3">
      <c r="A874" s="5" t="s">
        <v>1420</v>
      </c>
      <c r="B874" s="6">
        <v>46202</v>
      </c>
      <c r="C874" s="5" t="s">
        <v>57</v>
      </c>
      <c r="D874" s="5" t="s">
        <v>48</v>
      </c>
      <c r="E874" s="5" t="s">
        <v>77</v>
      </c>
      <c r="F874" s="5" t="s">
        <v>78</v>
      </c>
      <c r="G874" s="5" t="s">
        <v>41</v>
      </c>
      <c r="H874" s="5" t="s">
        <v>95</v>
      </c>
      <c r="I874" s="5" t="s">
        <v>96</v>
      </c>
      <c r="J874" s="5" t="s">
        <v>54</v>
      </c>
      <c r="K874" s="5" t="s">
        <v>97</v>
      </c>
      <c r="L874" s="5">
        <v>5</v>
      </c>
      <c r="M874" s="5">
        <v>59116</v>
      </c>
      <c r="N874" s="5">
        <v>20</v>
      </c>
      <c r="O874" s="5">
        <v>236464</v>
      </c>
      <c r="P874" s="5">
        <v>182572.71</v>
      </c>
      <c r="Q874" s="5">
        <v>53891.29</v>
      </c>
      <c r="R874" s="5" t="s">
        <v>32</v>
      </c>
      <c r="S874" s="5" t="s">
        <v>82</v>
      </c>
      <c r="T874" s="5" t="s">
        <v>73</v>
      </c>
      <c r="U874" s="5">
        <v>2</v>
      </c>
      <c r="V874" s="5" t="s">
        <v>45</v>
      </c>
    </row>
    <row r="875" spans="1:22" x14ac:dyDescent="0.3">
      <c r="A875" s="5" t="s">
        <v>1421</v>
      </c>
      <c r="B875" s="6">
        <v>46183</v>
      </c>
      <c r="C875" s="5" t="s">
        <v>647</v>
      </c>
      <c r="D875" s="5" t="s">
        <v>89</v>
      </c>
      <c r="E875" s="5" t="s">
        <v>49</v>
      </c>
      <c r="F875" s="5" t="s">
        <v>50</v>
      </c>
      <c r="G875" s="5" t="s">
        <v>51</v>
      </c>
      <c r="H875" s="5" t="s">
        <v>141</v>
      </c>
      <c r="I875" s="5" t="s">
        <v>142</v>
      </c>
      <c r="J875" s="5" t="s">
        <v>71</v>
      </c>
      <c r="K875" s="5" t="s">
        <v>81</v>
      </c>
      <c r="L875" s="5">
        <v>1</v>
      </c>
      <c r="M875" s="5">
        <v>32502</v>
      </c>
      <c r="N875" s="5">
        <v>15</v>
      </c>
      <c r="O875" s="5">
        <v>27626.7</v>
      </c>
      <c r="P875" s="5">
        <v>18312.349999999999</v>
      </c>
      <c r="Q875" s="5">
        <v>9314.35</v>
      </c>
      <c r="R875" s="5" t="s">
        <v>64</v>
      </c>
      <c r="S875" s="5" t="s">
        <v>33</v>
      </c>
      <c r="T875" s="5" t="s">
        <v>73</v>
      </c>
      <c r="U875" s="5">
        <v>3</v>
      </c>
      <c r="V875" s="5" t="s">
        <v>35</v>
      </c>
    </row>
    <row r="876" spans="1:22" x14ac:dyDescent="0.3">
      <c r="A876" s="5" t="s">
        <v>1422</v>
      </c>
      <c r="B876" s="6">
        <v>46040</v>
      </c>
      <c r="C876" s="5" t="s">
        <v>446</v>
      </c>
      <c r="D876" s="5" t="s">
        <v>48</v>
      </c>
      <c r="E876" s="5" t="s">
        <v>39</v>
      </c>
      <c r="F876" s="5" t="s">
        <v>40</v>
      </c>
      <c r="G876" s="5" t="s">
        <v>41</v>
      </c>
      <c r="H876" s="5" t="s">
        <v>217</v>
      </c>
      <c r="I876" s="5" t="s">
        <v>218</v>
      </c>
      <c r="J876" s="5" t="s">
        <v>54</v>
      </c>
      <c r="K876" s="5" t="s">
        <v>97</v>
      </c>
      <c r="L876" s="5">
        <v>2</v>
      </c>
      <c r="M876" s="5">
        <v>75883</v>
      </c>
      <c r="N876" s="5">
        <v>5</v>
      </c>
      <c r="O876" s="5">
        <v>144177.70000000001</v>
      </c>
      <c r="P876" s="5">
        <v>108879.3</v>
      </c>
      <c r="Q876" s="5">
        <v>35298.400000000001</v>
      </c>
      <c r="R876" s="5" t="s">
        <v>32</v>
      </c>
      <c r="S876" s="5" t="s">
        <v>33</v>
      </c>
      <c r="T876" s="5" t="s">
        <v>73</v>
      </c>
      <c r="U876" s="5">
        <v>3</v>
      </c>
      <c r="V876" s="5" t="s">
        <v>45</v>
      </c>
    </row>
    <row r="877" spans="1:22" x14ac:dyDescent="0.3">
      <c r="A877" s="5" t="s">
        <v>1423</v>
      </c>
      <c r="B877" s="6">
        <v>46122</v>
      </c>
      <c r="C877" s="5" t="s">
        <v>866</v>
      </c>
      <c r="D877" s="5" t="s">
        <v>24</v>
      </c>
      <c r="E877" s="5" t="s">
        <v>59</v>
      </c>
      <c r="F877" s="5" t="s">
        <v>60</v>
      </c>
      <c r="G877" s="5" t="s">
        <v>61</v>
      </c>
      <c r="H877" s="5" t="s">
        <v>762</v>
      </c>
      <c r="I877" s="5" t="s">
        <v>763</v>
      </c>
      <c r="J877" s="5" t="s">
        <v>54</v>
      </c>
      <c r="K877" s="5" t="s">
        <v>55</v>
      </c>
      <c r="L877" s="5">
        <v>1</v>
      </c>
      <c r="M877" s="5">
        <v>68403</v>
      </c>
      <c r="N877" s="5">
        <v>20</v>
      </c>
      <c r="O877" s="5">
        <v>54722.400000000001</v>
      </c>
      <c r="P877" s="5">
        <v>55218.16</v>
      </c>
      <c r="Q877" s="5">
        <v>-495.76</v>
      </c>
      <c r="R877" s="5" t="s">
        <v>44</v>
      </c>
      <c r="S877" s="5" t="s">
        <v>82</v>
      </c>
      <c r="T877" s="5" t="s">
        <v>73</v>
      </c>
      <c r="U877" s="5">
        <v>1</v>
      </c>
      <c r="V877" s="5" t="s">
        <v>45</v>
      </c>
    </row>
    <row r="878" spans="1:22" x14ac:dyDescent="0.3">
      <c r="A878" s="5" t="s">
        <v>1424</v>
      </c>
      <c r="B878" s="6">
        <v>46165</v>
      </c>
      <c r="C878" s="5" t="s">
        <v>1156</v>
      </c>
      <c r="D878" s="5" t="s">
        <v>151</v>
      </c>
      <c r="E878" s="5" t="s">
        <v>25</v>
      </c>
      <c r="F878" s="5" t="s">
        <v>26</v>
      </c>
      <c r="G878" s="5" t="s">
        <v>27</v>
      </c>
      <c r="H878" s="5" t="s">
        <v>106</v>
      </c>
      <c r="I878" s="5" t="s">
        <v>107</v>
      </c>
      <c r="J878" s="5" t="s">
        <v>30</v>
      </c>
      <c r="K878" s="5" t="s">
        <v>31</v>
      </c>
      <c r="L878" s="5">
        <v>3</v>
      </c>
      <c r="M878" s="5">
        <v>56827</v>
      </c>
      <c r="N878" s="5">
        <v>0</v>
      </c>
      <c r="O878" s="5">
        <v>170481</v>
      </c>
      <c r="P878" s="5">
        <v>127207.05</v>
      </c>
      <c r="Q878" s="5">
        <v>43273.95</v>
      </c>
      <c r="R878" s="5" t="s">
        <v>44</v>
      </c>
      <c r="S878" s="5" t="s">
        <v>33</v>
      </c>
      <c r="T878" s="5" t="s">
        <v>34</v>
      </c>
      <c r="U878" s="5">
        <v>1</v>
      </c>
      <c r="V878" s="5" t="s">
        <v>45</v>
      </c>
    </row>
    <row r="879" spans="1:22" x14ac:dyDescent="0.3">
      <c r="A879" s="5" t="s">
        <v>1425</v>
      </c>
      <c r="B879" s="6">
        <v>46147</v>
      </c>
      <c r="C879" s="5" t="s">
        <v>645</v>
      </c>
      <c r="D879" s="5" t="s">
        <v>110</v>
      </c>
      <c r="E879" s="5" t="s">
        <v>25</v>
      </c>
      <c r="F879" s="5" t="s">
        <v>26</v>
      </c>
      <c r="G879" s="5" t="s">
        <v>27</v>
      </c>
      <c r="H879" s="5" t="s">
        <v>69</v>
      </c>
      <c r="I879" s="5" t="s">
        <v>70</v>
      </c>
      <c r="J879" s="5" t="s">
        <v>71</v>
      </c>
      <c r="K879" s="5" t="s">
        <v>72</v>
      </c>
      <c r="L879" s="5">
        <v>4</v>
      </c>
      <c r="M879" s="5">
        <v>7170</v>
      </c>
      <c r="N879" s="5">
        <v>15</v>
      </c>
      <c r="O879" s="5">
        <v>24378</v>
      </c>
      <c r="P879" s="5">
        <v>17639.22</v>
      </c>
      <c r="Q879" s="5">
        <v>6738.78</v>
      </c>
      <c r="R879" s="5" t="s">
        <v>32</v>
      </c>
      <c r="S879" s="5" t="s">
        <v>33</v>
      </c>
      <c r="T879" s="5" t="s">
        <v>34</v>
      </c>
      <c r="U879" s="5">
        <v>1</v>
      </c>
      <c r="V879" s="5" t="s">
        <v>35</v>
      </c>
    </row>
    <row r="880" spans="1:22" x14ac:dyDescent="0.3">
      <c r="A880" s="5" t="s">
        <v>1426</v>
      </c>
      <c r="B880" s="6">
        <v>46154</v>
      </c>
      <c r="C880" s="5" t="s">
        <v>590</v>
      </c>
      <c r="D880" s="5" t="s">
        <v>48</v>
      </c>
      <c r="E880" s="5" t="s">
        <v>39</v>
      </c>
      <c r="F880" s="5" t="s">
        <v>40</v>
      </c>
      <c r="G880" s="5" t="s">
        <v>41</v>
      </c>
      <c r="H880" s="5" t="s">
        <v>281</v>
      </c>
      <c r="I880" s="5" t="s">
        <v>282</v>
      </c>
      <c r="J880" s="5" t="s">
        <v>30</v>
      </c>
      <c r="K880" s="5" t="s">
        <v>31</v>
      </c>
      <c r="L880" s="5">
        <v>1</v>
      </c>
      <c r="M880" s="5">
        <v>8554</v>
      </c>
      <c r="N880" s="5">
        <v>0</v>
      </c>
      <c r="O880" s="5">
        <v>8554</v>
      </c>
      <c r="P880" s="5">
        <v>6151.42</v>
      </c>
      <c r="Q880" s="5">
        <v>2402.58</v>
      </c>
      <c r="R880" s="5" t="s">
        <v>44</v>
      </c>
      <c r="S880" s="5" t="s">
        <v>82</v>
      </c>
      <c r="T880" s="5" t="s">
        <v>34</v>
      </c>
      <c r="U880" s="5">
        <v>1</v>
      </c>
      <c r="V880" s="5" t="s">
        <v>45</v>
      </c>
    </row>
    <row r="881" spans="1:22" x14ac:dyDescent="0.3">
      <c r="A881" s="5" t="s">
        <v>1427</v>
      </c>
      <c r="B881" s="6">
        <v>46109</v>
      </c>
      <c r="C881" s="5" t="s">
        <v>304</v>
      </c>
      <c r="D881" s="5" t="s">
        <v>117</v>
      </c>
      <c r="E881" s="5" t="s">
        <v>25</v>
      </c>
      <c r="F881" s="5" t="s">
        <v>26</v>
      </c>
      <c r="G881" s="5" t="s">
        <v>27</v>
      </c>
      <c r="H881" s="5" t="s">
        <v>197</v>
      </c>
      <c r="I881" s="5" t="s">
        <v>198</v>
      </c>
      <c r="J881" s="5" t="s">
        <v>30</v>
      </c>
      <c r="K881" s="5" t="s">
        <v>31</v>
      </c>
      <c r="L881" s="5">
        <v>4</v>
      </c>
      <c r="M881" s="5">
        <v>6201</v>
      </c>
      <c r="N881" s="5">
        <v>20</v>
      </c>
      <c r="O881" s="5">
        <v>19843.2</v>
      </c>
      <c r="P881" s="5">
        <v>19524.25</v>
      </c>
      <c r="Q881" s="5">
        <v>318.95</v>
      </c>
      <c r="R881" s="5" t="s">
        <v>44</v>
      </c>
      <c r="S881" s="5" t="s">
        <v>82</v>
      </c>
      <c r="T881" s="5" t="s">
        <v>34</v>
      </c>
      <c r="U881" s="5">
        <v>1</v>
      </c>
      <c r="V881" s="5" t="s">
        <v>35</v>
      </c>
    </row>
    <row r="882" spans="1:22" x14ac:dyDescent="0.3">
      <c r="A882" s="5" t="s">
        <v>1428</v>
      </c>
      <c r="B882" s="6">
        <v>46160</v>
      </c>
      <c r="C882" s="5" t="s">
        <v>67</v>
      </c>
      <c r="D882" s="5" t="s">
        <v>117</v>
      </c>
      <c r="E882" s="5" t="s">
        <v>77</v>
      </c>
      <c r="F882" s="5" t="s">
        <v>78</v>
      </c>
      <c r="G882" s="5" t="s">
        <v>41</v>
      </c>
      <c r="H882" s="5" t="s">
        <v>147</v>
      </c>
      <c r="I882" s="5" t="s">
        <v>148</v>
      </c>
      <c r="J882" s="5" t="s">
        <v>71</v>
      </c>
      <c r="K882" s="5" t="s">
        <v>81</v>
      </c>
      <c r="L882" s="5">
        <v>5</v>
      </c>
      <c r="M882" s="5">
        <v>1524</v>
      </c>
      <c r="N882" s="5">
        <v>10</v>
      </c>
      <c r="O882" s="5">
        <v>6858</v>
      </c>
      <c r="P882" s="5">
        <v>6391.6</v>
      </c>
      <c r="Q882" s="5">
        <v>466.4</v>
      </c>
      <c r="R882" s="5" t="s">
        <v>64</v>
      </c>
      <c r="S882" s="5" t="s">
        <v>82</v>
      </c>
      <c r="T882" s="5" t="s">
        <v>34</v>
      </c>
      <c r="U882" s="5">
        <v>3</v>
      </c>
      <c r="V882" s="5" t="s">
        <v>35</v>
      </c>
    </row>
    <row r="883" spans="1:22" x14ac:dyDescent="0.3">
      <c r="A883" s="5" t="s">
        <v>1429</v>
      </c>
      <c r="B883" s="6">
        <v>46103</v>
      </c>
      <c r="C883" s="5" t="s">
        <v>446</v>
      </c>
      <c r="D883" s="5" t="s">
        <v>151</v>
      </c>
      <c r="E883" s="5" t="s">
        <v>39</v>
      </c>
      <c r="F883" s="5" t="s">
        <v>40</v>
      </c>
      <c r="G883" s="5" t="s">
        <v>41</v>
      </c>
      <c r="H883" s="5" t="s">
        <v>245</v>
      </c>
      <c r="I883" s="5" t="s">
        <v>246</v>
      </c>
      <c r="J883" s="5" t="s">
        <v>54</v>
      </c>
      <c r="K883" s="5" t="s">
        <v>97</v>
      </c>
      <c r="L883" s="5">
        <v>3</v>
      </c>
      <c r="M883" s="5">
        <v>1297</v>
      </c>
      <c r="N883" s="5">
        <v>5</v>
      </c>
      <c r="O883" s="5">
        <v>3696.45</v>
      </c>
      <c r="P883" s="5">
        <v>2973.75</v>
      </c>
      <c r="Q883" s="5">
        <v>722.7</v>
      </c>
      <c r="R883" s="5" t="s">
        <v>32</v>
      </c>
      <c r="S883" s="5" t="s">
        <v>82</v>
      </c>
      <c r="T883" s="5" t="s">
        <v>34</v>
      </c>
      <c r="U883" s="5">
        <v>3</v>
      </c>
      <c r="V883" s="5" t="s">
        <v>35</v>
      </c>
    </row>
    <row r="884" spans="1:22" x14ac:dyDescent="0.3">
      <c r="A884" s="5" t="s">
        <v>1430</v>
      </c>
      <c r="B884" s="6">
        <v>46076</v>
      </c>
      <c r="C884" s="5" t="s">
        <v>1363</v>
      </c>
      <c r="D884" s="5" t="s">
        <v>24</v>
      </c>
      <c r="E884" s="5" t="s">
        <v>94</v>
      </c>
      <c r="F884" s="5" t="s">
        <v>26</v>
      </c>
      <c r="G884" s="5" t="s">
        <v>27</v>
      </c>
      <c r="H884" s="5" t="s">
        <v>213</v>
      </c>
      <c r="I884" s="5" t="s">
        <v>214</v>
      </c>
      <c r="J884" s="5" t="s">
        <v>54</v>
      </c>
      <c r="K884" s="5" t="s">
        <v>97</v>
      </c>
      <c r="L884" s="5">
        <v>1</v>
      </c>
      <c r="M884" s="5">
        <v>48926</v>
      </c>
      <c r="N884" s="5">
        <v>5</v>
      </c>
      <c r="O884" s="5">
        <v>46479.7</v>
      </c>
      <c r="P884" s="5">
        <v>27405.05</v>
      </c>
      <c r="Q884" s="5">
        <v>19074.650000000001</v>
      </c>
      <c r="R884" s="5" t="s">
        <v>44</v>
      </c>
      <c r="S884" s="5" t="s">
        <v>33</v>
      </c>
      <c r="T884" s="5" t="s">
        <v>34</v>
      </c>
      <c r="U884" s="5">
        <v>4</v>
      </c>
      <c r="V884" s="5" t="s">
        <v>35</v>
      </c>
    </row>
    <row r="885" spans="1:22" x14ac:dyDescent="0.3">
      <c r="A885" s="5" t="s">
        <v>1431</v>
      </c>
      <c r="B885" s="6">
        <v>46170</v>
      </c>
      <c r="C885" s="5" t="s">
        <v>1432</v>
      </c>
      <c r="D885" s="5" t="s">
        <v>110</v>
      </c>
      <c r="E885" s="5" t="s">
        <v>39</v>
      </c>
      <c r="F885" s="5" t="s">
        <v>40</v>
      </c>
      <c r="G885" s="5" t="s">
        <v>41</v>
      </c>
      <c r="H885" s="5" t="s">
        <v>513</v>
      </c>
      <c r="I885" s="5" t="s">
        <v>514</v>
      </c>
      <c r="J885" s="5" t="s">
        <v>71</v>
      </c>
      <c r="K885" s="5" t="s">
        <v>72</v>
      </c>
      <c r="L885" s="5">
        <v>4</v>
      </c>
      <c r="M885" s="5">
        <v>47756</v>
      </c>
      <c r="N885" s="5">
        <v>20</v>
      </c>
      <c r="O885" s="5">
        <v>152819.20000000001</v>
      </c>
      <c r="P885" s="5">
        <v>124560.73</v>
      </c>
      <c r="Q885" s="5">
        <v>28258.47</v>
      </c>
      <c r="R885" s="5" t="s">
        <v>64</v>
      </c>
      <c r="S885" s="5" t="s">
        <v>82</v>
      </c>
      <c r="T885" s="5" t="s">
        <v>65</v>
      </c>
      <c r="U885" s="5">
        <v>1</v>
      </c>
      <c r="V885" s="5" t="s">
        <v>35</v>
      </c>
    </row>
    <row r="886" spans="1:22" x14ac:dyDescent="0.3">
      <c r="A886" s="5" t="s">
        <v>1433</v>
      </c>
      <c r="B886" s="6">
        <v>46048</v>
      </c>
      <c r="C886" s="5" t="s">
        <v>519</v>
      </c>
      <c r="D886" s="5" t="s">
        <v>89</v>
      </c>
      <c r="E886" s="5" t="s">
        <v>39</v>
      </c>
      <c r="F886" s="5" t="s">
        <v>40</v>
      </c>
      <c r="G886" s="5" t="s">
        <v>41</v>
      </c>
      <c r="H886" s="5" t="s">
        <v>1359</v>
      </c>
      <c r="I886" s="5" t="s">
        <v>1360</v>
      </c>
      <c r="J886" s="5" t="s">
        <v>71</v>
      </c>
      <c r="K886" s="5" t="s">
        <v>72</v>
      </c>
      <c r="L886" s="5">
        <v>4</v>
      </c>
      <c r="M886" s="5">
        <v>52858</v>
      </c>
      <c r="N886" s="5">
        <v>15</v>
      </c>
      <c r="O886" s="5">
        <v>179717.2</v>
      </c>
      <c r="P886" s="5">
        <v>166676.22</v>
      </c>
      <c r="Q886" s="5">
        <v>13040.98</v>
      </c>
      <c r="R886" s="5" t="s">
        <v>44</v>
      </c>
      <c r="S886" s="5" t="s">
        <v>33</v>
      </c>
      <c r="T886" s="5" t="s">
        <v>34</v>
      </c>
      <c r="U886" s="5">
        <v>3</v>
      </c>
      <c r="V886" s="5" t="s">
        <v>45</v>
      </c>
    </row>
    <row r="887" spans="1:22" x14ac:dyDescent="0.3">
      <c r="A887" s="5" t="s">
        <v>1434</v>
      </c>
      <c r="B887" s="6">
        <v>46122</v>
      </c>
      <c r="C887" s="5" t="s">
        <v>427</v>
      </c>
      <c r="D887" s="5" t="s">
        <v>89</v>
      </c>
      <c r="E887" s="5" t="s">
        <v>25</v>
      </c>
      <c r="F887" s="5" t="s">
        <v>26</v>
      </c>
      <c r="G887" s="5" t="s">
        <v>27</v>
      </c>
      <c r="H887" s="5" t="s">
        <v>261</v>
      </c>
      <c r="I887" s="5" t="s">
        <v>262</v>
      </c>
      <c r="J887" s="5" t="s">
        <v>102</v>
      </c>
      <c r="K887" s="5" t="s">
        <v>103</v>
      </c>
      <c r="L887" s="5">
        <v>5</v>
      </c>
      <c r="M887" s="5">
        <v>16084</v>
      </c>
      <c r="N887" s="5">
        <v>20</v>
      </c>
      <c r="O887" s="5">
        <v>64336</v>
      </c>
      <c r="P887" s="5">
        <v>50720.33</v>
      </c>
      <c r="Q887" s="5">
        <v>13615.67</v>
      </c>
      <c r="R887" s="5" t="s">
        <v>44</v>
      </c>
      <c r="S887" s="5" t="s">
        <v>33</v>
      </c>
      <c r="T887" s="5" t="s">
        <v>65</v>
      </c>
      <c r="U887" s="5">
        <v>2</v>
      </c>
      <c r="V887" s="5" t="s">
        <v>35</v>
      </c>
    </row>
    <row r="888" spans="1:22" x14ac:dyDescent="0.3">
      <c r="A888" s="5" t="s">
        <v>1435</v>
      </c>
      <c r="B888" s="6">
        <v>46170</v>
      </c>
      <c r="C888" s="5" t="s">
        <v>456</v>
      </c>
      <c r="D888" s="5" t="s">
        <v>68</v>
      </c>
      <c r="E888" s="5" t="s">
        <v>126</v>
      </c>
      <c r="F888" s="5" t="s">
        <v>126</v>
      </c>
      <c r="G888" s="5" t="s">
        <v>51</v>
      </c>
      <c r="H888" s="5" t="s">
        <v>206</v>
      </c>
      <c r="I888" s="5" t="s">
        <v>207</v>
      </c>
      <c r="J888" s="5" t="s">
        <v>30</v>
      </c>
      <c r="K888" s="5" t="s">
        <v>31</v>
      </c>
      <c r="L888" s="5">
        <v>3</v>
      </c>
      <c r="M888" s="5">
        <v>8825</v>
      </c>
      <c r="N888" s="5">
        <v>10</v>
      </c>
      <c r="O888" s="5">
        <v>23827.5</v>
      </c>
      <c r="P888" s="5">
        <v>16133.21</v>
      </c>
      <c r="Q888" s="5">
        <v>7694.29</v>
      </c>
      <c r="R888" s="5" t="s">
        <v>32</v>
      </c>
      <c r="S888" s="5" t="s">
        <v>33</v>
      </c>
      <c r="T888" s="5" t="s">
        <v>34</v>
      </c>
      <c r="U888" s="5">
        <v>2</v>
      </c>
      <c r="V888" s="5" t="s">
        <v>35</v>
      </c>
    </row>
    <row r="889" spans="1:22" x14ac:dyDescent="0.3">
      <c r="A889" s="5" t="s">
        <v>1436</v>
      </c>
      <c r="B889" s="6">
        <v>46190</v>
      </c>
      <c r="C889" s="5" t="s">
        <v>1143</v>
      </c>
      <c r="D889" s="5" t="s">
        <v>117</v>
      </c>
      <c r="E889" s="5" t="s">
        <v>49</v>
      </c>
      <c r="F889" s="5" t="s">
        <v>50</v>
      </c>
      <c r="G889" s="5" t="s">
        <v>51</v>
      </c>
      <c r="H889" s="5" t="s">
        <v>152</v>
      </c>
      <c r="I889" s="5" t="s">
        <v>153</v>
      </c>
      <c r="J889" s="5" t="s">
        <v>54</v>
      </c>
      <c r="K889" s="5" t="s">
        <v>97</v>
      </c>
      <c r="L889" s="5">
        <v>1</v>
      </c>
      <c r="M889" s="5">
        <v>19645</v>
      </c>
      <c r="N889" s="5">
        <v>10</v>
      </c>
      <c r="O889" s="5">
        <v>17680.5</v>
      </c>
      <c r="P889" s="5">
        <v>13650.48</v>
      </c>
      <c r="Q889" s="5">
        <v>4030.02</v>
      </c>
      <c r="R889" s="5" t="s">
        <v>32</v>
      </c>
      <c r="S889" s="5" t="s">
        <v>33</v>
      </c>
      <c r="T889" s="5" t="s">
        <v>73</v>
      </c>
      <c r="U889" s="5">
        <v>2</v>
      </c>
      <c r="V889" s="5" t="s">
        <v>45</v>
      </c>
    </row>
    <row r="890" spans="1:22" x14ac:dyDescent="0.3">
      <c r="A890" s="5" t="s">
        <v>1437</v>
      </c>
      <c r="B890" s="6">
        <v>46072</v>
      </c>
      <c r="C890" s="5" t="s">
        <v>1151</v>
      </c>
      <c r="D890" s="5" t="s">
        <v>117</v>
      </c>
      <c r="E890" s="5" t="s">
        <v>49</v>
      </c>
      <c r="F890" s="5" t="s">
        <v>50</v>
      </c>
      <c r="G890" s="5" t="s">
        <v>51</v>
      </c>
      <c r="H890" s="5" t="s">
        <v>42</v>
      </c>
      <c r="I890" s="5" t="s">
        <v>43</v>
      </c>
      <c r="J890" s="5" t="s">
        <v>30</v>
      </c>
      <c r="K890" s="5" t="s">
        <v>31</v>
      </c>
      <c r="L890" s="5">
        <v>2</v>
      </c>
      <c r="M890" s="5">
        <v>2944</v>
      </c>
      <c r="N890" s="5">
        <v>10</v>
      </c>
      <c r="O890" s="5">
        <v>5299.2</v>
      </c>
      <c r="P890" s="5">
        <v>4310.3100000000004</v>
      </c>
      <c r="Q890" s="5">
        <v>988.89</v>
      </c>
      <c r="R890" s="5" t="s">
        <v>44</v>
      </c>
      <c r="S890" s="5" t="s">
        <v>82</v>
      </c>
      <c r="T890" s="5" t="s">
        <v>65</v>
      </c>
      <c r="U890" s="5">
        <v>3</v>
      </c>
      <c r="V890" s="5" t="s">
        <v>35</v>
      </c>
    </row>
    <row r="891" spans="1:22" x14ac:dyDescent="0.3">
      <c r="A891" s="5" t="s">
        <v>1438</v>
      </c>
      <c r="B891" s="6">
        <v>46033</v>
      </c>
      <c r="C891" s="5" t="s">
        <v>1171</v>
      </c>
      <c r="D891" s="5" t="s">
        <v>151</v>
      </c>
      <c r="E891" s="5" t="s">
        <v>39</v>
      </c>
      <c r="F891" s="5" t="s">
        <v>40</v>
      </c>
      <c r="G891" s="5" t="s">
        <v>41</v>
      </c>
      <c r="H891" s="5" t="s">
        <v>95</v>
      </c>
      <c r="I891" s="5" t="s">
        <v>96</v>
      </c>
      <c r="J891" s="5" t="s">
        <v>54</v>
      </c>
      <c r="K891" s="5" t="s">
        <v>97</v>
      </c>
      <c r="L891" s="5">
        <v>2</v>
      </c>
      <c r="M891" s="5">
        <v>23552</v>
      </c>
      <c r="N891" s="5">
        <v>10</v>
      </c>
      <c r="O891" s="5">
        <v>42393.599999999999</v>
      </c>
      <c r="P891" s="5">
        <v>34973.620000000003</v>
      </c>
      <c r="Q891" s="5">
        <v>7419.98</v>
      </c>
      <c r="R891" s="5" t="s">
        <v>64</v>
      </c>
      <c r="S891" s="5" t="s">
        <v>82</v>
      </c>
      <c r="T891" s="5" t="s">
        <v>65</v>
      </c>
      <c r="U891" s="5">
        <v>4</v>
      </c>
      <c r="V891" s="5" t="s">
        <v>45</v>
      </c>
    </row>
    <row r="892" spans="1:22" x14ac:dyDescent="0.3">
      <c r="A892" s="5" t="s">
        <v>1439</v>
      </c>
      <c r="B892" s="6">
        <v>46089</v>
      </c>
      <c r="C892" s="5" t="s">
        <v>223</v>
      </c>
      <c r="D892" s="5" t="s">
        <v>89</v>
      </c>
      <c r="E892" s="5" t="s">
        <v>77</v>
      </c>
      <c r="F892" s="5" t="s">
        <v>78</v>
      </c>
      <c r="G892" s="5" t="s">
        <v>41</v>
      </c>
      <c r="H892" s="5" t="s">
        <v>127</v>
      </c>
      <c r="I892" s="5" t="s">
        <v>128</v>
      </c>
      <c r="J892" s="5" t="s">
        <v>102</v>
      </c>
      <c r="K892" s="5" t="s">
        <v>103</v>
      </c>
      <c r="L892" s="5">
        <v>1</v>
      </c>
      <c r="M892" s="5">
        <v>28312</v>
      </c>
      <c r="N892" s="5">
        <v>0</v>
      </c>
      <c r="O892" s="5">
        <v>28312</v>
      </c>
      <c r="P892" s="5">
        <v>21299.65</v>
      </c>
      <c r="Q892" s="5">
        <v>7012.35</v>
      </c>
      <c r="R892" s="5" t="s">
        <v>44</v>
      </c>
      <c r="S892" s="5" t="s">
        <v>82</v>
      </c>
      <c r="T892" s="5" t="s">
        <v>65</v>
      </c>
      <c r="U892" s="5">
        <v>5</v>
      </c>
      <c r="V892" s="5" t="s">
        <v>35</v>
      </c>
    </row>
    <row r="893" spans="1:22" x14ac:dyDescent="0.3">
      <c r="A893" s="5" t="s">
        <v>1440</v>
      </c>
      <c r="B893" s="6">
        <v>46147</v>
      </c>
      <c r="C893" s="5" t="s">
        <v>656</v>
      </c>
      <c r="D893" s="5" t="s">
        <v>58</v>
      </c>
      <c r="E893" s="5" t="s">
        <v>94</v>
      </c>
      <c r="F893" s="5" t="s">
        <v>26</v>
      </c>
      <c r="G893" s="5" t="s">
        <v>27</v>
      </c>
      <c r="H893" s="5" t="s">
        <v>431</v>
      </c>
      <c r="I893" s="5" t="s">
        <v>432</v>
      </c>
      <c r="J893" s="5" t="s">
        <v>30</v>
      </c>
      <c r="K893" s="5" t="s">
        <v>31</v>
      </c>
      <c r="L893" s="5">
        <v>4</v>
      </c>
      <c r="M893" s="5">
        <v>37318</v>
      </c>
      <c r="N893" s="5">
        <v>5</v>
      </c>
      <c r="O893" s="5">
        <v>141808.4</v>
      </c>
      <c r="P893" s="5">
        <v>126429.51</v>
      </c>
      <c r="Q893" s="5">
        <v>15378.89</v>
      </c>
      <c r="R893" s="5" t="s">
        <v>32</v>
      </c>
      <c r="S893" s="5" t="s">
        <v>33</v>
      </c>
      <c r="T893" s="5" t="s">
        <v>65</v>
      </c>
      <c r="U893" s="5">
        <v>5</v>
      </c>
      <c r="V893" s="5" t="s">
        <v>45</v>
      </c>
    </row>
    <row r="894" spans="1:22" x14ac:dyDescent="0.3">
      <c r="A894" s="5" t="s">
        <v>1441</v>
      </c>
      <c r="B894" s="6">
        <v>46176</v>
      </c>
      <c r="C894" s="5" t="s">
        <v>390</v>
      </c>
      <c r="D894" s="5" t="s">
        <v>151</v>
      </c>
      <c r="E894" s="5" t="s">
        <v>39</v>
      </c>
      <c r="F894" s="5" t="s">
        <v>40</v>
      </c>
      <c r="G894" s="5" t="s">
        <v>41</v>
      </c>
      <c r="H894" s="5" t="s">
        <v>135</v>
      </c>
      <c r="I894" s="5" t="s">
        <v>136</v>
      </c>
      <c r="J894" s="5" t="s">
        <v>30</v>
      </c>
      <c r="K894" s="5" t="s">
        <v>31</v>
      </c>
      <c r="L894" s="5">
        <v>5</v>
      </c>
      <c r="M894" s="5">
        <v>30542</v>
      </c>
      <c r="N894" s="5">
        <v>15</v>
      </c>
      <c r="O894" s="5">
        <v>129803.5</v>
      </c>
      <c r="P894" s="5">
        <v>120491</v>
      </c>
      <c r="Q894" s="5">
        <v>9312.5</v>
      </c>
      <c r="R894" s="5" t="s">
        <v>32</v>
      </c>
      <c r="S894" s="5" t="s">
        <v>33</v>
      </c>
      <c r="T894" s="5" t="s">
        <v>73</v>
      </c>
      <c r="U894" s="5">
        <v>2</v>
      </c>
      <c r="V894" s="5" t="s">
        <v>35</v>
      </c>
    </row>
    <row r="895" spans="1:22" x14ac:dyDescent="0.3">
      <c r="A895" s="5" t="s">
        <v>1442</v>
      </c>
      <c r="B895" s="6">
        <v>46180</v>
      </c>
      <c r="C895" s="5" t="s">
        <v>134</v>
      </c>
      <c r="D895" s="5" t="s">
        <v>76</v>
      </c>
      <c r="E895" s="5" t="s">
        <v>59</v>
      </c>
      <c r="F895" s="5" t="s">
        <v>60</v>
      </c>
      <c r="G895" s="5" t="s">
        <v>61</v>
      </c>
      <c r="H895" s="5" t="s">
        <v>122</v>
      </c>
      <c r="I895" s="5" t="s">
        <v>123</v>
      </c>
      <c r="J895" s="5" t="s">
        <v>30</v>
      </c>
      <c r="K895" s="5" t="s">
        <v>31</v>
      </c>
      <c r="L895" s="5">
        <v>3</v>
      </c>
      <c r="M895" s="5">
        <v>12805</v>
      </c>
      <c r="N895" s="5">
        <v>10</v>
      </c>
      <c r="O895" s="5">
        <v>34573.5</v>
      </c>
      <c r="P895" s="5">
        <v>30453.13</v>
      </c>
      <c r="Q895" s="5">
        <v>4120.37</v>
      </c>
      <c r="R895" s="5" t="s">
        <v>44</v>
      </c>
      <c r="S895" s="5" t="s">
        <v>33</v>
      </c>
      <c r="T895" s="5" t="s">
        <v>73</v>
      </c>
      <c r="U895" s="5">
        <v>4</v>
      </c>
      <c r="V895" s="5" t="s">
        <v>45</v>
      </c>
    </row>
    <row r="896" spans="1:22" x14ac:dyDescent="0.3">
      <c r="A896" s="5" t="s">
        <v>1443</v>
      </c>
      <c r="B896" s="6">
        <v>46123</v>
      </c>
      <c r="C896" s="5" t="s">
        <v>906</v>
      </c>
      <c r="D896" s="5" t="s">
        <v>151</v>
      </c>
      <c r="E896" s="5" t="s">
        <v>39</v>
      </c>
      <c r="F896" s="5" t="s">
        <v>40</v>
      </c>
      <c r="G896" s="5" t="s">
        <v>41</v>
      </c>
      <c r="H896" s="5" t="s">
        <v>401</v>
      </c>
      <c r="I896" s="5" t="s">
        <v>402</v>
      </c>
      <c r="J896" s="5" t="s">
        <v>102</v>
      </c>
      <c r="K896" s="5" t="s">
        <v>103</v>
      </c>
      <c r="L896" s="5">
        <v>5</v>
      </c>
      <c r="M896" s="5">
        <v>66991</v>
      </c>
      <c r="N896" s="5">
        <v>15</v>
      </c>
      <c r="O896" s="5">
        <v>284711.75</v>
      </c>
      <c r="P896" s="5">
        <v>230827.88</v>
      </c>
      <c r="Q896" s="5">
        <v>53883.87</v>
      </c>
      <c r="R896" s="5" t="s">
        <v>64</v>
      </c>
      <c r="S896" s="5" t="s">
        <v>33</v>
      </c>
      <c r="T896" s="5" t="s">
        <v>65</v>
      </c>
      <c r="U896" s="5">
        <v>2</v>
      </c>
      <c r="V896" s="5" t="s">
        <v>45</v>
      </c>
    </row>
    <row r="897" spans="1:22" x14ac:dyDescent="0.3">
      <c r="A897" s="5" t="s">
        <v>1444</v>
      </c>
      <c r="B897" s="6">
        <v>46060</v>
      </c>
      <c r="C897" s="5" t="s">
        <v>1378</v>
      </c>
      <c r="D897" s="5" t="s">
        <v>110</v>
      </c>
      <c r="E897" s="5" t="s">
        <v>94</v>
      </c>
      <c r="F897" s="5" t="s">
        <v>26</v>
      </c>
      <c r="G897" s="5" t="s">
        <v>27</v>
      </c>
      <c r="H897" s="5" t="s">
        <v>415</v>
      </c>
      <c r="I897" s="5" t="s">
        <v>416</v>
      </c>
      <c r="J897" s="5" t="s">
        <v>30</v>
      </c>
      <c r="K897" s="5" t="s">
        <v>31</v>
      </c>
      <c r="L897" s="5">
        <v>4</v>
      </c>
      <c r="M897" s="5">
        <v>63411</v>
      </c>
      <c r="N897" s="5">
        <v>15</v>
      </c>
      <c r="O897" s="5">
        <v>215597.4</v>
      </c>
      <c r="P897" s="5">
        <v>203170.86</v>
      </c>
      <c r="Q897" s="5">
        <v>12426.54</v>
      </c>
      <c r="R897" s="5" t="s">
        <v>44</v>
      </c>
      <c r="S897" s="5" t="s">
        <v>82</v>
      </c>
      <c r="T897" s="5" t="s">
        <v>34</v>
      </c>
      <c r="U897" s="5">
        <v>3</v>
      </c>
      <c r="V897" s="5" t="s">
        <v>45</v>
      </c>
    </row>
    <row r="898" spans="1:22" x14ac:dyDescent="0.3">
      <c r="A898" s="5" t="s">
        <v>1445</v>
      </c>
      <c r="B898" s="6">
        <v>46096</v>
      </c>
      <c r="C898" s="5" t="s">
        <v>809</v>
      </c>
      <c r="D898" s="5" t="s">
        <v>24</v>
      </c>
      <c r="E898" s="5" t="s">
        <v>77</v>
      </c>
      <c r="F898" s="5" t="s">
        <v>78</v>
      </c>
      <c r="G898" s="5" t="s">
        <v>41</v>
      </c>
      <c r="H898" s="5" t="s">
        <v>541</v>
      </c>
      <c r="I898" s="5" t="s">
        <v>542</v>
      </c>
      <c r="J898" s="5" t="s">
        <v>54</v>
      </c>
      <c r="K898" s="5" t="s">
        <v>55</v>
      </c>
      <c r="L898" s="5">
        <v>3</v>
      </c>
      <c r="M898" s="5">
        <v>22229</v>
      </c>
      <c r="N898" s="5">
        <v>20</v>
      </c>
      <c r="O898" s="5">
        <v>53349.599999999999</v>
      </c>
      <c r="P898" s="5">
        <v>43311.7</v>
      </c>
      <c r="Q898" s="5">
        <v>10037.9</v>
      </c>
      <c r="R898" s="5" t="s">
        <v>44</v>
      </c>
      <c r="S898" s="5" t="s">
        <v>33</v>
      </c>
      <c r="T898" s="5" t="s">
        <v>65</v>
      </c>
      <c r="U898" s="5">
        <v>2</v>
      </c>
      <c r="V898" s="5" t="s">
        <v>45</v>
      </c>
    </row>
    <row r="899" spans="1:22" x14ac:dyDescent="0.3">
      <c r="A899" s="5" t="s">
        <v>1446</v>
      </c>
      <c r="B899" s="6">
        <v>46146</v>
      </c>
      <c r="C899" s="5" t="s">
        <v>1186</v>
      </c>
      <c r="D899" s="5" t="s">
        <v>117</v>
      </c>
      <c r="E899" s="5" t="s">
        <v>94</v>
      </c>
      <c r="F899" s="5" t="s">
        <v>26</v>
      </c>
      <c r="G899" s="5" t="s">
        <v>27</v>
      </c>
      <c r="H899" s="5" t="s">
        <v>90</v>
      </c>
      <c r="I899" s="5" t="s">
        <v>91</v>
      </c>
      <c r="J899" s="5" t="s">
        <v>71</v>
      </c>
      <c r="K899" s="5" t="s">
        <v>81</v>
      </c>
      <c r="L899" s="5">
        <v>3</v>
      </c>
      <c r="M899" s="5">
        <v>2783</v>
      </c>
      <c r="N899" s="5">
        <v>0</v>
      </c>
      <c r="O899" s="5">
        <v>8349</v>
      </c>
      <c r="P899" s="5">
        <v>6385.91</v>
      </c>
      <c r="Q899" s="5">
        <v>1963.09</v>
      </c>
      <c r="R899" s="5" t="s">
        <v>32</v>
      </c>
      <c r="S899" s="5" t="s">
        <v>82</v>
      </c>
      <c r="T899" s="5" t="s">
        <v>34</v>
      </c>
      <c r="U899" s="5">
        <v>2</v>
      </c>
      <c r="V899" s="5" t="s">
        <v>45</v>
      </c>
    </row>
    <row r="900" spans="1:22" x14ac:dyDescent="0.3">
      <c r="A900" s="5" t="s">
        <v>1447</v>
      </c>
      <c r="B900" s="6">
        <v>46143</v>
      </c>
      <c r="C900" s="5" t="s">
        <v>379</v>
      </c>
      <c r="D900" s="5" t="s">
        <v>68</v>
      </c>
      <c r="E900" s="5" t="s">
        <v>59</v>
      </c>
      <c r="F900" s="5" t="s">
        <v>60</v>
      </c>
      <c r="G900" s="5" t="s">
        <v>61</v>
      </c>
      <c r="H900" s="5" t="s">
        <v>461</v>
      </c>
      <c r="I900" s="5" t="s">
        <v>462</v>
      </c>
      <c r="J900" s="5" t="s">
        <v>71</v>
      </c>
      <c r="K900" s="5" t="s">
        <v>72</v>
      </c>
      <c r="L900" s="5">
        <v>4</v>
      </c>
      <c r="M900" s="5">
        <v>27282</v>
      </c>
      <c r="N900" s="5">
        <v>0</v>
      </c>
      <c r="O900" s="5">
        <v>109128</v>
      </c>
      <c r="P900" s="5">
        <v>75031.55</v>
      </c>
      <c r="Q900" s="5">
        <v>34096.449999999997</v>
      </c>
      <c r="R900" s="5" t="s">
        <v>64</v>
      </c>
      <c r="S900" s="5" t="s">
        <v>33</v>
      </c>
      <c r="T900" s="5" t="s">
        <v>34</v>
      </c>
      <c r="U900" s="5">
        <v>2</v>
      </c>
      <c r="V900" s="5" t="s">
        <v>35</v>
      </c>
    </row>
    <row r="901" spans="1:22" x14ac:dyDescent="0.3">
      <c r="A901" s="5" t="s">
        <v>1448</v>
      </c>
      <c r="B901" s="6">
        <v>46171</v>
      </c>
      <c r="C901" s="5" t="s">
        <v>628</v>
      </c>
      <c r="D901" s="5" t="s">
        <v>76</v>
      </c>
      <c r="E901" s="5" t="s">
        <v>94</v>
      </c>
      <c r="F901" s="5" t="s">
        <v>26</v>
      </c>
      <c r="G901" s="5" t="s">
        <v>27</v>
      </c>
      <c r="H901" s="5" t="s">
        <v>245</v>
      </c>
      <c r="I901" s="5" t="s">
        <v>246</v>
      </c>
      <c r="J901" s="5" t="s">
        <v>54</v>
      </c>
      <c r="K901" s="5" t="s">
        <v>97</v>
      </c>
      <c r="L901" s="5">
        <v>1</v>
      </c>
      <c r="M901" s="5">
        <v>51728</v>
      </c>
      <c r="N901" s="5">
        <v>5</v>
      </c>
      <c r="O901" s="5">
        <v>49141.599999999999</v>
      </c>
      <c r="P901" s="5">
        <v>37621.379999999997</v>
      </c>
      <c r="Q901" s="5">
        <v>11520.22</v>
      </c>
      <c r="R901" s="5" t="s">
        <v>64</v>
      </c>
      <c r="S901" s="5" t="s">
        <v>33</v>
      </c>
      <c r="T901" s="5" t="s">
        <v>34</v>
      </c>
      <c r="U901" s="5">
        <v>2</v>
      </c>
      <c r="V901" s="5" t="s">
        <v>35</v>
      </c>
    </row>
    <row r="902" spans="1:22" x14ac:dyDescent="0.3">
      <c r="A902" s="5" t="s">
        <v>1449</v>
      </c>
      <c r="B902" s="6">
        <v>46201</v>
      </c>
      <c r="C902" s="5" t="s">
        <v>756</v>
      </c>
      <c r="D902" s="5" t="s">
        <v>48</v>
      </c>
      <c r="E902" s="5" t="s">
        <v>94</v>
      </c>
      <c r="F902" s="5" t="s">
        <v>26</v>
      </c>
      <c r="G902" s="5" t="s">
        <v>27</v>
      </c>
      <c r="H902" s="5" t="s">
        <v>431</v>
      </c>
      <c r="I902" s="5" t="s">
        <v>432</v>
      </c>
      <c r="J902" s="5" t="s">
        <v>30</v>
      </c>
      <c r="K902" s="5" t="s">
        <v>31</v>
      </c>
      <c r="L902" s="5">
        <v>3</v>
      </c>
      <c r="M902" s="5">
        <v>64145</v>
      </c>
      <c r="N902" s="5">
        <v>20</v>
      </c>
      <c r="O902" s="5">
        <v>153948</v>
      </c>
      <c r="P902" s="5">
        <v>155251.82</v>
      </c>
      <c r="Q902" s="5">
        <v>-1303.82</v>
      </c>
      <c r="R902" s="5" t="s">
        <v>44</v>
      </c>
      <c r="S902" s="5" t="s">
        <v>82</v>
      </c>
      <c r="T902" s="5" t="s">
        <v>34</v>
      </c>
      <c r="U902" s="5">
        <v>4</v>
      </c>
      <c r="V902" s="5" t="s">
        <v>35</v>
      </c>
    </row>
    <row r="903" spans="1:22" x14ac:dyDescent="0.3">
      <c r="A903" s="5" t="s">
        <v>1450</v>
      </c>
      <c r="B903" s="6">
        <v>46024</v>
      </c>
      <c r="C903" s="5" t="s">
        <v>349</v>
      </c>
      <c r="D903" s="5" t="s">
        <v>89</v>
      </c>
      <c r="E903" s="5" t="s">
        <v>49</v>
      </c>
      <c r="F903" s="5" t="s">
        <v>50</v>
      </c>
      <c r="G903" s="5" t="s">
        <v>51</v>
      </c>
      <c r="H903" s="5" t="s">
        <v>371</v>
      </c>
      <c r="I903" s="5" t="s">
        <v>372</v>
      </c>
      <c r="J903" s="5" t="s">
        <v>71</v>
      </c>
      <c r="K903" s="5" t="s">
        <v>72</v>
      </c>
      <c r="L903" s="5">
        <v>4</v>
      </c>
      <c r="M903" s="5">
        <v>3626</v>
      </c>
      <c r="N903" s="5">
        <v>10</v>
      </c>
      <c r="O903" s="5">
        <v>13053.6</v>
      </c>
      <c r="P903" s="5">
        <v>11057.03</v>
      </c>
      <c r="Q903" s="5">
        <v>1996.57</v>
      </c>
      <c r="R903" s="5" t="s">
        <v>64</v>
      </c>
      <c r="S903" s="5" t="s">
        <v>82</v>
      </c>
      <c r="T903" s="5" t="s">
        <v>34</v>
      </c>
      <c r="U903" s="5">
        <v>1</v>
      </c>
      <c r="V903" s="5" t="s">
        <v>45</v>
      </c>
    </row>
    <row r="904" spans="1:22" x14ac:dyDescent="0.3">
      <c r="A904" s="5" t="s">
        <v>1451</v>
      </c>
      <c r="B904" s="6">
        <v>46046</v>
      </c>
      <c r="C904" s="5" t="s">
        <v>1268</v>
      </c>
      <c r="D904" s="5" t="s">
        <v>68</v>
      </c>
      <c r="E904" s="5" t="s">
        <v>39</v>
      </c>
      <c r="F904" s="5" t="s">
        <v>40</v>
      </c>
      <c r="G904" s="5" t="s">
        <v>41</v>
      </c>
      <c r="H904" s="5" t="s">
        <v>224</v>
      </c>
      <c r="I904" s="5" t="s">
        <v>225</v>
      </c>
      <c r="J904" s="5" t="s">
        <v>102</v>
      </c>
      <c r="K904" s="5" t="s">
        <v>103</v>
      </c>
      <c r="L904" s="5">
        <v>1</v>
      </c>
      <c r="M904" s="5">
        <v>7555</v>
      </c>
      <c r="N904" s="5">
        <v>5</v>
      </c>
      <c r="O904" s="5">
        <v>7177.25</v>
      </c>
      <c r="P904" s="5">
        <v>4853.42</v>
      </c>
      <c r="Q904" s="5">
        <v>2323.83</v>
      </c>
      <c r="R904" s="5" t="s">
        <v>64</v>
      </c>
      <c r="S904" s="5" t="s">
        <v>33</v>
      </c>
      <c r="T904" s="5" t="s">
        <v>73</v>
      </c>
      <c r="U904" s="5">
        <v>3</v>
      </c>
      <c r="V904" s="5" t="s">
        <v>45</v>
      </c>
    </row>
    <row r="905" spans="1:22" x14ac:dyDescent="0.3">
      <c r="A905" s="5" t="s">
        <v>1452</v>
      </c>
      <c r="B905" s="6">
        <v>46026</v>
      </c>
      <c r="C905" s="5" t="s">
        <v>562</v>
      </c>
      <c r="D905" s="5" t="s">
        <v>48</v>
      </c>
      <c r="E905" s="5" t="s">
        <v>25</v>
      </c>
      <c r="F905" s="5" t="s">
        <v>26</v>
      </c>
      <c r="G905" s="5" t="s">
        <v>27</v>
      </c>
      <c r="H905" s="5" t="s">
        <v>224</v>
      </c>
      <c r="I905" s="5" t="s">
        <v>225</v>
      </c>
      <c r="J905" s="5" t="s">
        <v>102</v>
      </c>
      <c r="K905" s="5" t="s">
        <v>103</v>
      </c>
      <c r="L905" s="5">
        <v>2</v>
      </c>
      <c r="M905" s="5">
        <v>4611</v>
      </c>
      <c r="N905" s="5">
        <v>10</v>
      </c>
      <c r="O905" s="5">
        <v>8299.7999999999993</v>
      </c>
      <c r="P905" s="5">
        <v>6877.71</v>
      </c>
      <c r="Q905" s="5">
        <v>1422.09</v>
      </c>
      <c r="R905" s="5" t="s">
        <v>64</v>
      </c>
      <c r="S905" s="5" t="s">
        <v>33</v>
      </c>
      <c r="T905" s="5" t="s">
        <v>65</v>
      </c>
      <c r="U905" s="5">
        <v>1</v>
      </c>
      <c r="V905" s="5" t="s">
        <v>35</v>
      </c>
    </row>
    <row r="906" spans="1:22" x14ac:dyDescent="0.3">
      <c r="A906" s="5" t="s">
        <v>1453</v>
      </c>
      <c r="B906" s="6">
        <v>46148</v>
      </c>
      <c r="C906" s="5" t="s">
        <v>130</v>
      </c>
      <c r="D906" s="5" t="s">
        <v>38</v>
      </c>
      <c r="E906" s="5" t="s">
        <v>25</v>
      </c>
      <c r="F906" s="5" t="s">
        <v>26</v>
      </c>
      <c r="G906" s="5" t="s">
        <v>27</v>
      </c>
      <c r="H906" s="5" t="s">
        <v>122</v>
      </c>
      <c r="I906" s="5" t="s">
        <v>123</v>
      </c>
      <c r="J906" s="5" t="s">
        <v>30</v>
      </c>
      <c r="K906" s="5" t="s">
        <v>31</v>
      </c>
      <c r="L906" s="5">
        <v>4</v>
      </c>
      <c r="M906" s="5">
        <v>35986</v>
      </c>
      <c r="N906" s="5">
        <v>5</v>
      </c>
      <c r="O906" s="5">
        <v>136746.79999999999</v>
      </c>
      <c r="P906" s="5">
        <v>98606.89</v>
      </c>
      <c r="Q906" s="5">
        <v>38139.910000000003</v>
      </c>
      <c r="R906" s="5" t="s">
        <v>64</v>
      </c>
      <c r="S906" s="5" t="s">
        <v>33</v>
      </c>
      <c r="T906" s="5" t="s">
        <v>73</v>
      </c>
      <c r="U906" s="5">
        <v>5</v>
      </c>
      <c r="V906" s="5" t="s">
        <v>45</v>
      </c>
    </row>
    <row r="907" spans="1:22" x14ac:dyDescent="0.3">
      <c r="A907" s="5" t="s">
        <v>1454</v>
      </c>
      <c r="B907" s="6">
        <v>46048</v>
      </c>
      <c r="C907" s="5" t="s">
        <v>1455</v>
      </c>
      <c r="D907" s="5" t="s">
        <v>48</v>
      </c>
      <c r="E907" s="5" t="s">
        <v>126</v>
      </c>
      <c r="F907" s="5" t="s">
        <v>126</v>
      </c>
      <c r="G907" s="5" t="s">
        <v>51</v>
      </c>
      <c r="H907" s="5" t="s">
        <v>69</v>
      </c>
      <c r="I907" s="5" t="s">
        <v>70</v>
      </c>
      <c r="J907" s="5" t="s">
        <v>71</v>
      </c>
      <c r="K907" s="5" t="s">
        <v>72</v>
      </c>
      <c r="L907" s="5">
        <v>2</v>
      </c>
      <c r="M907" s="5">
        <v>41049</v>
      </c>
      <c r="N907" s="5">
        <v>5</v>
      </c>
      <c r="O907" s="5">
        <v>77993.100000000006</v>
      </c>
      <c r="P907" s="5">
        <v>59397.98</v>
      </c>
      <c r="Q907" s="5">
        <v>18595.12</v>
      </c>
      <c r="R907" s="5" t="s">
        <v>64</v>
      </c>
      <c r="S907" s="5" t="s">
        <v>82</v>
      </c>
      <c r="T907" s="5" t="s">
        <v>65</v>
      </c>
      <c r="U907" s="5">
        <v>3</v>
      </c>
      <c r="V907" s="5" t="s">
        <v>45</v>
      </c>
    </row>
    <row r="908" spans="1:22" x14ac:dyDescent="0.3">
      <c r="A908" s="5" t="s">
        <v>1456</v>
      </c>
      <c r="B908" s="6">
        <v>46124</v>
      </c>
      <c r="C908" s="5" t="s">
        <v>1457</v>
      </c>
      <c r="D908" s="5" t="s">
        <v>68</v>
      </c>
      <c r="E908" s="5" t="s">
        <v>94</v>
      </c>
      <c r="F908" s="5" t="s">
        <v>26</v>
      </c>
      <c r="G908" s="5" t="s">
        <v>27</v>
      </c>
      <c r="H908" s="5" t="s">
        <v>141</v>
      </c>
      <c r="I908" s="5" t="s">
        <v>142</v>
      </c>
      <c r="J908" s="5" t="s">
        <v>71</v>
      </c>
      <c r="K908" s="5" t="s">
        <v>81</v>
      </c>
      <c r="L908" s="5">
        <v>1</v>
      </c>
      <c r="M908" s="5">
        <v>63701</v>
      </c>
      <c r="N908" s="5">
        <v>5</v>
      </c>
      <c r="O908" s="5">
        <v>60515.95</v>
      </c>
      <c r="P908" s="5">
        <v>37768.199999999997</v>
      </c>
      <c r="Q908" s="5">
        <v>22747.75</v>
      </c>
      <c r="R908" s="5" t="s">
        <v>32</v>
      </c>
      <c r="S908" s="5" t="s">
        <v>33</v>
      </c>
      <c r="T908" s="5" t="s">
        <v>65</v>
      </c>
      <c r="U908" s="5">
        <v>4</v>
      </c>
      <c r="V908" s="5" t="s">
        <v>45</v>
      </c>
    </row>
    <row r="909" spans="1:22" x14ac:dyDescent="0.3">
      <c r="A909" s="5" t="s">
        <v>1458</v>
      </c>
      <c r="B909" s="6">
        <v>46183</v>
      </c>
      <c r="C909" s="5" t="s">
        <v>840</v>
      </c>
      <c r="D909" s="5" t="s">
        <v>117</v>
      </c>
      <c r="E909" s="5" t="s">
        <v>59</v>
      </c>
      <c r="F909" s="5" t="s">
        <v>60</v>
      </c>
      <c r="G909" s="5" t="s">
        <v>61</v>
      </c>
      <c r="H909" s="5" t="s">
        <v>1359</v>
      </c>
      <c r="I909" s="5" t="s">
        <v>1360</v>
      </c>
      <c r="J909" s="5" t="s">
        <v>71</v>
      </c>
      <c r="K909" s="5" t="s">
        <v>72</v>
      </c>
      <c r="L909" s="5">
        <v>4</v>
      </c>
      <c r="M909" s="5">
        <v>21027</v>
      </c>
      <c r="N909" s="5">
        <v>5</v>
      </c>
      <c r="O909" s="5">
        <v>79902.600000000006</v>
      </c>
      <c r="P909" s="5">
        <v>46709.41</v>
      </c>
      <c r="Q909" s="5">
        <v>33193.19</v>
      </c>
      <c r="R909" s="5" t="s">
        <v>64</v>
      </c>
      <c r="S909" s="5" t="s">
        <v>33</v>
      </c>
      <c r="T909" s="5" t="s">
        <v>34</v>
      </c>
      <c r="U909" s="5">
        <v>5</v>
      </c>
      <c r="V909" s="5" t="s">
        <v>45</v>
      </c>
    </row>
    <row r="910" spans="1:22" x14ac:dyDescent="0.3">
      <c r="A910" s="5" t="s">
        <v>1459</v>
      </c>
      <c r="B910" s="6">
        <v>46063</v>
      </c>
      <c r="C910" s="5" t="s">
        <v>381</v>
      </c>
      <c r="D910" s="5" t="s">
        <v>117</v>
      </c>
      <c r="E910" s="5" t="s">
        <v>77</v>
      </c>
      <c r="F910" s="5" t="s">
        <v>78</v>
      </c>
      <c r="G910" s="5" t="s">
        <v>41</v>
      </c>
      <c r="H910" s="5" t="s">
        <v>762</v>
      </c>
      <c r="I910" s="5" t="s">
        <v>763</v>
      </c>
      <c r="J910" s="5" t="s">
        <v>54</v>
      </c>
      <c r="K910" s="5" t="s">
        <v>55</v>
      </c>
      <c r="L910" s="5">
        <v>2</v>
      </c>
      <c r="M910" s="5">
        <v>2351</v>
      </c>
      <c r="N910" s="5">
        <v>0</v>
      </c>
      <c r="O910" s="5">
        <v>4702</v>
      </c>
      <c r="P910" s="5">
        <v>3454.2</v>
      </c>
      <c r="Q910" s="5">
        <v>1247.8</v>
      </c>
      <c r="R910" s="5" t="s">
        <v>64</v>
      </c>
      <c r="S910" s="5" t="s">
        <v>82</v>
      </c>
      <c r="T910" s="5" t="s">
        <v>65</v>
      </c>
      <c r="U910" s="5">
        <v>2</v>
      </c>
      <c r="V910" s="5" t="s">
        <v>35</v>
      </c>
    </row>
    <row r="911" spans="1:22" x14ac:dyDescent="0.3">
      <c r="A911" s="5" t="s">
        <v>1460</v>
      </c>
      <c r="B911" s="6">
        <v>46161</v>
      </c>
      <c r="C911" s="5" t="s">
        <v>522</v>
      </c>
      <c r="D911" s="5" t="s">
        <v>89</v>
      </c>
      <c r="E911" s="5" t="s">
        <v>77</v>
      </c>
      <c r="F911" s="5" t="s">
        <v>78</v>
      </c>
      <c r="G911" s="5" t="s">
        <v>41</v>
      </c>
      <c r="H911" s="5" t="s">
        <v>69</v>
      </c>
      <c r="I911" s="5" t="s">
        <v>70</v>
      </c>
      <c r="J911" s="5" t="s">
        <v>71</v>
      </c>
      <c r="K911" s="5" t="s">
        <v>72</v>
      </c>
      <c r="L911" s="5">
        <v>5</v>
      </c>
      <c r="M911" s="5">
        <v>33882</v>
      </c>
      <c r="N911" s="5">
        <v>10</v>
      </c>
      <c r="O911" s="5">
        <v>152469</v>
      </c>
      <c r="P911" s="5">
        <v>132977.57999999999</v>
      </c>
      <c r="Q911" s="5">
        <v>19491.419999999998</v>
      </c>
      <c r="R911" s="5" t="s">
        <v>32</v>
      </c>
      <c r="S911" s="5" t="s">
        <v>82</v>
      </c>
      <c r="T911" s="5" t="s">
        <v>65</v>
      </c>
      <c r="U911" s="5">
        <v>1</v>
      </c>
      <c r="V911" s="5" t="s">
        <v>35</v>
      </c>
    </row>
    <row r="912" spans="1:22" x14ac:dyDescent="0.3">
      <c r="A912" s="5" t="s">
        <v>1461</v>
      </c>
      <c r="B912" s="6">
        <v>46100</v>
      </c>
      <c r="C912" s="5" t="s">
        <v>501</v>
      </c>
      <c r="D912" s="5" t="s">
        <v>89</v>
      </c>
      <c r="E912" s="5" t="s">
        <v>49</v>
      </c>
      <c r="F912" s="5" t="s">
        <v>50</v>
      </c>
      <c r="G912" s="5" t="s">
        <v>51</v>
      </c>
      <c r="H912" s="5" t="s">
        <v>131</v>
      </c>
      <c r="I912" s="5" t="s">
        <v>132</v>
      </c>
      <c r="J912" s="5" t="s">
        <v>71</v>
      </c>
      <c r="K912" s="5" t="s">
        <v>81</v>
      </c>
      <c r="L912" s="5">
        <v>2</v>
      </c>
      <c r="M912" s="5">
        <v>72520</v>
      </c>
      <c r="N912" s="5">
        <v>20</v>
      </c>
      <c r="O912" s="5">
        <v>116032</v>
      </c>
      <c r="P912" s="5">
        <v>103921.82</v>
      </c>
      <c r="Q912" s="5">
        <v>12110.18</v>
      </c>
      <c r="R912" s="5" t="s">
        <v>64</v>
      </c>
      <c r="S912" s="5" t="s">
        <v>33</v>
      </c>
      <c r="T912" s="5" t="s">
        <v>73</v>
      </c>
      <c r="U912" s="5">
        <v>3</v>
      </c>
      <c r="V912" s="5" t="s">
        <v>35</v>
      </c>
    </row>
    <row r="913" spans="1:22" x14ac:dyDescent="0.3">
      <c r="A913" s="5" t="s">
        <v>1462</v>
      </c>
      <c r="B913" s="6">
        <v>46097</v>
      </c>
      <c r="C913" s="5" t="s">
        <v>1322</v>
      </c>
      <c r="D913" s="5" t="s">
        <v>68</v>
      </c>
      <c r="E913" s="5" t="s">
        <v>126</v>
      </c>
      <c r="F913" s="5" t="s">
        <v>126</v>
      </c>
      <c r="G913" s="5" t="s">
        <v>51</v>
      </c>
      <c r="H913" s="5" t="s">
        <v>338</v>
      </c>
      <c r="I913" s="5" t="s">
        <v>339</v>
      </c>
      <c r="J913" s="5" t="s">
        <v>54</v>
      </c>
      <c r="K913" s="5" t="s">
        <v>97</v>
      </c>
      <c r="L913" s="5">
        <v>5</v>
      </c>
      <c r="M913" s="5">
        <v>55538</v>
      </c>
      <c r="N913" s="5">
        <v>0</v>
      </c>
      <c r="O913" s="5">
        <v>277690</v>
      </c>
      <c r="P913" s="5">
        <v>223810.35</v>
      </c>
      <c r="Q913" s="5">
        <v>53879.65</v>
      </c>
      <c r="R913" s="5" t="s">
        <v>64</v>
      </c>
      <c r="S913" s="5" t="s">
        <v>82</v>
      </c>
      <c r="T913" s="5" t="s">
        <v>73</v>
      </c>
      <c r="U913" s="5">
        <v>2</v>
      </c>
      <c r="V913" s="5" t="s">
        <v>35</v>
      </c>
    </row>
    <row r="914" spans="1:22" x14ac:dyDescent="0.3">
      <c r="A914" s="5" t="s">
        <v>1463</v>
      </c>
      <c r="B914" s="6">
        <v>46048</v>
      </c>
      <c r="C914" s="5" t="s">
        <v>237</v>
      </c>
      <c r="D914" s="5" t="s">
        <v>117</v>
      </c>
      <c r="E914" s="5" t="s">
        <v>39</v>
      </c>
      <c r="F914" s="5" t="s">
        <v>40</v>
      </c>
      <c r="G914" s="5" t="s">
        <v>41</v>
      </c>
      <c r="H914" s="5" t="s">
        <v>206</v>
      </c>
      <c r="I914" s="5" t="s">
        <v>207</v>
      </c>
      <c r="J914" s="5" t="s">
        <v>30</v>
      </c>
      <c r="K914" s="5" t="s">
        <v>31</v>
      </c>
      <c r="L914" s="5">
        <v>4</v>
      </c>
      <c r="M914" s="5">
        <v>28419</v>
      </c>
      <c r="N914" s="5">
        <v>5</v>
      </c>
      <c r="O914" s="5">
        <v>107992.2</v>
      </c>
      <c r="P914" s="5">
        <v>93943.71</v>
      </c>
      <c r="Q914" s="5">
        <v>14048.49</v>
      </c>
      <c r="R914" s="5" t="s">
        <v>32</v>
      </c>
      <c r="S914" s="5" t="s">
        <v>82</v>
      </c>
      <c r="T914" s="5" t="s">
        <v>73</v>
      </c>
      <c r="U914" s="5">
        <v>5</v>
      </c>
      <c r="V914" s="5" t="s">
        <v>45</v>
      </c>
    </row>
    <row r="915" spans="1:22" x14ac:dyDescent="0.3">
      <c r="A915" s="5" t="s">
        <v>1464</v>
      </c>
      <c r="B915" s="6">
        <v>46109</v>
      </c>
      <c r="C915" s="5" t="s">
        <v>1457</v>
      </c>
      <c r="D915" s="5" t="s">
        <v>58</v>
      </c>
      <c r="E915" s="5" t="s">
        <v>94</v>
      </c>
      <c r="F915" s="5" t="s">
        <v>26</v>
      </c>
      <c r="G915" s="5" t="s">
        <v>27</v>
      </c>
      <c r="H915" s="5" t="s">
        <v>141</v>
      </c>
      <c r="I915" s="5" t="s">
        <v>142</v>
      </c>
      <c r="J915" s="5" t="s">
        <v>71</v>
      </c>
      <c r="K915" s="5" t="s">
        <v>81</v>
      </c>
      <c r="L915" s="5">
        <v>2</v>
      </c>
      <c r="M915" s="5">
        <v>47621</v>
      </c>
      <c r="N915" s="5">
        <v>10</v>
      </c>
      <c r="O915" s="5">
        <v>85717.8</v>
      </c>
      <c r="P915" s="5">
        <v>53586.68</v>
      </c>
      <c r="Q915" s="5">
        <v>32131.119999999999</v>
      </c>
      <c r="R915" s="5" t="s">
        <v>44</v>
      </c>
      <c r="S915" s="5" t="s">
        <v>33</v>
      </c>
      <c r="T915" s="5" t="s">
        <v>65</v>
      </c>
      <c r="U915" s="5">
        <v>1</v>
      </c>
      <c r="V915" s="5" t="s">
        <v>45</v>
      </c>
    </row>
    <row r="916" spans="1:22" x14ac:dyDescent="0.3">
      <c r="A916" s="5" t="s">
        <v>1465</v>
      </c>
      <c r="B916" s="6">
        <v>46031</v>
      </c>
      <c r="C916" s="5" t="s">
        <v>332</v>
      </c>
      <c r="D916" s="5" t="s">
        <v>76</v>
      </c>
      <c r="E916" s="5" t="s">
        <v>25</v>
      </c>
      <c r="F916" s="5" t="s">
        <v>26</v>
      </c>
      <c r="G916" s="5" t="s">
        <v>27</v>
      </c>
      <c r="H916" s="5" t="s">
        <v>284</v>
      </c>
      <c r="I916" s="5" t="s">
        <v>285</v>
      </c>
      <c r="J916" s="5" t="s">
        <v>54</v>
      </c>
      <c r="K916" s="5" t="s">
        <v>55</v>
      </c>
      <c r="L916" s="5">
        <v>1</v>
      </c>
      <c r="M916" s="5">
        <v>51075</v>
      </c>
      <c r="N916" s="5">
        <v>5</v>
      </c>
      <c r="O916" s="5">
        <v>48521.25</v>
      </c>
      <c r="P916" s="5">
        <v>35655.129999999997</v>
      </c>
      <c r="Q916" s="5">
        <v>12866.12</v>
      </c>
      <c r="R916" s="5" t="s">
        <v>44</v>
      </c>
      <c r="S916" s="5" t="s">
        <v>33</v>
      </c>
      <c r="T916" s="5" t="s">
        <v>65</v>
      </c>
      <c r="U916" s="5">
        <v>5</v>
      </c>
      <c r="V916" s="5" t="s">
        <v>35</v>
      </c>
    </row>
    <row r="917" spans="1:22" x14ac:dyDescent="0.3">
      <c r="A917" s="5" t="s">
        <v>1466</v>
      </c>
      <c r="B917" s="6">
        <v>46143</v>
      </c>
      <c r="C917" s="5" t="s">
        <v>592</v>
      </c>
      <c r="D917" s="5" t="s">
        <v>24</v>
      </c>
      <c r="E917" s="5" t="s">
        <v>49</v>
      </c>
      <c r="F917" s="5" t="s">
        <v>50</v>
      </c>
      <c r="G917" s="5" t="s">
        <v>51</v>
      </c>
      <c r="H917" s="5" t="s">
        <v>189</v>
      </c>
      <c r="I917" s="5" t="s">
        <v>190</v>
      </c>
      <c r="J917" s="5" t="s">
        <v>102</v>
      </c>
      <c r="K917" s="5" t="s">
        <v>103</v>
      </c>
      <c r="L917" s="5">
        <v>2</v>
      </c>
      <c r="M917" s="5">
        <v>72313</v>
      </c>
      <c r="N917" s="5">
        <v>20</v>
      </c>
      <c r="O917" s="5">
        <v>115700.8</v>
      </c>
      <c r="P917" s="5">
        <v>106349.05</v>
      </c>
      <c r="Q917" s="5">
        <v>9351.75</v>
      </c>
      <c r="R917" s="5" t="s">
        <v>64</v>
      </c>
      <c r="S917" s="5" t="s">
        <v>33</v>
      </c>
      <c r="T917" s="5" t="s">
        <v>34</v>
      </c>
      <c r="U917" s="5">
        <v>5</v>
      </c>
      <c r="V917" s="5" t="s">
        <v>35</v>
      </c>
    </row>
    <row r="918" spans="1:22" x14ac:dyDescent="0.3">
      <c r="A918" s="5" t="s">
        <v>1467</v>
      </c>
      <c r="B918" s="6">
        <v>46165</v>
      </c>
      <c r="C918" s="5" t="s">
        <v>1156</v>
      </c>
      <c r="D918" s="5" t="s">
        <v>117</v>
      </c>
      <c r="E918" s="5" t="s">
        <v>77</v>
      </c>
      <c r="F918" s="5" t="s">
        <v>78</v>
      </c>
      <c r="G918" s="5" t="s">
        <v>41</v>
      </c>
      <c r="H918" s="5" t="s">
        <v>479</v>
      </c>
      <c r="I918" s="5" t="s">
        <v>480</v>
      </c>
      <c r="J918" s="5" t="s">
        <v>71</v>
      </c>
      <c r="K918" s="5" t="s">
        <v>72</v>
      </c>
      <c r="L918" s="5">
        <v>5</v>
      </c>
      <c r="M918" s="5">
        <v>26979</v>
      </c>
      <c r="N918" s="5">
        <v>5</v>
      </c>
      <c r="O918" s="5">
        <v>128150.25</v>
      </c>
      <c r="P918" s="5">
        <v>86238.22</v>
      </c>
      <c r="Q918" s="5">
        <v>41912.03</v>
      </c>
      <c r="R918" s="5" t="s">
        <v>64</v>
      </c>
      <c r="S918" s="5" t="s">
        <v>33</v>
      </c>
      <c r="T918" s="5" t="s">
        <v>34</v>
      </c>
      <c r="U918" s="5">
        <v>3</v>
      </c>
      <c r="V918" s="5" t="s">
        <v>45</v>
      </c>
    </row>
    <row r="919" spans="1:22" x14ac:dyDescent="0.3">
      <c r="A919" s="5" t="s">
        <v>1468</v>
      </c>
      <c r="B919" s="6">
        <v>46167</v>
      </c>
      <c r="C919" s="5" t="s">
        <v>571</v>
      </c>
      <c r="D919" s="5" t="s">
        <v>58</v>
      </c>
      <c r="E919" s="5" t="s">
        <v>49</v>
      </c>
      <c r="F919" s="5" t="s">
        <v>50</v>
      </c>
      <c r="G919" s="5" t="s">
        <v>51</v>
      </c>
      <c r="H919" s="5" t="s">
        <v>28</v>
      </c>
      <c r="I919" s="5" t="s">
        <v>29</v>
      </c>
      <c r="J919" s="5" t="s">
        <v>30</v>
      </c>
      <c r="K919" s="5" t="s">
        <v>31</v>
      </c>
      <c r="L919" s="5">
        <v>2</v>
      </c>
      <c r="M919" s="5">
        <v>69939</v>
      </c>
      <c r="N919" s="5">
        <v>20</v>
      </c>
      <c r="O919" s="5">
        <v>111902.39999999999</v>
      </c>
      <c r="P919" s="5">
        <v>111603.39</v>
      </c>
      <c r="Q919" s="5">
        <v>299.01</v>
      </c>
      <c r="R919" s="5" t="s">
        <v>44</v>
      </c>
      <c r="S919" s="5" t="s">
        <v>33</v>
      </c>
      <c r="T919" s="5" t="s">
        <v>73</v>
      </c>
      <c r="U919" s="5">
        <v>3</v>
      </c>
      <c r="V919" s="5" t="s">
        <v>45</v>
      </c>
    </row>
    <row r="920" spans="1:22" x14ac:dyDescent="0.3">
      <c r="A920" s="5" t="s">
        <v>1469</v>
      </c>
      <c r="B920" s="6">
        <v>46104</v>
      </c>
      <c r="C920" s="5" t="s">
        <v>912</v>
      </c>
      <c r="D920" s="5" t="s">
        <v>68</v>
      </c>
      <c r="E920" s="5" t="s">
        <v>39</v>
      </c>
      <c r="F920" s="5" t="s">
        <v>40</v>
      </c>
      <c r="G920" s="5" t="s">
        <v>41</v>
      </c>
      <c r="H920" s="5" t="s">
        <v>131</v>
      </c>
      <c r="I920" s="5" t="s">
        <v>132</v>
      </c>
      <c r="J920" s="5" t="s">
        <v>71</v>
      </c>
      <c r="K920" s="5" t="s">
        <v>81</v>
      </c>
      <c r="L920" s="5">
        <v>1</v>
      </c>
      <c r="M920" s="5">
        <v>13646</v>
      </c>
      <c r="N920" s="5">
        <v>5</v>
      </c>
      <c r="O920" s="5">
        <v>12963.7</v>
      </c>
      <c r="P920" s="5">
        <v>10252.61</v>
      </c>
      <c r="Q920" s="5">
        <v>2711.09</v>
      </c>
      <c r="R920" s="5" t="s">
        <v>64</v>
      </c>
      <c r="S920" s="5" t="s">
        <v>33</v>
      </c>
      <c r="T920" s="5" t="s">
        <v>34</v>
      </c>
      <c r="U920" s="5">
        <v>5</v>
      </c>
      <c r="V920" s="5" t="s">
        <v>35</v>
      </c>
    </row>
    <row r="921" spans="1:22" x14ac:dyDescent="0.3">
      <c r="A921" s="5" t="s">
        <v>1470</v>
      </c>
      <c r="B921" s="6">
        <v>46072</v>
      </c>
      <c r="C921" s="5" t="s">
        <v>659</v>
      </c>
      <c r="D921" s="5" t="s">
        <v>24</v>
      </c>
      <c r="E921" s="5" t="s">
        <v>77</v>
      </c>
      <c r="F921" s="5" t="s">
        <v>78</v>
      </c>
      <c r="G921" s="5" t="s">
        <v>41</v>
      </c>
      <c r="H921" s="5" t="s">
        <v>342</v>
      </c>
      <c r="I921" s="5" t="s">
        <v>343</v>
      </c>
      <c r="J921" s="5" t="s">
        <v>54</v>
      </c>
      <c r="K921" s="5" t="s">
        <v>97</v>
      </c>
      <c r="L921" s="5">
        <v>1</v>
      </c>
      <c r="M921" s="5">
        <v>62684</v>
      </c>
      <c r="N921" s="5">
        <v>10</v>
      </c>
      <c r="O921" s="5">
        <v>56415.6</v>
      </c>
      <c r="P921" s="5">
        <v>36245.660000000003</v>
      </c>
      <c r="Q921" s="5">
        <v>20169.939999999999</v>
      </c>
      <c r="R921" s="5" t="s">
        <v>64</v>
      </c>
      <c r="S921" s="5" t="s">
        <v>33</v>
      </c>
      <c r="T921" s="5" t="s">
        <v>73</v>
      </c>
      <c r="U921" s="5">
        <v>3</v>
      </c>
      <c r="V921" s="5" t="s">
        <v>35</v>
      </c>
    </row>
    <row r="922" spans="1:22" x14ac:dyDescent="0.3">
      <c r="A922" s="5" t="s">
        <v>1471</v>
      </c>
      <c r="B922" s="6">
        <v>46157</v>
      </c>
      <c r="C922" s="5" t="s">
        <v>494</v>
      </c>
      <c r="D922" s="5" t="s">
        <v>76</v>
      </c>
      <c r="E922" s="5" t="s">
        <v>39</v>
      </c>
      <c r="F922" s="5" t="s">
        <v>40</v>
      </c>
      <c r="G922" s="5" t="s">
        <v>41</v>
      </c>
      <c r="H922" s="5" t="s">
        <v>496</v>
      </c>
      <c r="I922" s="5" t="s">
        <v>497</v>
      </c>
      <c r="J922" s="5" t="s">
        <v>30</v>
      </c>
      <c r="K922" s="5" t="s">
        <v>31</v>
      </c>
      <c r="L922" s="5">
        <v>4</v>
      </c>
      <c r="M922" s="5">
        <v>53244</v>
      </c>
      <c r="N922" s="5">
        <v>0</v>
      </c>
      <c r="O922" s="5">
        <v>212976</v>
      </c>
      <c r="P922" s="5">
        <v>180887.2</v>
      </c>
      <c r="Q922" s="5">
        <v>32088.799999999999</v>
      </c>
      <c r="R922" s="5" t="s">
        <v>64</v>
      </c>
      <c r="S922" s="5" t="s">
        <v>82</v>
      </c>
      <c r="T922" s="5" t="s">
        <v>34</v>
      </c>
      <c r="U922" s="5">
        <v>1</v>
      </c>
      <c r="V922" s="5" t="s">
        <v>35</v>
      </c>
    </row>
    <row r="923" spans="1:22" x14ac:dyDescent="0.3">
      <c r="A923" s="5" t="s">
        <v>1472</v>
      </c>
      <c r="B923" s="6">
        <v>46193</v>
      </c>
      <c r="C923" s="5" t="s">
        <v>490</v>
      </c>
      <c r="D923" s="5" t="s">
        <v>117</v>
      </c>
      <c r="E923" s="5" t="s">
        <v>39</v>
      </c>
      <c r="F923" s="5" t="s">
        <v>40</v>
      </c>
      <c r="G923" s="5" t="s">
        <v>41</v>
      </c>
      <c r="H923" s="5" t="s">
        <v>447</v>
      </c>
      <c r="I923" s="5" t="s">
        <v>448</v>
      </c>
      <c r="J923" s="5" t="s">
        <v>71</v>
      </c>
      <c r="K923" s="5" t="s">
        <v>72</v>
      </c>
      <c r="L923" s="5">
        <v>2</v>
      </c>
      <c r="M923" s="5">
        <v>45867</v>
      </c>
      <c r="N923" s="5">
        <v>0</v>
      </c>
      <c r="O923" s="5">
        <v>91734</v>
      </c>
      <c r="P923" s="5">
        <v>53982.06</v>
      </c>
      <c r="Q923" s="5">
        <v>37751.94</v>
      </c>
      <c r="R923" s="5" t="s">
        <v>32</v>
      </c>
      <c r="S923" s="5" t="s">
        <v>82</v>
      </c>
      <c r="T923" s="5" t="s">
        <v>34</v>
      </c>
      <c r="U923" s="5">
        <v>5</v>
      </c>
      <c r="V923" s="5" t="s">
        <v>45</v>
      </c>
    </row>
    <row r="924" spans="1:22" x14ac:dyDescent="0.3">
      <c r="A924" s="5" t="s">
        <v>1473</v>
      </c>
      <c r="B924" s="6">
        <v>46033</v>
      </c>
      <c r="C924" s="5" t="s">
        <v>341</v>
      </c>
      <c r="D924" s="5" t="s">
        <v>38</v>
      </c>
      <c r="E924" s="5" t="s">
        <v>94</v>
      </c>
      <c r="F924" s="5" t="s">
        <v>26</v>
      </c>
      <c r="G924" s="5" t="s">
        <v>27</v>
      </c>
      <c r="H924" s="5" t="s">
        <v>28</v>
      </c>
      <c r="I924" s="5" t="s">
        <v>29</v>
      </c>
      <c r="J924" s="5" t="s">
        <v>30</v>
      </c>
      <c r="K924" s="5" t="s">
        <v>31</v>
      </c>
      <c r="L924" s="5">
        <v>1</v>
      </c>
      <c r="M924" s="5">
        <v>56096</v>
      </c>
      <c r="N924" s="5">
        <v>0</v>
      </c>
      <c r="O924" s="5">
        <v>56096</v>
      </c>
      <c r="P924" s="5">
        <v>39923.160000000003</v>
      </c>
      <c r="Q924" s="5">
        <v>16172.84</v>
      </c>
      <c r="R924" s="5" t="s">
        <v>32</v>
      </c>
      <c r="S924" s="5" t="s">
        <v>82</v>
      </c>
      <c r="T924" s="5" t="s">
        <v>65</v>
      </c>
      <c r="U924" s="5">
        <v>2</v>
      </c>
      <c r="V924" s="5" t="s">
        <v>45</v>
      </c>
    </row>
    <row r="925" spans="1:22" x14ac:dyDescent="0.3">
      <c r="A925" s="5" t="s">
        <v>1474</v>
      </c>
      <c r="B925" s="6">
        <v>46070</v>
      </c>
      <c r="C925" s="5" t="s">
        <v>545</v>
      </c>
      <c r="D925" s="5" t="s">
        <v>24</v>
      </c>
      <c r="E925" s="5" t="s">
        <v>59</v>
      </c>
      <c r="F925" s="5" t="s">
        <v>60</v>
      </c>
      <c r="G925" s="5" t="s">
        <v>61</v>
      </c>
      <c r="H925" s="5" t="s">
        <v>334</v>
      </c>
      <c r="I925" s="5" t="s">
        <v>335</v>
      </c>
      <c r="J925" s="5" t="s">
        <v>71</v>
      </c>
      <c r="K925" s="5" t="s">
        <v>72</v>
      </c>
      <c r="L925" s="5">
        <v>5</v>
      </c>
      <c r="M925" s="5">
        <v>64455</v>
      </c>
      <c r="N925" s="5">
        <v>15</v>
      </c>
      <c r="O925" s="5">
        <v>273933.75</v>
      </c>
      <c r="P925" s="5">
        <v>260768.65</v>
      </c>
      <c r="Q925" s="5">
        <v>13165.1</v>
      </c>
      <c r="R925" s="5" t="s">
        <v>32</v>
      </c>
      <c r="S925" s="5" t="s">
        <v>33</v>
      </c>
      <c r="T925" s="5" t="s">
        <v>34</v>
      </c>
      <c r="U925" s="5">
        <v>2</v>
      </c>
      <c r="V925" s="5" t="s">
        <v>35</v>
      </c>
    </row>
    <row r="926" spans="1:22" x14ac:dyDescent="0.3">
      <c r="A926" s="5" t="s">
        <v>1475</v>
      </c>
      <c r="B926" s="6">
        <v>46072</v>
      </c>
      <c r="C926" s="5" t="s">
        <v>846</v>
      </c>
      <c r="D926" s="5" t="s">
        <v>89</v>
      </c>
      <c r="E926" s="5" t="s">
        <v>77</v>
      </c>
      <c r="F926" s="5" t="s">
        <v>78</v>
      </c>
      <c r="G926" s="5" t="s">
        <v>41</v>
      </c>
      <c r="H926" s="5" t="s">
        <v>1359</v>
      </c>
      <c r="I926" s="5" t="s">
        <v>1360</v>
      </c>
      <c r="J926" s="5" t="s">
        <v>71</v>
      </c>
      <c r="K926" s="5" t="s">
        <v>72</v>
      </c>
      <c r="L926" s="5">
        <v>5</v>
      </c>
      <c r="M926" s="5">
        <v>74953</v>
      </c>
      <c r="N926" s="5">
        <v>20</v>
      </c>
      <c r="O926" s="5">
        <v>299812</v>
      </c>
      <c r="P926" s="5">
        <v>299748.64</v>
      </c>
      <c r="Q926" s="5">
        <v>63.36</v>
      </c>
      <c r="R926" s="5" t="s">
        <v>64</v>
      </c>
      <c r="S926" s="5" t="s">
        <v>33</v>
      </c>
      <c r="T926" s="5" t="s">
        <v>34</v>
      </c>
      <c r="U926" s="5">
        <v>2</v>
      </c>
      <c r="V926" s="5" t="s">
        <v>45</v>
      </c>
    </row>
    <row r="927" spans="1:22" x14ac:dyDescent="0.3">
      <c r="A927" s="5" t="s">
        <v>1476</v>
      </c>
      <c r="B927" s="6">
        <v>46142</v>
      </c>
      <c r="C927" s="5" t="s">
        <v>880</v>
      </c>
      <c r="D927" s="5" t="s">
        <v>58</v>
      </c>
      <c r="E927" s="5" t="s">
        <v>59</v>
      </c>
      <c r="F927" s="5" t="s">
        <v>60</v>
      </c>
      <c r="G927" s="5" t="s">
        <v>61</v>
      </c>
      <c r="H927" s="5" t="s">
        <v>113</v>
      </c>
      <c r="I927" s="5" t="s">
        <v>114</v>
      </c>
      <c r="J927" s="5" t="s">
        <v>102</v>
      </c>
      <c r="K927" s="5" t="s">
        <v>103</v>
      </c>
      <c r="L927" s="5">
        <v>2</v>
      </c>
      <c r="M927" s="5">
        <v>20721</v>
      </c>
      <c r="N927" s="5">
        <v>0</v>
      </c>
      <c r="O927" s="5">
        <v>41442</v>
      </c>
      <c r="P927" s="5">
        <v>29071.02</v>
      </c>
      <c r="Q927" s="5">
        <v>12370.98</v>
      </c>
      <c r="R927" s="5" t="s">
        <v>44</v>
      </c>
      <c r="S927" s="5" t="s">
        <v>33</v>
      </c>
      <c r="T927" s="5" t="s">
        <v>65</v>
      </c>
      <c r="U927" s="5">
        <v>3</v>
      </c>
      <c r="V927" s="5" t="s">
        <v>35</v>
      </c>
    </row>
    <row r="928" spans="1:22" x14ac:dyDescent="0.3">
      <c r="A928" s="5" t="s">
        <v>1477</v>
      </c>
      <c r="B928" s="6">
        <v>46031</v>
      </c>
      <c r="C928" s="5" t="s">
        <v>1415</v>
      </c>
      <c r="D928" s="5" t="s">
        <v>38</v>
      </c>
      <c r="E928" s="5" t="s">
        <v>94</v>
      </c>
      <c r="F928" s="5" t="s">
        <v>26</v>
      </c>
      <c r="G928" s="5" t="s">
        <v>27</v>
      </c>
      <c r="H928" s="5" t="s">
        <v>391</v>
      </c>
      <c r="I928" s="5" t="s">
        <v>392</v>
      </c>
      <c r="J928" s="5" t="s">
        <v>54</v>
      </c>
      <c r="K928" s="5" t="s">
        <v>55</v>
      </c>
      <c r="L928" s="5">
        <v>5</v>
      </c>
      <c r="M928" s="5">
        <v>64716</v>
      </c>
      <c r="N928" s="5">
        <v>15</v>
      </c>
      <c r="O928" s="5">
        <v>275043</v>
      </c>
      <c r="P928" s="5">
        <v>208543.72</v>
      </c>
      <c r="Q928" s="5">
        <v>66499.28</v>
      </c>
      <c r="R928" s="5" t="s">
        <v>64</v>
      </c>
      <c r="S928" s="5" t="s">
        <v>33</v>
      </c>
      <c r="T928" s="5" t="s">
        <v>34</v>
      </c>
      <c r="U928" s="5">
        <v>5</v>
      </c>
      <c r="V928" s="5" t="s">
        <v>45</v>
      </c>
    </row>
    <row r="929" spans="1:22" x14ac:dyDescent="0.3">
      <c r="A929" s="5" t="s">
        <v>1478</v>
      </c>
      <c r="B929" s="6">
        <v>46161</v>
      </c>
      <c r="C929" s="5" t="s">
        <v>1036</v>
      </c>
      <c r="D929" s="5" t="s">
        <v>38</v>
      </c>
      <c r="E929" s="5" t="s">
        <v>126</v>
      </c>
      <c r="F929" s="5" t="s">
        <v>126</v>
      </c>
      <c r="G929" s="5" t="s">
        <v>51</v>
      </c>
      <c r="H929" s="5" t="s">
        <v>457</v>
      </c>
      <c r="I929" s="5" t="s">
        <v>458</v>
      </c>
      <c r="J929" s="5" t="s">
        <v>71</v>
      </c>
      <c r="K929" s="5" t="s">
        <v>81</v>
      </c>
      <c r="L929" s="5">
        <v>2</v>
      </c>
      <c r="M929" s="5">
        <v>49891</v>
      </c>
      <c r="N929" s="5">
        <v>0</v>
      </c>
      <c r="O929" s="5">
        <v>99782</v>
      </c>
      <c r="P929" s="5">
        <v>66715.53</v>
      </c>
      <c r="Q929" s="5">
        <v>33066.47</v>
      </c>
      <c r="R929" s="5" t="s">
        <v>64</v>
      </c>
      <c r="S929" s="5" t="s">
        <v>33</v>
      </c>
      <c r="T929" s="5" t="s">
        <v>65</v>
      </c>
      <c r="U929" s="5">
        <v>4</v>
      </c>
      <c r="V929" s="5" t="s">
        <v>45</v>
      </c>
    </row>
    <row r="930" spans="1:22" x14ac:dyDescent="0.3">
      <c r="A930" s="5" t="s">
        <v>1479</v>
      </c>
      <c r="B930" s="6">
        <v>46149</v>
      </c>
      <c r="C930" s="5" t="s">
        <v>483</v>
      </c>
      <c r="D930" s="5" t="s">
        <v>151</v>
      </c>
      <c r="E930" s="5" t="s">
        <v>39</v>
      </c>
      <c r="F930" s="5" t="s">
        <v>40</v>
      </c>
      <c r="G930" s="5" t="s">
        <v>41</v>
      </c>
      <c r="H930" s="5" t="s">
        <v>231</v>
      </c>
      <c r="I930" s="5" t="s">
        <v>232</v>
      </c>
      <c r="J930" s="5" t="s">
        <v>54</v>
      </c>
      <c r="K930" s="5" t="s">
        <v>97</v>
      </c>
      <c r="L930" s="5">
        <v>1</v>
      </c>
      <c r="M930" s="5">
        <v>47377</v>
      </c>
      <c r="N930" s="5">
        <v>20</v>
      </c>
      <c r="O930" s="5">
        <v>37901.599999999999</v>
      </c>
      <c r="P930" s="5">
        <v>29416.65</v>
      </c>
      <c r="Q930" s="5">
        <v>8484.9500000000007</v>
      </c>
      <c r="R930" s="5" t="s">
        <v>64</v>
      </c>
      <c r="S930" s="5" t="s">
        <v>33</v>
      </c>
      <c r="T930" s="5" t="s">
        <v>65</v>
      </c>
      <c r="U930" s="5">
        <v>1</v>
      </c>
      <c r="V930" s="5" t="s">
        <v>35</v>
      </c>
    </row>
    <row r="931" spans="1:22" x14ac:dyDescent="0.3">
      <c r="A931" s="5" t="s">
        <v>1480</v>
      </c>
      <c r="B931" s="6">
        <v>46135</v>
      </c>
      <c r="C931" s="5" t="s">
        <v>351</v>
      </c>
      <c r="D931" s="5" t="s">
        <v>76</v>
      </c>
      <c r="E931" s="5" t="s">
        <v>59</v>
      </c>
      <c r="F931" s="5" t="s">
        <v>60</v>
      </c>
      <c r="G931" s="5" t="s">
        <v>61</v>
      </c>
      <c r="H931" s="5" t="s">
        <v>384</v>
      </c>
      <c r="I931" s="5" t="s">
        <v>385</v>
      </c>
      <c r="J931" s="5" t="s">
        <v>102</v>
      </c>
      <c r="K931" s="5" t="s">
        <v>103</v>
      </c>
      <c r="L931" s="5">
        <v>5</v>
      </c>
      <c r="M931" s="5">
        <v>28571</v>
      </c>
      <c r="N931" s="5">
        <v>10</v>
      </c>
      <c r="O931" s="5">
        <v>128569.5</v>
      </c>
      <c r="P931" s="5">
        <v>104198.42</v>
      </c>
      <c r="Q931" s="5">
        <v>24371.08</v>
      </c>
      <c r="R931" s="5" t="s">
        <v>32</v>
      </c>
      <c r="S931" s="5" t="s">
        <v>82</v>
      </c>
      <c r="T931" s="5" t="s">
        <v>34</v>
      </c>
      <c r="U931" s="5">
        <v>3</v>
      </c>
      <c r="V931" s="5" t="s">
        <v>45</v>
      </c>
    </row>
    <row r="932" spans="1:22" x14ac:dyDescent="0.3">
      <c r="A932" s="5" t="s">
        <v>1481</v>
      </c>
      <c r="B932" s="6">
        <v>46043</v>
      </c>
      <c r="C932" s="5" t="s">
        <v>1482</v>
      </c>
      <c r="D932" s="5" t="s">
        <v>48</v>
      </c>
      <c r="E932" s="5" t="s">
        <v>77</v>
      </c>
      <c r="F932" s="5" t="s">
        <v>78</v>
      </c>
      <c r="G932" s="5" t="s">
        <v>41</v>
      </c>
      <c r="H932" s="5" t="s">
        <v>69</v>
      </c>
      <c r="I932" s="5" t="s">
        <v>70</v>
      </c>
      <c r="J932" s="5" t="s">
        <v>71</v>
      </c>
      <c r="K932" s="5" t="s">
        <v>72</v>
      </c>
      <c r="L932" s="5">
        <v>5</v>
      </c>
      <c r="M932" s="5">
        <v>27454</v>
      </c>
      <c r="N932" s="5">
        <v>15</v>
      </c>
      <c r="O932" s="5">
        <v>116679.5</v>
      </c>
      <c r="P932" s="5">
        <v>110056.98</v>
      </c>
      <c r="Q932" s="5">
        <v>6622.52</v>
      </c>
      <c r="R932" s="5" t="s">
        <v>44</v>
      </c>
      <c r="S932" s="5" t="s">
        <v>33</v>
      </c>
      <c r="T932" s="5" t="s">
        <v>65</v>
      </c>
      <c r="U932" s="5">
        <v>2</v>
      </c>
      <c r="V932" s="5" t="s">
        <v>45</v>
      </c>
    </row>
    <row r="933" spans="1:22" x14ac:dyDescent="0.3">
      <c r="A933" s="5" t="s">
        <v>1483</v>
      </c>
      <c r="B933" s="6">
        <v>46186</v>
      </c>
      <c r="C933" s="5" t="s">
        <v>1282</v>
      </c>
      <c r="D933" s="5" t="s">
        <v>38</v>
      </c>
      <c r="E933" s="5" t="s">
        <v>77</v>
      </c>
      <c r="F933" s="5" t="s">
        <v>78</v>
      </c>
      <c r="G933" s="5" t="s">
        <v>41</v>
      </c>
      <c r="H933" s="5" t="s">
        <v>28</v>
      </c>
      <c r="I933" s="5" t="s">
        <v>29</v>
      </c>
      <c r="J933" s="5" t="s">
        <v>30</v>
      </c>
      <c r="K933" s="5" t="s">
        <v>31</v>
      </c>
      <c r="L933" s="5">
        <v>4</v>
      </c>
      <c r="M933" s="5">
        <v>71556</v>
      </c>
      <c r="N933" s="5">
        <v>20</v>
      </c>
      <c r="O933" s="5">
        <v>228979.20000000001</v>
      </c>
      <c r="P933" s="5">
        <v>205332.94</v>
      </c>
      <c r="Q933" s="5">
        <v>23646.26</v>
      </c>
      <c r="R933" s="5" t="s">
        <v>32</v>
      </c>
      <c r="S933" s="5" t="s">
        <v>82</v>
      </c>
      <c r="T933" s="5" t="s">
        <v>34</v>
      </c>
      <c r="U933" s="5">
        <v>4</v>
      </c>
      <c r="V933" s="5" t="s">
        <v>35</v>
      </c>
    </row>
    <row r="934" spans="1:22" x14ac:dyDescent="0.3">
      <c r="A934" s="5" t="s">
        <v>1484</v>
      </c>
      <c r="B934" s="6">
        <v>46166</v>
      </c>
      <c r="C934" s="5" t="s">
        <v>756</v>
      </c>
      <c r="D934" s="5" t="s">
        <v>76</v>
      </c>
      <c r="E934" s="5" t="s">
        <v>59</v>
      </c>
      <c r="F934" s="5" t="s">
        <v>60</v>
      </c>
      <c r="G934" s="5" t="s">
        <v>61</v>
      </c>
      <c r="H934" s="5" t="s">
        <v>172</v>
      </c>
      <c r="I934" s="5" t="s">
        <v>173</v>
      </c>
      <c r="J934" s="5" t="s">
        <v>54</v>
      </c>
      <c r="K934" s="5" t="s">
        <v>97</v>
      </c>
      <c r="L934" s="5">
        <v>5</v>
      </c>
      <c r="M934" s="5">
        <v>70772</v>
      </c>
      <c r="N934" s="5">
        <v>20</v>
      </c>
      <c r="O934" s="5">
        <v>283088</v>
      </c>
      <c r="P934" s="5">
        <v>265748.26</v>
      </c>
      <c r="Q934" s="5">
        <v>17339.740000000002</v>
      </c>
      <c r="R934" s="5" t="s">
        <v>44</v>
      </c>
      <c r="S934" s="5" t="s">
        <v>33</v>
      </c>
      <c r="T934" s="5" t="s">
        <v>73</v>
      </c>
      <c r="U934" s="5">
        <v>3</v>
      </c>
      <c r="V934" s="5" t="s">
        <v>45</v>
      </c>
    </row>
    <row r="935" spans="1:22" x14ac:dyDescent="0.3">
      <c r="A935" s="5" t="s">
        <v>1485</v>
      </c>
      <c r="B935" s="6">
        <v>46098</v>
      </c>
      <c r="C935" s="5" t="s">
        <v>797</v>
      </c>
      <c r="D935" s="5" t="s">
        <v>76</v>
      </c>
      <c r="E935" s="5" t="s">
        <v>25</v>
      </c>
      <c r="F935" s="5" t="s">
        <v>26</v>
      </c>
      <c r="G935" s="5" t="s">
        <v>27</v>
      </c>
      <c r="H935" s="5" t="s">
        <v>299</v>
      </c>
      <c r="I935" s="5" t="s">
        <v>300</v>
      </c>
      <c r="J935" s="5" t="s">
        <v>71</v>
      </c>
      <c r="K935" s="5" t="s">
        <v>72</v>
      </c>
      <c r="L935" s="5">
        <v>4</v>
      </c>
      <c r="M935" s="5">
        <v>28386</v>
      </c>
      <c r="N935" s="5">
        <v>20</v>
      </c>
      <c r="O935" s="5">
        <v>90835.199999999997</v>
      </c>
      <c r="P935" s="5">
        <v>79486.460000000006</v>
      </c>
      <c r="Q935" s="5">
        <v>11348.74</v>
      </c>
      <c r="R935" s="5" t="s">
        <v>32</v>
      </c>
      <c r="S935" s="5" t="s">
        <v>82</v>
      </c>
      <c r="T935" s="5" t="s">
        <v>73</v>
      </c>
      <c r="U935" s="5">
        <v>3</v>
      </c>
      <c r="V935" s="5" t="s">
        <v>45</v>
      </c>
    </row>
    <row r="936" spans="1:22" x14ac:dyDescent="0.3">
      <c r="A936" s="5" t="s">
        <v>1486</v>
      </c>
      <c r="B936" s="6">
        <v>46183</v>
      </c>
      <c r="C936" s="5" t="s">
        <v>357</v>
      </c>
      <c r="D936" s="5" t="s">
        <v>24</v>
      </c>
      <c r="E936" s="5" t="s">
        <v>126</v>
      </c>
      <c r="F936" s="5" t="s">
        <v>126</v>
      </c>
      <c r="G936" s="5" t="s">
        <v>51</v>
      </c>
      <c r="H936" s="5" t="s">
        <v>295</v>
      </c>
      <c r="I936" s="5" t="s">
        <v>296</v>
      </c>
      <c r="J936" s="5" t="s">
        <v>30</v>
      </c>
      <c r="K936" s="5" t="s">
        <v>31</v>
      </c>
      <c r="L936" s="5">
        <v>2</v>
      </c>
      <c r="M936" s="5">
        <v>53360</v>
      </c>
      <c r="N936" s="5">
        <v>10</v>
      </c>
      <c r="O936" s="5">
        <v>96048</v>
      </c>
      <c r="P936" s="5">
        <v>75787.149999999994</v>
      </c>
      <c r="Q936" s="5">
        <v>20260.849999999999</v>
      </c>
      <c r="R936" s="5" t="s">
        <v>64</v>
      </c>
      <c r="S936" s="5" t="s">
        <v>82</v>
      </c>
      <c r="T936" s="5" t="s">
        <v>65</v>
      </c>
      <c r="U936" s="5">
        <v>2</v>
      </c>
      <c r="V936" s="5" t="s">
        <v>45</v>
      </c>
    </row>
    <row r="937" spans="1:22" x14ac:dyDescent="0.3">
      <c r="A937" s="5" t="s">
        <v>1487</v>
      </c>
      <c r="B937" s="6">
        <v>46129</v>
      </c>
      <c r="C937" s="5" t="s">
        <v>332</v>
      </c>
      <c r="D937" s="5" t="s">
        <v>76</v>
      </c>
      <c r="E937" s="5" t="s">
        <v>39</v>
      </c>
      <c r="F937" s="5" t="s">
        <v>40</v>
      </c>
      <c r="G937" s="5" t="s">
        <v>41</v>
      </c>
      <c r="H937" s="5" t="s">
        <v>62</v>
      </c>
      <c r="I937" s="5" t="s">
        <v>63</v>
      </c>
      <c r="J937" s="5" t="s">
        <v>54</v>
      </c>
      <c r="K937" s="5" t="s">
        <v>55</v>
      </c>
      <c r="L937" s="5">
        <v>4</v>
      </c>
      <c r="M937" s="5">
        <v>63959</v>
      </c>
      <c r="N937" s="5">
        <v>15</v>
      </c>
      <c r="O937" s="5">
        <v>217460.6</v>
      </c>
      <c r="P937" s="5">
        <v>153338.74</v>
      </c>
      <c r="Q937" s="5">
        <v>64121.86</v>
      </c>
      <c r="R937" s="5" t="s">
        <v>44</v>
      </c>
      <c r="S937" s="5" t="s">
        <v>33</v>
      </c>
      <c r="T937" s="5" t="s">
        <v>73</v>
      </c>
      <c r="U937" s="5">
        <v>3</v>
      </c>
      <c r="V937" s="5" t="s">
        <v>45</v>
      </c>
    </row>
    <row r="938" spans="1:22" x14ac:dyDescent="0.3">
      <c r="A938" s="5" t="s">
        <v>1488</v>
      </c>
      <c r="B938" s="6">
        <v>46023</v>
      </c>
      <c r="C938" s="5" t="s">
        <v>167</v>
      </c>
      <c r="D938" s="5" t="s">
        <v>68</v>
      </c>
      <c r="E938" s="5" t="s">
        <v>77</v>
      </c>
      <c r="F938" s="5" t="s">
        <v>78</v>
      </c>
      <c r="G938" s="5" t="s">
        <v>41</v>
      </c>
      <c r="H938" s="5" t="s">
        <v>122</v>
      </c>
      <c r="I938" s="5" t="s">
        <v>123</v>
      </c>
      <c r="J938" s="5" t="s">
        <v>30</v>
      </c>
      <c r="K938" s="5" t="s">
        <v>31</v>
      </c>
      <c r="L938" s="5">
        <v>5</v>
      </c>
      <c r="M938" s="5">
        <v>23050</v>
      </c>
      <c r="N938" s="5">
        <v>0</v>
      </c>
      <c r="O938" s="5">
        <v>115250</v>
      </c>
      <c r="P938" s="5">
        <v>66736.67</v>
      </c>
      <c r="Q938" s="5">
        <v>48513.33</v>
      </c>
      <c r="R938" s="5" t="s">
        <v>32</v>
      </c>
      <c r="S938" s="5" t="s">
        <v>33</v>
      </c>
      <c r="T938" s="5" t="s">
        <v>73</v>
      </c>
      <c r="U938" s="5">
        <v>3</v>
      </c>
      <c r="V938" s="5" t="s">
        <v>35</v>
      </c>
    </row>
    <row r="939" spans="1:22" x14ac:dyDescent="0.3">
      <c r="A939" s="5" t="s">
        <v>1489</v>
      </c>
      <c r="B939" s="6">
        <v>46068</v>
      </c>
      <c r="C939" s="5" t="s">
        <v>846</v>
      </c>
      <c r="D939" s="5" t="s">
        <v>151</v>
      </c>
      <c r="E939" s="5" t="s">
        <v>59</v>
      </c>
      <c r="F939" s="5" t="s">
        <v>60</v>
      </c>
      <c r="G939" s="5" t="s">
        <v>61</v>
      </c>
      <c r="H939" s="5" t="s">
        <v>431</v>
      </c>
      <c r="I939" s="5" t="s">
        <v>432</v>
      </c>
      <c r="J939" s="5" t="s">
        <v>30</v>
      </c>
      <c r="K939" s="5" t="s">
        <v>31</v>
      </c>
      <c r="L939" s="5">
        <v>5</v>
      </c>
      <c r="M939" s="5">
        <v>11039</v>
      </c>
      <c r="N939" s="5">
        <v>20</v>
      </c>
      <c r="O939" s="5">
        <v>44156</v>
      </c>
      <c r="P939" s="5">
        <v>45962.42</v>
      </c>
      <c r="Q939" s="5">
        <v>-1806.42</v>
      </c>
      <c r="R939" s="5" t="s">
        <v>32</v>
      </c>
      <c r="S939" s="5" t="s">
        <v>82</v>
      </c>
      <c r="T939" s="5" t="s">
        <v>34</v>
      </c>
      <c r="U939" s="5">
        <v>5</v>
      </c>
      <c r="V939" s="5" t="s">
        <v>45</v>
      </c>
    </row>
    <row r="940" spans="1:22" x14ac:dyDescent="0.3">
      <c r="A940" s="5" t="s">
        <v>1490</v>
      </c>
      <c r="B940" s="6">
        <v>46057</v>
      </c>
      <c r="C940" s="5" t="s">
        <v>590</v>
      </c>
      <c r="D940" s="5" t="s">
        <v>24</v>
      </c>
      <c r="E940" s="5" t="s">
        <v>77</v>
      </c>
      <c r="F940" s="5" t="s">
        <v>78</v>
      </c>
      <c r="G940" s="5" t="s">
        <v>41</v>
      </c>
      <c r="H940" s="5" t="s">
        <v>338</v>
      </c>
      <c r="I940" s="5" t="s">
        <v>339</v>
      </c>
      <c r="J940" s="5" t="s">
        <v>54</v>
      </c>
      <c r="K940" s="5" t="s">
        <v>97</v>
      </c>
      <c r="L940" s="5">
        <v>1</v>
      </c>
      <c r="M940" s="5">
        <v>14663</v>
      </c>
      <c r="N940" s="5">
        <v>15</v>
      </c>
      <c r="O940" s="5">
        <v>12463.55</v>
      </c>
      <c r="P940" s="5">
        <v>8853.09</v>
      </c>
      <c r="Q940" s="5">
        <v>3610.46</v>
      </c>
      <c r="R940" s="5" t="s">
        <v>32</v>
      </c>
      <c r="S940" s="5" t="s">
        <v>82</v>
      </c>
      <c r="T940" s="5" t="s">
        <v>73</v>
      </c>
      <c r="U940" s="5">
        <v>1</v>
      </c>
      <c r="V940" s="5" t="s">
        <v>35</v>
      </c>
    </row>
    <row r="941" spans="1:22" x14ac:dyDescent="0.3">
      <c r="A941" s="5" t="s">
        <v>1491</v>
      </c>
      <c r="B941" s="6">
        <v>46109</v>
      </c>
      <c r="C941" s="5" t="s">
        <v>268</v>
      </c>
      <c r="D941" s="5" t="s">
        <v>24</v>
      </c>
      <c r="E941" s="5" t="s">
        <v>25</v>
      </c>
      <c r="F941" s="5" t="s">
        <v>26</v>
      </c>
      <c r="G941" s="5" t="s">
        <v>27</v>
      </c>
      <c r="H941" s="5" t="s">
        <v>213</v>
      </c>
      <c r="I941" s="5" t="s">
        <v>214</v>
      </c>
      <c r="J941" s="5" t="s">
        <v>54</v>
      </c>
      <c r="K941" s="5" t="s">
        <v>97</v>
      </c>
      <c r="L941" s="5">
        <v>5</v>
      </c>
      <c r="M941" s="5">
        <v>9055</v>
      </c>
      <c r="N941" s="5">
        <v>20</v>
      </c>
      <c r="O941" s="5">
        <v>36220</v>
      </c>
      <c r="P941" s="5">
        <v>34762.370000000003</v>
      </c>
      <c r="Q941" s="5">
        <v>1457.63</v>
      </c>
      <c r="R941" s="5" t="s">
        <v>44</v>
      </c>
      <c r="S941" s="5" t="s">
        <v>33</v>
      </c>
      <c r="T941" s="5" t="s">
        <v>73</v>
      </c>
      <c r="U941" s="5">
        <v>3</v>
      </c>
      <c r="V941" s="5" t="s">
        <v>45</v>
      </c>
    </row>
    <row r="942" spans="1:22" x14ac:dyDescent="0.3">
      <c r="A942" s="5" t="s">
        <v>1492</v>
      </c>
      <c r="B942" s="6">
        <v>46176</v>
      </c>
      <c r="C942" s="5" t="s">
        <v>725</v>
      </c>
      <c r="D942" s="5" t="s">
        <v>151</v>
      </c>
      <c r="E942" s="5" t="s">
        <v>126</v>
      </c>
      <c r="F942" s="5" t="s">
        <v>126</v>
      </c>
      <c r="G942" s="5" t="s">
        <v>51</v>
      </c>
      <c r="H942" s="5" t="s">
        <v>447</v>
      </c>
      <c r="I942" s="5" t="s">
        <v>448</v>
      </c>
      <c r="J942" s="5" t="s">
        <v>71</v>
      </c>
      <c r="K942" s="5" t="s">
        <v>72</v>
      </c>
      <c r="L942" s="5">
        <v>4</v>
      </c>
      <c r="M942" s="5">
        <v>43536</v>
      </c>
      <c r="N942" s="5">
        <v>20</v>
      </c>
      <c r="O942" s="5">
        <v>139315.20000000001</v>
      </c>
      <c r="P942" s="5">
        <v>124874.64</v>
      </c>
      <c r="Q942" s="5">
        <v>14440.56</v>
      </c>
      <c r="R942" s="5" t="s">
        <v>64</v>
      </c>
      <c r="S942" s="5" t="s">
        <v>33</v>
      </c>
      <c r="T942" s="5" t="s">
        <v>73</v>
      </c>
      <c r="U942" s="5">
        <v>5</v>
      </c>
      <c r="V942" s="5" t="s">
        <v>35</v>
      </c>
    </row>
    <row r="943" spans="1:22" x14ac:dyDescent="0.3">
      <c r="A943" s="5" t="s">
        <v>1493</v>
      </c>
      <c r="B943" s="6">
        <v>46084</v>
      </c>
      <c r="C943" s="5" t="s">
        <v>560</v>
      </c>
      <c r="D943" s="5" t="s">
        <v>117</v>
      </c>
      <c r="E943" s="5" t="s">
        <v>94</v>
      </c>
      <c r="F943" s="5" t="s">
        <v>26</v>
      </c>
      <c r="G943" s="5" t="s">
        <v>27</v>
      </c>
      <c r="H943" s="5" t="s">
        <v>253</v>
      </c>
      <c r="I943" s="5" t="s">
        <v>254</v>
      </c>
      <c r="J943" s="5" t="s">
        <v>54</v>
      </c>
      <c r="K943" s="5" t="s">
        <v>55</v>
      </c>
      <c r="L943" s="5">
        <v>1</v>
      </c>
      <c r="M943" s="5">
        <v>7570</v>
      </c>
      <c r="N943" s="5">
        <v>5</v>
      </c>
      <c r="O943" s="5">
        <v>7191.5</v>
      </c>
      <c r="P943" s="5">
        <v>5218.41</v>
      </c>
      <c r="Q943" s="5">
        <v>1973.09</v>
      </c>
      <c r="R943" s="5" t="s">
        <v>64</v>
      </c>
      <c r="S943" s="5" t="s">
        <v>82</v>
      </c>
      <c r="T943" s="5" t="s">
        <v>34</v>
      </c>
      <c r="U943" s="5">
        <v>2</v>
      </c>
      <c r="V943" s="5" t="s">
        <v>35</v>
      </c>
    </row>
    <row r="944" spans="1:22" x14ac:dyDescent="0.3">
      <c r="A944" s="5" t="s">
        <v>1494</v>
      </c>
      <c r="B944" s="6">
        <v>46036</v>
      </c>
      <c r="C944" s="5" t="s">
        <v>560</v>
      </c>
      <c r="D944" s="5" t="s">
        <v>24</v>
      </c>
      <c r="E944" s="5" t="s">
        <v>39</v>
      </c>
      <c r="F944" s="5" t="s">
        <v>40</v>
      </c>
      <c r="G944" s="5" t="s">
        <v>41</v>
      </c>
      <c r="H944" s="5" t="s">
        <v>406</v>
      </c>
      <c r="I944" s="5" t="s">
        <v>407</v>
      </c>
      <c r="J944" s="5" t="s">
        <v>30</v>
      </c>
      <c r="K944" s="5" t="s">
        <v>31</v>
      </c>
      <c r="L944" s="5">
        <v>2</v>
      </c>
      <c r="M944" s="5">
        <v>69167</v>
      </c>
      <c r="N944" s="5">
        <v>20</v>
      </c>
      <c r="O944" s="5">
        <v>110667.2</v>
      </c>
      <c r="P944" s="5">
        <v>95756.01</v>
      </c>
      <c r="Q944" s="5">
        <v>14911.19</v>
      </c>
      <c r="R944" s="5" t="s">
        <v>32</v>
      </c>
      <c r="S944" s="5" t="s">
        <v>33</v>
      </c>
      <c r="T944" s="5" t="s">
        <v>34</v>
      </c>
      <c r="U944" s="5">
        <v>2</v>
      </c>
      <c r="V944" s="5" t="s">
        <v>45</v>
      </c>
    </row>
    <row r="945" spans="1:22" x14ac:dyDescent="0.3">
      <c r="A945" s="5" t="s">
        <v>1495</v>
      </c>
      <c r="B945" s="6">
        <v>46161</v>
      </c>
      <c r="C945" s="5" t="s">
        <v>244</v>
      </c>
      <c r="D945" s="5" t="s">
        <v>89</v>
      </c>
      <c r="E945" s="5" t="s">
        <v>77</v>
      </c>
      <c r="F945" s="5" t="s">
        <v>78</v>
      </c>
      <c r="G945" s="5" t="s">
        <v>41</v>
      </c>
      <c r="H945" s="5" t="s">
        <v>203</v>
      </c>
      <c r="I945" s="5" t="s">
        <v>204</v>
      </c>
      <c r="J945" s="5" t="s">
        <v>71</v>
      </c>
      <c r="K945" s="5" t="s">
        <v>81</v>
      </c>
      <c r="L945" s="5">
        <v>5</v>
      </c>
      <c r="M945" s="5">
        <v>6974</v>
      </c>
      <c r="N945" s="5">
        <v>0</v>
      </c>
      <c r="O945" s="5">
        <v>34870</v>
      </c>
      <c r="P945" s="5">
        <v>22148.03</v>
      </c>
      <c r="Q945" s="5">
        <v>12721.97</v>
      </c>
      <c r="R945" s="5" t="s">
        <v>32</v>
      </c>
      <c r="S945" s="5" t="s">
        <v>33</v>
      </c>
      <c r="T945" s="5" t="s">
        <v>65</v>
      </c>
      <c r="U945" s="5">
        <v>2</v>
      </c>
      <c r="V945" s="5" t="s">
        <v>35</v>
      </c>
    </row>
    <row r="946" spans="1:22" x14ac:dyDescent="0.3">
      <c r="A946" s="5" t="s">
        <v>1496</v>
      </c>
      <c r="B946" s="6">
        <v>46035</v>
      </c>
      <c r="C946" s="5" t="s">
        <v>362</v>
      </c>
      <c r="D946" s="5" t="s">
        <v>24</v>
      </c>
      <c r="E946" s="5" t="s">
        <v>59</v>
      </c>
      <c r="F946" s="5" t="s">
        <v>60</v>
      </c>
      <c r="G946" s="5" t="s">
        <v>61</v>
      </c>
      <c r="H946" s="5" t="s">
        <v>1359</v>
      </c>
      <c r="I946" s="5" t="s">
        <v>1360</v>
      </c>
      <c r="J946" s="5" t="s">
        <v>71</v>
      </c>
      <c r="K946" s="5" t="s">
        <v>72</v>
      </c>
      <c r="L946" s="5">
        <v>5</v>
      </c>
      <c r="M946" s="5">
        <v>66980</v>
      </c>
      <c r="N946" s="5">
        <v>20</v>
      </c>
      <c r="O946" s="5">
        <v>267920</v>
      </c>
      <c r="P946" s="5">
        <v>204622.22</v>
      </c>
      <c r="Q946" s="5">
        <v>63297.78</v>
      </c>
      <c r="R946" s="5" t="s">
        <v>44</v>
      </c>
      <c r="S946" s="5" t="s">
        <v>82</v>
      </c>
      <c r="T946" s="5" t="s">
        <v>65</v>
      </c>
      <c r="U946" s="5">
        <v>3</v>
      </c>
      <c r="V946" s="5" t="s">
        <v>35</v>
      </c>
    </row>
    <row r="947" spans="1:22" x14ac:dyDescent="0.3">
      <c r="A947" s="5" t="s">
        <v>1497</v>
      </c>
      <c r="B947" s="6">
        <v>46126</v>
      </c>
      <c r="C947" s="5" t="s">
        <v>410</v>
      </c>
      <c r="D947" s="5" t="s">
        <v>24</v>
      </c>
      <c r="E947" s="5" t="s">
        <v>77</v>
      </c>
      <c r="F947" s="5" t="s">
        <v>78</v>
      </c>
      <c r="G947" s="5" t="s">
        <v>41</v>
      </c>
      <c r="H947" s="5" t="s">
        <v>224</v>
      </c>
      <c r="I947" s="5" t="s">
        <v>225</v>
      </c>
      <c r="J947" s="5" t="s">
        <v>102</v>
      </c>
      <c r="K947" s="5" t="s">
        <v>103</v>
      </c>
      <c r="L947" s="5">
        <v>1</v>
      </c>
      <c r="M947" s="5">
        <v>63633</v>
      </c>
      <c r="N947" s="5">
        <v>15</v>
      </c>
      <c r="O947" s="5">
        <v>54088.05</v>
      </c>
      <c r="P947" s="5">
        <v>47882.61</v>
      </c>
      <c r="Q947" s="5">
        <v>6205.44</v>
      </c>
      <c r="R947" s="5" t="s">
        <v>64</v>
      </c>
      <c r="S947" s="5" t="s">
        <v>33</v>
      </c>
      <c r="T947" s="5" t="s">
        <v>73</v>
      </c>
      <c r="U947" s="5">
        <v>2</v>
      </c>
      <c r="V947" s="5" t="s">
        <v>45</v>
      </c>
    </row>
    <row r="948" spans="1:22" x14ac:dyDescent="0.3">
      <c r="A948" s="5" t="s">
        <v>1498</v>
      </c>
      <c r="B948" s="6">
        <v>46117</v>
      </c>
      <c r="C948" s="5" t="s">
        <v>171</v>
      </c>
      <c r="D948" s="5" t="s">
        <v>68</v>
      </c>
      <c r="E948" s="5" t="s">
        <v>59</v>
      </c>
      <c r="F948" s="5" t="s">
        <v>60</v>
      </c>
      <c r="G948" s="5" t="s">
        <v>61</v>
      </c>
      <c r="H948" s="5" t="s">
        <v>265</v>
      </c>
      <c r="I948" s="5" t="s">
        <v>266</v>
      </c>
      <c r="J948" s="5" t="s">
        <v>71</v>
      </c>
      <c r="K948" s="5" t="s">
        <v>81</v>
      </c>
      <c r="L948" s="5">
        <v>3</v>
      </c>
      <c r="M948" s="5">
        <v>3534</v>
      </c>
      <c r="N948" s="5">
        <v>0</v>
      </c>
      <c r="O948" s="5">
        <v>10602</v>
      </c>
      <c r="P948" s="5">
        <v>7387.41</v>
      </c>
      <c r="Q948" s="5">
        <v>3214.59</v>
      </c>
      <c r="R948" s="5" t="s">
        <v>44</v>
      </c>
      <c r="S948" s="5" t="s">
        <v>33</v>
      </c>
      <c r="T948" s="5" t="s">
        <v>34</v>
      </c>
      <c r="U948" s="5">
        <v>5</v>
      </c>
      <c r="V948" s="5" t="s">
        <v>45</v>
      </c>
    </row>
    <row r="949" spans="1:22" x14ac:dyDescent="0.3">
      <c r="A949" s="5" t="s">
        <v>1499</v>
      </c>
      <c r="B949" s="6">
        <v>46185</v>
      </c>
      <c r="C949" s="5" t="s">
        <v>1310</v>
      </c>
      <c r="D949" s="5" t="s">
        <v>58</v>
      </c>
      <c r="E949" s="5" t="s">
        <v>49</v>
      </c>
      <c r="F949" s="5" t="s">
        <v>50</v>
      </c>
      <c r="G949" s="5" t="s">
        <v>51</v>
      </c>
      <c r="H949" s="5" t="s">
        <v>265</v>
      </c>
      <c r="I949" s="5" t="s">
        <v>266</v>
      </c>
      <c r="J949" s="5" t="s">
        <v>71</v>
      </c>
      <c r="K949" s="5" t="s">
        <v>81</v>
      </c>
      <c r="L949" s="5">
        <v>3</v>
      </c>
      <c r="M949" s="5">
        <v>1207</v>
      </c>
      <c r="N949" s="5">
        <v>5</v>
      </c>
      <c r="O949" s="5">
        <v>3439.95</v>
      </c>
      <c r="P949" s="5">
        <v>2696.91</v>
      </c>
      <c r="Q949" s="5">
        <v>743.04</v>
      </c>
      <c r="R949" s="5" t="s">
        <v>64</v>
      </c>
      <c r="S949" s="5" t="s">
        <v>33</v>
      </c>
      <c r="T949" s="5" t="s">
        <v>34</v>
      </c>
      <c r="U949" s="5">
        <v>2</v>
      </c>
      <c r="V949" s="5" t="s">
        <v>45</v>
      </c>
    </row>
    <row r="950" spans="1:22" x14ac:dyDescent="0.3">
      <c r="A950" s="5" t="s">
        <v>1500</v>
      </c>
      <c r="B950" s="6">
        <v>46144</v>
      </c>
      <c r="C950" s="5" t="s">
        <v>738</v>
      </c>
      <c r="D950" s="5" t="s">
        <v>151</v>
      </c>
      <c r="E950" s="5" t="s">
        <v>77</v>
      </c>
      <c r="F950" s="5" t="s">
        <v>78</v>
      </c>
      <c r="G950" s="5" t="s">
        <v>41</v>
      </c>
      <c r="H950" s="5" t="s">
        <v>245</v>
      </c>
      <c r="I950" s="5" t="s">
        <v>246</v>
      </c>
      <c r="J950" s="5" t="s">
        <v>54</v>
      </c>
      <c r="K950" s="5" t="s">
        <v>97</v>
      </c>
      <c r="L950" s="5">
        <v>1</v>
      </c>
      <c r="M950" s="5">
        <v>36452</v>
      </c>
      <c r="N950" s="5">
        <v>10</v>
      </c>
      <c r="O950" s="5">
        <v>32806.800000000003</v>
      </c>
      <c r="P950" s="5">
        <v>26855.84</v>
      </c>
      <c r="Q950" s="5">
        <v>5950.96</v>
      </c>
      <c r="R950" s="5" t="s">
        <v>64</v>
      </c>
      <c r="S950" s="5" t="s">
        <v>33</v>
      </c>
      <c r="T950" s="5" t="s">
        <v>73</v>
      </c>
      <c r="U950" s="5">
        <v>1</v>
      </c>
      <c r="V950" s="5" t="s">
        <v>35</v>
      </c>
    </row>
    <row r="951" spans="1:22" x14ac:dyDescent="0.3">
      <c r="A951" s="5" t="s">
        <v>1501</v>
      </c>
      <c r="B951" s="6">
        <v>46138</v>
      </c>
      <c r="C951" s="5" t="s">
        <v>381</v>
      </c>
      <c r="D951" s="5" t="s">
        <v>151</v>
      </c>
      <c r="E951" s="5" t="s">
        <v>25</v>
      </c>
      <c r="F951" s="5" t="s">
        <v>26</v>
      </c>
      <c r="G951" s="5" t="s">
        <v>27</v>
      </c>
      <c r="H951" s="5" t="s">
        <v>358</v>
      </c>
      <c r="I951" s="5" t="s">
        <v>359</v>
      </c>
      <c r="J951" s="5" t="s">
        <v>102</v>
      </c>
      <c r="K951" s="5" t="s">
        <v>103</v>
      </c>
      <c r="L951" s="5">
        <v>1</v>
      </c>
      <c r="M951" s="5">
        <v>1122</v>
      </c>
      <c r="N951" s="5">
        <v>15</v>
      </c>
      <c r="O951" s="5">
        <v>953.7</v>
      </c>
      <c r="P951" s="5">
        <v>859.58</v>
      </c>
      <c r="Q951" s="5">
        <v>94.12</v>
      </c>
      <c r="R951" s="5" t="s">
        <v>44</v>
      </c>
      <c r="S951" s="5" t="s">
        <v>82</v>
      </c>
      <c r="T951" s="5" t="s">
        <v>73</v>
      </c>
      <c r="U951" s="5">
        <v>3</v>
      </c>
      <c r="V951" s="5" t="s">
        <v>35</v>
      </c>
    </row>
    <row r="952" spans="1:22" x14ac:dyDescent="0.3">
      <c r="A952" s="5" t="s">
        <v>1502</v>
      </c>
      <c r="B952" s="6">
        <v>46041</v>
      </c>
      <c r="C952" s="5" t="s">
        <v>75</v>
      </c>
      <c r="D952" s="5" t="s">
        <v>110</v>
      </c>
      <c r="E952" s="5" t="s">
        <v>94</v>
      </c>
      <c r="F952" s="5" t="s">
        <v>26</v>
      </c>
      <c r="G952" s="5" t="s">
        <v>27</v>
      </c>
      <c r="H952" s="5" t="s">
        <v>147</v>
      </c>
      <c r="I952" s="5" t="s">
        <v>148</v>
      </c>
      <c r="J952" s="5" t="s">
        <v>71</v>
      </c>
      <c r="K952" s="5" t="s">
        <v>81</v>
      </c>
      <c r="L952" s="5">
        <v>2</v>
      </c>
      <c r="M952" s="5">
        <v>19470</v>
      </c>
      <c r="N952" s="5">
        <v>0</v>
      </c>
      <c r="O952" s="5">
        <v>38940</v>
      </c>
      <c r="P952" s="5">
        <v>27172.63</v>
      </c>
      <c r="Q952" s="5">
        <v>11767.37</v>
      </c>
      <c r="R952" s="5" t="s">
        <v>32</v>
      </c>
      <c r="S952" s="5" t="s">
        <v>82</v>
      </c>
      <c r="T952" s="5" t="s">
        <v>73</v>
      </c>
      <c r="U952" s="5">
        <v>4</v>
      </c>
      <c r="V952" s="5" t="s">
        <v>45</v>
      </c>
    </row>
    <row r="953" spans="1:22" x14ac:dyDescent="0.3">
      <c r="A953" s="5" t="s">
        <v>1503</v>
      </c>
      <c r="B953" s="6">
        <v>46098</v>
      </c>
      <c r="C953" s="5" t="s">
        <v>623</v>
      </c>
      <c r="D953" s="5" t="s">
        <v>117</v>
      </c>
      <c r="E953" s="5" t="s">
        <v>49</v>
      </c>
      <c r="F953" s="5" t="s">
        <v>50</v>
      </c>
      <c r="G953" s="5" t="s">
        <v>51</v>
      </c>
      <c r="H953" s="5" t="s">
        <v>141</v>
      </c>
      <c r="I953" s="5" t="s">
        <v>142</v>
      </c>
      <c r="J953" s="5" t="s">
        <v>71</v>
      </c>
      <c r="K953" s="5" t="s">
        <v>81</v>
      </c>
      <c r="L953" s="5">
        <v>3</v>
      </c>
      <c r="M953" s="5">
        <v>14396</v>
      </c>
      <c r="N953" s="5">
        <v>5</v>
      </c>
      <c r="O953" s="5">
        <v>41028.6</v>
      </c>
      <c r="P953" s="5">
        <v>32939.57</v>
      </c>
      <c r="Q953" s="5">
        <v>8089.03</v>
      </c>
      <c r="R953" s="5" t="s">
        <v>64</v>
      </c>
      <c r="S953" s="5" t="s">
        <v>82</v>
      </c>
      <c r="T953" s="5" t="s">
        <v>73</v>
      </c>
      <c r="U953" s="5">
        <v>2</v>
      </c>
      <c r="V953" s="5" t="s">
        <v>45</v>
      </c>
    </row>
    <row r="954" spans="1:22" x14ac:dyDescent="0.3">
      <c r="A954" s="5" t="s">
        <v>1504</v>
      </c>
      <c r="B954" s="6">
        <v>46104</v>
      </c>
      <c r="C954" s="5" t="s">
        <v>823</v>
      </c>
      <c r="D954" s="5" t="s">
        <v>151</v>
      </c>
      <c r="E954" s="5" t="s">
        <v>77</v>
      </c>
      <c r="F954" s="5" t="s">
        <v>78</v>
      </c>
      <c r="G954" s="5" t="s">
        <v>41</v>
      </c>
      <c r="H954" s="5" t="s">
        <v>234</v>
      </c>
      <c r="I954" s="5" t="s">
        <v>235</v>
      </c>
      <c r="J954" s="5" t="s">
        <v>102</v>
      </c>
      <c r="K954" s="5" t="s">
        <v>103</v>
      </c>
      <c r="L954" s="5">
        <v>3</v>
      </c>
      <c r="M954" s="5">
        <v>2312</v>
      </c>
      <c r="N954" s="5">
        <v>5</v>
      </c>
      <c r="O954" s="5">
        <v>6589.2</v>
      </c>
      <c r="P954" s="5">
        <v>4452.68</v>
      </c>
      <c r="Q954" s="5">
        <v>2136.52</v>
      </c>
      <c r="R954" s="5" t="s">
        <v>32</v>
      </c>
      <c r="S954" s="5" t="s">
        <v>82</v>
      </c>
      <c r="T954" s="5" t="s">
        <v>73</v>
      </c>
      <c r="U954" s="5">
        <v>2</v>
      </c>
      <c r="V954" s="5" t="s">
        <v>35</v>
      </c>
    </row>
    <row r="955" spans="1:22" x14ac:dyDescent="0.3">
      <c r="A955" s="5" t="s">
        <v>1505</v>
      </c>
      <c r="B955" s="6">
        <v>46186</v>
      </c>
      <c r="C955" s="5" t="s">
        <v>738</v>
      </c>
      <c r="D955" s="5" t="s">
        <v>48</v>
      </c>
      <c r="E955" s="5" t="s">
        <v>39</v>
      </c>
      <c r="F955" s="5" t="s">
        <v>40</v>
      </c>
      <c r="G955" s="5" t="s">
        <v>41</v>
      </c>
      <c r="H955" s="5" t="s">
        <v>122</v>
      </c>
      <c r="I955" s="5" t="s">
        <v>123</v>
      </c>
      <c r="J955" s="5" t="s">
        <v>30</v>
      </c>
      <c r="K955" s="5" t="s">
        <v>31</v>
      </c>
      <c r="L955" s="5">
        <v>2</v>
      </c>
      <c r="M955" s="5">
        <v>55366</v>
      </c>
      <c r="N955" s="5">
        <v>5</v>
      </c>
      <c r="O955" s="5">
        <v>105195.4</v>
      </c>
      <c r="P955" s="5">
        <v>64630.6</v>
      </c>
      <c r="Q955" s="5">
        <v>40564.800000000003</v>
      </c>
      <c r="R955" s="5" t="s">
        <v>64</v>
      </c>
      <c r="S955" s="5" t="s">
        <v>33</v>
      </c>
      <c r="T955" s="5" t="s">
        <v>73</v>
      </c>
      <c r="U955" s="5">
        <v>5</v>
      </c>
      <c r="V955" s="5" t="s">
        <v>35</v>
      </c>
    </row>
    <row r="956" spans="1:22" x14ac:dyDescent="0.3">
      <c r="A956" s="5" t="s">
        <v>1506</v>
      </c>
      <c r="B956" s="6">
        <v>46099</v>
      </c>
      <c r="C956" s="5" t="s">
        <v>57</v>
      </c>
      <c r="D956" s="5" t="s">
        <v>24</v>
      </c>
      <c r="E956" s="5" t="s">
        <v>59</v>
      </c>
      <c r="F956" s="5" t="s">
        <v>60</v>
      </c>
      <c r="G956" s="5" t="s">
        <v>61</v>
      </c>
      <c r="H956" s="5" t="s">
        <v>513</v>
      </c>
      <c r="I956" s="5" t="s">
        <v>514</v>
      </c>
      <c r="J956" s="5" t="s">
        <v>71</v>
      </c>
      <c r="K956" s="5" t="s">
        <v>72</v>
      </c>
      <c r="L956" s="5">
        <v>4</v>
      </c>
      <c r="M956" s="5">
        <v>13286</v>
      </c>
      <c r="N956" s="5">
        <v>5</v>
      </c>
      <c r="O956" s="5">
        <v>50486.8</v>
      </c>
      <c r="P956" s="5">
        <v>41133.5</v>
      </c>
      <c r="Q956" s="5">
        <v>9353.2999999999993</v>
      </c>
      <c r="R956" s="5" t="s">
        <v>64</v>
      </c>
      <c r="S956" s="5" t="s">
        <v>33</v>
      </c>
      <c r="T956" s="5" t="s">
        <v>73</v>
      </c>
      <c r="U956" s="5">
        <v>4</v>
      </c>
      <c r="V956" s="5" t="s">
        <v>45</v>
      </c>
    </row>
    <row r="957" spans="1:22" x14ac:dyDescent="0.3">
      <c r="A957" s="5" t="s">
        <v>1507</v>
      </c>
      <c r="B957" s="6">
        <v>46067</v>
      </c>
      <c r="C957" s="5" t="s">
        <v>418</v>
      </c>
      <c r="D957" s="5" t="s">
        <v>48</v>
      </c>
      <c r="E957" s="5" t="s">
        <v>59</v>
      </c>
      <c r="F957" s="5" t="s">
        <v>60</v>
      </c>
      <c r="G957" s="5" t="s">
        <v>61</v>
      </c>
      <c r="H957" s="5" t="s">
        <v>316</v>
      </c>
      <c r="I957" s="5" t="s">
        <v>317</v>
      </c>
      <c r="J957" s="5" t="s">
        <v>54</v>
      </c>
      <c r="K957" s="5" t="s">
        <v>55</v>
      </c>
      <c r="L957" s="5">
        <v>5</v>
      </c>
      <c r="M957" s="5">
        <v>13269</v>
      </c>
      <c r="N957" s="5">
        <v>15</v>
      </c>
      <c r="O957" s="5">
        <v>56393.25</v>
      </c>
      <c r="P957" s="5">
        <v>47977.42</v>
      </c>
      <c r="Q957" s="5">
        <v>8415.83</v>
      </c>
      <c r="R957" s="5" t="s">
        <v>44</v>
      </c>
      <c r="S957" s="5" t="s">
        <v>33</v>
      </c>
      <c r="T957" s="5" t="s">
        <v>73</v>
      </c>
      <c r="U957" s="5">
        <v>4</v>
      </c>
      <c r="V957" s="5" t="s">
        <v>35</v>
      </c>
    </row>
    <row r="958" spans="1:22" x14ac:dyDescent="0.3">
      <c r="A958" s="5" t="s">
        <v>1508</v>
      </c>
      <c r="B958" s="6">
        <v>46069</v>
      </c>
      <c r="C958" s="5" t="s">
        <v>179</v>
      </c>
      <c r="D958" s="5" t="s">
        <v>38</v>
      </c>
      <c r="E958" s="5" t="s">
        <v>126</v>
      </c>
      <c r="F958" s="5" t="s">
        <v>126</v>
      </c>
      <c r="G958" s="5" t="s">
        <v>51</v>
      </c>
      <c r="H958" s="5" t="s">
        <v>1359</v>
      </c>
      <c r="I958" s="5" t="s">
        <v>1360</v>
      </c>
      <c r="J958" s="5" t="s">
        <v>71</v>
      </c>
      <c r="K958" s="5" t="s">
        <v>72</v>
      </c>
      <c r="L958" s="5">
        <v>3</v>
      </c>
      <c r="M958" s="5">
        <v>10715</v>
      </c>
      <c r="N958" s="5">
        <v>15</v>
      </c>
      <c r="O958" s="5">
        <v>27323.25</v>
      </c>
      <c r="P958" s="5">
        <v>19895.78</v>
      </c>
      <c r="Q958" s="5">
        <v>7427.47</v>
      </c>
      <c r="R958" s="5" t="s">
        <v>44</v>
      </c>
      <c r="S958" s="5" t="s">
        <v>82</v>
      </c>
      <c r="T958" s="5" t="s">
        <v>65</v>
      </c>
      <c r="U958" s="5">
        <v>3</v>
      </c>
      <c r="V958" s="5" t="s">
        <v>35</v>
      </c>
    </row>
    <row r="959" spans="1:22" x14ac:dyDescent="0.3">
      <c r="A959" s="5" t="s">
        <v>1509</v>
      </c>
      <c r="B959" s="6">
        <v>46031</v>
      </c>
      <c r="C959" s="5" t="s">
        <v>1032</v>
      </c>
      <c r="D959" s="5" t="s">
        <v>48</v>
      </c>
      <c r="E959" s="5" t="s">
        <v>59</v>
      </c>
      <c r="F959" s="5" t="s">
        <v>60</v>
      </c>
      <c r="G959" s="5" t="s">
        <v>61</v>
      </c>
      <c r="H959" s="5" t="s">
        <v>440</v>
      </c>
      <c r="I959" s="5" t="s">
        <v>441</v>
      </c>
      <c r="J959" s="5" t="s">
        <v>30</v>
      </c>
      <c r="K959" s="5" t="s">
        <v>31</v>
      </c>
      <c r="L959" s="5">
        <v>3</v>
      </c>
      <c r="M959" s="5">
        <v>18696</v>
      </c>
      <c r="N959" s="5">
        <v>15</v>
      </c>
      <c r="O959" s="5">
        <v>47674.8</v>
      </c>
      <c r="P959" s="5">
        <v>37808.06</v>
      </c>
      <c r="Q959" s="5">
        <v>9866.74</v>
      </c>
      <c r="R959" s="5" t="s">
        <v>32</v>
      </c>
      <c r="S959" s="5" t="s">
        <v>33</v>
      </c>
      <c r="T959" s="5" t="s">
        <v>73</v>
      </c>
      <c r="U959" s="5">
        <v>3</v>
      </c>
      <c r="V959" s="5" t="s">
        <v>35</v>
      </c>
    </row>
    <row r="960" spans="1:22" x14ac:dyDescent="0.3">
      <c r="A960" s="5" t="s">
        <v>1510</v>
      </c>
      <c r="B960" s="6">
        <v>46086</v>
      </c>
      <c r="C960" s="5" t="s">
        <v>1389</v>
      </c>
      <c r="D960" s="5" t="s">
        <v>76</v>
      </c>
      <c r="E960" s="5" t="s">
        <v>25</v>
      </c>
      <c r="F960" s="5" t="s">
        <v>26</v>
      </c>
      <c r="G960" s="5" t="s">
        <v>27</v>
      </c>
      <c r="H960" s="5" t="s">
        <v>1359</v>
      </c>
      <c r="I960" s="5" t="s">
        <v>1360</v>
      </c>
      <c r="J960" s="5" t="s">
        <v>71</v>
      </c>
      <c r="K960" s="5" t="s">
        <v>72</v>
      </c>
      <c r="L960" s="5">
        <v>2</v>
      </c>
      <c r="M960" s="5">
        <v>19995</v>
      </c>
      <c r="N960" s="5">
        <v>15</v>
      </c>
      <c r="O960" s="5">
        <v>33991.5</v>
      </c>
      <c r="P960" s="5">
        <v>30373.919999999998</v>
      </c>
      <c r="Q960" s="5">
        <v>3617.58</v>
      </c>
      <c r="R960" s="5" t="s">
        <v>32</v>
      </c>
      <c r="S960" s="5" t="s">
        <v>82</v>
      </c>
      <c r="T960" s="5" t="s">
        <v>65</v>
      </c>
      <c r="U960" s="5">
        <v>5</v>
      </c>
      <c r="V960" s="5" t="s">
        <v>35</v>
      </c>
    </row>
    <row r="961" spans="1:22" x14ac:dyDescent="0.3">
      <c r="A961" s="5" t="s">
        <v>1511</v>
      </c>
      <c r="B961" s="6">
        <v>46024</v>
      </c>
      <c r="C961" s="5" t="s">
        <v>1457</v>
      </c>
      <c r="D961" s="5" t="s">
        <v>68</v>
      </c>
      <c r="E961" s="5" t="s">
        <v>126</v>
      </c>
      <c r="F961" s="5" t="s">
        <v>126</v>
      </c>
      <c r="G961" s="5" t="s">
        <v>51</v>
      </c>
      <c r="H961" s="5" t="s">
        <v>735</v>
      </c>
      <c r="I961" s="5" t="s">
        <v>736</v>
      </c>
      <c r="J961" s="5" t="s">
        <v>54</v>
      </c>
      <c r="K961" s="5" t="s">
        <v>97</v>
      </c>
      <c r="L961" s="5">
        <v>3</v>
      </c>
      <c r="M961" s="5">
        <v>56201</v>
      </c>
      <c r="N961" s="5">
        <v>20</v>
      </c>
      <c r="O961" s="5">
        <v>134882.4</v>
      </c>
      <c r="P961" s="5">
        <v>100712</v>
      </c>
      <c r="Q961" s="5">
        <v>34170.400000000001</v>
      </c>
      <c r="R961" s="5" t="s">
        <v>64</v>
      </c>
      <c r="S961" s="5" t="s">
        <v>82</v>
      </c>
      <c r="T961" s="5" t="s">
        <v>73</v>
      </c>
      <c r="U961" s="5">
        <v>4</v>
      </c>
      <c r="V961" s="5" t="s">
        <v>35</v>
      </c>
    </row>
    <row r="962" spans="1:22" x14ac:dyDescent="0.3">
      <c r="A962" s="5" t="s">
        <v>1512</v>
      </c>
      <c r="B962" s="6">
        <v>46093</v>
      </c>
      <c r="C962" s="5" t="s">
        <v>1143</v>
      </c>
      <c r="D962" s="5" t="s">
        <v>117</v>
      </c>
      <c r="E962" s="5" t="s">
        <v>77</v>
      </c>
      <c r="F962" s="5" t="s">
        <v>78</v>
      </c>
      <c r="G962" s="5" t="s">
        <v>41</v>
      </c>
      <c r="H962" s="5" t="s">
        <v>358</v>
      </c>
      <c r="I962" s="5" t="s">
        <v>359</v>
      </c>
      <c r="J962" s="5" t="s">
        <v>102</v>
      </c>
      <c r="K962" s="5" t="s">
        <v>103</v>
      </c>
      <c r="L962" s="5">
        <v>5</v>
      </c>
      <c r="M962" s="5">
        <v>8105</v>
      </c>
      <c r="N962" s="5">
        <v>0</v>
      </c>
      <c r="O962" s="5">
        <v>40525</v>
      </c>
      <c r="P962" s="5">
        <v>31231.17</v>
      </c>
      <c r="Q962" s="5">
        <v>9293.83</v>
      </c>
      <c r="R962" s="5" t="s">
        <v>44</v>
      </c>
      <c r="S962" s="5" t="s">
        <v>82</v>
      </c>
      <c r="T962" s="5" t="s">
        <v>73</v>
      </c>
      <c r="U962" s="5">
        <v>5</v>
      </c>
      <c r="V962" s="5" t="s">
        <v>35</v>
      </c>
    </row>
    <row r="963" spans="1:22" x14ac:dyDescent="0.3">
      <c r="A963" s="5" t="s">
        <v>1513</v>
      </c>
      <c r="B963" s="6">
        <v>46088</v>
      </c>
      <c r="C963" s="5" t="s">
        <v>501</v>
      </c>
      <c r="D963" s="5" t="s">
        <v>89</v>
      </c>
      <c r="E963" s="5" t="s">
        <v>49</v>
      </c>
      <c r="F963" s="5" t="s">
        <v>50</v>
      </c>
      <c r="G963" s="5" t="s">
        <v>51</v>
      </c>
      <c r="H963" s="5" t="s">
        <v>401</v>
      </c>
      <c r="I963" s="5" t="s">
        <v>402</v>
      </c>
      <c r="J963" s="5" t="s">
        <v>102</v>
      </c>
      <c r="K963" s="5" t="s">
        <v>103</v>
      </c>
      <c r="L963" s="5">
        <v>2</v>
      </c>
      <c r="M963" s="5">
        <v>32330</v>
      </c>
      <c r="N963" s="5">
        <v>10</v>
      </c>
      <c r="O963" s="5">
        <v>58194</v>
      </c>
      <c r="P963" s="5">
        <v>45505.72</v>
      </c>
      <c r="Q963" s="5">
        <v>12688.28</v>
      </c>
      <c r="R963" s="5" t="s">
        <v>32</v>
      </c>
      <c r="S963" s="5" t="s">
        <v>33</v>
      </c>
      <c r="T963" s="5" t="s">
        <v>65</v>
      </c>
      <c r="U963" s="5">
        <v>1</v>
      </c>
      <c r="V963" s="5" t="s">
        <v>45</v>
      </c>
    </row>
    <row r="964" spans="1:22" x14ac:dyDescent="0.3">
      <c r="A964" s="5" t="s">
        <v>1514</v>
      </c>
      <c r="B964" s="6">
        <v>46182</v>
      </c>
      <c r="C964" s="5" t="s">
        <v>581</v>
      </c>
      <c r="D964" s="5" t="s">
        <v>89</v>
      </c>
      <c r="E964" s="5" t="s">
        <v>39</v>
      </c>
      <c r="F964" s="5" t="s">
        <v>40</v>
      </c>
      <c r="G964" s="5" t="s">
        <v>41</v>
      </c>
      <c r="H964" s="5" t="s">
        <v>759</v>
      </c>
      <c r="I964" s="5" t="s">
        <v>760</v>
      </c>
      <c r="J964" s="5" t="s">
        <v>71</v>
      </c>
      <c r="K964" s="5" t="s">
        <v>72</v>
      </c>
      <c r="L964" s="5">
        <v>2</v>
      </c>
      <c r="M964" s="5">
        <v>23468</v>
      </c>
      <c r="N964" s="5">
        <v>10</v>
      </c>
      <c r="O964" s="5">
        <v>42242.400000000001</v>
      </c>
      <c r="P964" s="5">
        <v>36091.83</v>
      </c>
      <c r="Q964" s="5">
        <v>6150.57</v>
      </c>
      <c r="R964" s="5" t="s">
        <v>44</v>
      </c>
      <c r="S964" s="5" t="s">
        <v>33</v>
      </c>
      <c r="T964" s="5" t="s">
        <v>65</v>
      </c>
      <c r="U964" s="5">
        <v>4</v>
      </c>
      <c r="V964" s="5" t="s">
        <v>35</v>
      </c>
    </row>
    <row r="965" spans="1:22" x14ac:dyDescent="0.3">
      <c r="A965" s="5" t="s">
        <v>1515</v>
      </c>
      <c r="B965" s="6">
        <v>46202</v>
      </c>
      <c r="C965" s="5" t="s">
        <v>230</v>
      </c>
      <c r="D965" s="5" t="s">
        <v>58</v>
      </c>
      <c r="E965" s="5" t="s">
        <v>59</v>
      </c>
      <c r="F965" s="5" t="s">
        <v>60</v>
      </c>
      <c r="G965" s="5" t="s">
        <v>61</v>
      </c>
      <c r="H965" s="5" t="s">
        <v>526</v>
      </c>
      <c r="I965" s="5" t="s">
        <v>527</v>
      </c>
      <c r="J965" s="5" t="s">
        <v>71</v>
      </c>
      <c r="K965" s="5" t="s">
        <v>81</v>
      </c>
      <c r="L965" s="5">
        <v>3</v>
      </c>
      <c r="M965" s="5">
        <v>65706</v>
      </c>
      <c r="N965" s="5">
        <v>5</v>
      </c>
      <c r="O965" s="5">
        <v>187262.1</v>
      </c>
      <c r="P965" s="5">
        <v>140604.06</v>
      </c>
      <c r="Q965" s="5">
        <v>46658.04</v>
      </c>
      <c r="R965" s="5" t="s">
        <v>64</v>
      </c>
      <c r="S965" s="5" t="s">
        <v>82</v>
      </c>
      <c r="T965" s="5" t="s">
        <v>65</v>
      </c>
      <c r="U965" s="5">
        <v>2</v>
      </c>
      <c r="V965" s="5" t="s">
        <v>35</v>
      </c>
    </row>
    <row r="966" spans="1:22" x14ac:dyDescent="0.3">
      <c r="A966" s="5" t="s">
        <v>1516</v>
      </c>
      <c r="B966" s="6">
        <v>46071</v>
      </c>
      <c r="C966" s="5" t="s">
        <v>1158</v>
      </c>
      <c r="D966" s="5" t="s">
        <v>110</v>
      </c>
      <c r="E966" s="5" t="s">
        <v>77</v>
      </c>
      <c r="F966" s="5" t="s">
        <v>78</v>
      </c>
      <c r="G966" s="5" t="s">
        <v>41</v>
      </c>
      <c r="H966" s="5" t="s">
        <v>541</v>
      </c>
      <c r="I966" s="5" t="s">
        <v>542</v>
      </c>
      <c r="J966" s="5" t="s">
        <v>54</v>
      </c>
      <c r="K966" s="5" t="s">
        <v>55</v>
      </c>
      <c r="L966" s="5">
        <v>5</v>
      </c>
      <c r="M966" s="5">
        <v>60144</v>
      </c>
      <c r="N966" s="5">
        <v>15</v>
      </c>
      <c r="O966" s="5">
        <v>255612</v>
      </c>
      <c r="P966" s="5">
        <v>191921.37</v>
      </c>
      <c r="Q966" s="5">
        <v>63690.63</v>
      </c>
      <c r="R966" s="5" t="s">
        <v>44</v>
      </c>
      <c r="S966" s="5" t="s">
        <v>33</v>
      </c>
      <c r="T966" s="5" t="s">
        <v>73</v>
      </c>
      <c r="U966" s="5">
        <v>3</v>
      </c>
      <c r="V966" s="5" t="s">
        <v>35</v>
      </c>
    </row>
    <row r="967" spans="1:22" x14ac:dyDescent="0.3">
      <c r="A967" s="5" t="s">
        <v>1517</v>
      </c>
      <c r="B967" s="6">
        <v>46044</v>
      </c>
      <c r="C967" s="5" t="s">
        <v>1322</v>
      </c>
      <c r="D967" s="5" t="s">
        <v>24</v>
      </c>
      <c r="E967" s="5" t="s">
        <v>25</v>
      </c>
      <c r="F967" s="5" t="s">
        <v>26</v>
      </c>
      <c r="G967" s="5" t="s">
        <v>27</v>
      </c>
      <c r="H967" s="5" t="s">
        <v>640</v>
      </c>
      <c r="I967" s="5" t="s">
        <v>641</v>
      </c>
      <c r="J967" s="5" t="s">
        <v>54</v>
      </c>
      <c r="K967" s="5" t="s">
        <v>97</v>
      </c>
      <c r="L967" s="5">
        <v>4</v>
      </c>
      <c r="M967" s="5">
        <v>51151</v>
      </c>
      <c r="N967" s="5">
        <v>10</v>
      </c>
      <c r="O967" s="5">
        <v>184143.6</v>
      </c>
      <c r="P967" s="5">
        <v>143183.74</v>
      </c>
      <c r="Q967" s="5">
        <v>40959.86</v>
      </c>
      <c r="R967" s="5" t="s">
        <v>44</v>
      </c>
      <c r="S967" s="5" t="s">
        <v>33</v>
      </c>
      <c r="T967" s="5" t="s">
        <v>65</v>
      </c>
      <c r="U967" s="5">
        <v>2</v>
      </c>
      <c r="V967" s="5" t="s">
        <v>45</v>
      </c>
    </row>
    <row r="968" spans="1:22" x14ac:dyDescent="0.3">
      <c r="A968" s="5" t="s">
        <v>1518</v>
      </c>
      <c r="B968" s="6">
        <v>46158</v>
      </c>
      <c r="C968" s="5" t="s">
        <v>381</v>
      </c>
      <c r="D968" s="5" t="s">
        <v>89</v>
      </c>
      <c r="E968" s="5" t="s">
        <v>126</v>
      </c>
      <c r="F968" s="5" t="s">
        <v>126</v>
      </c>
      <c r="G968" s="5" t="s">
        <v>51</v>
      </c>
      <c r="H968" s="5" t="s">
        <v>553</v>
      </c>
      <c r="I968" s="5" t="s">
        <v>554</v>
      </c>
      <c r="J968" s="5" t="s">
        <v>54</v>
      </c>
      <c r="K968" s="5" t="s">
        <v>55</v>
      </c>
      <c r="L968" s="5">
        <v>4</v>
      </c>
      <c r="M968" s="5">
        <v>62656</v>
      </c>
      <c r="N968" s="5">
        <v>0</v>
      </c>
      <c r="O968" s="5">
        <v>250624</v>
      </c>
      <c r="P968" s="5">
        <v>211880.69</v>
      </c>
      <c r="Q968" s="5">
        <v>38743.31</v>
      </c>
      <c r="R968" s="5" t="s">
        <v>32</v>
      </c>
      <c r="S968" s="5" t="s">
        <v>33</v>
      </c>
      <c r="T968" s="5" t="s">
        <v>73</v>
      </c>
      <c r="U968" s="5">
        <v>5</v>
      </c>
      <c r="V968" s="5" t="s">
        <v>35</v>
      </c>
    </row>
    <row r="969" spans="1:22" x14ac:dyDescent="0.3">
      <c r="A969" s="5" t="s">
        <v>1519</v>
      </c>
      <c r="B969" s="6">
        <v>46177</v>
      </c>
      <c r="C969" s="5" t="s">
        <v>955</v>
      </c>
      <c r="D969" s="5" t="s">
        <v>89</v>
      </c>
      <c r="E969" s="5" t="s">
        <v>25</v>
      </c>
      <c r="F969" s="5" t="s">
        <v>26</v>
      </c>
      <c r="G969" s="5" t="s">
        <v>27</v>
      </c>
      <c r="H969" s="5" t="s">
        <v>224</v>
      </c>
      <c r="I969" s="5" t="s">
        <v>225</v>
      </c>
      <c r="J969" s="5" t="s">
        <v>102</v>
      </c>
      <c r="K969" s="5" t="s">
        <v>103</v>
      </c>
      <c r="L969" s="5">
        <v>5</v>
      </c>
      <c r="M969" s="5">
        <v>75539</v>
      </c>
      <c r="N969" s="5">
        <v>15</v>
      </c>
      <c r="O969" s="5">
        <v>321040.75</v>
      </c>
      <c r="P969" s="5">
        <v>257206.07</v>
      </c>
      <c r="Q969" s="5">
        <v>63834.68</v>
      </c>
      <c r="R969" s="5" t="s">
        <v>44</v>
      </c>
      <c r="S969" s="5" t="s">
        <v>82</v>
      </c>
      <c r="T969" s="5" t="s">
        <v>73</v>
      </c>
      <c r="U969" s="5">
        <v>1</v>
      </c>
      <c r="V969" s="5" t="s">
        <v>45</v>
      </c>
    </row>
    <row r="970" spans="1:22" x14ac:dyDescent="0.3">
      <c r="A970" s="5" t="s">
        <v>1520</v>
      </c>
      <c r="B970" s="6">
        <v>46137</v>
      </c>
      <c r="C970" s="5" t="s">
        <v>1310</v>
      </c>
      <c r="D970" s="5" t="s">
        <v>48</v>
      </c>
      <c r="E970" s="5" t="s">
        <v>39</v>
      </c>
      <c r="F970" s="5" t="s">
        <v>40</v>
      </c>
      <c r="G970" s="5" t="s">
        <v>41</v>
      </c>
      <c r="H970" s="5" t="s">
        <v>334</v>
      </c>
      <c r="I970" s="5" t="s">
        <v>335</v>
      </c>
      <c r="J970" s="5" t="s">
        <v>71</v>
      </c>
      <c r="K970" s="5" t="s">
        <v>72</v>
      </c>
      <c r="L970" s="5">
        <v>4</v>
      </c>
      <c r="M970" s="5">
        <v>73091</v>
      </c>
      <c r="N970" s="5">
        <v>10</v>
      </c>
      <c r="O970" s="5">
        <v>263127.59999999998</v>
      </c>
      <c r="P970" s="5">
        <v>181079.33</v>
      </c>
      <c r="Q970" s="5">
        <v>82048.27</v>
      </c>
      <c r="R970" s="5" t="s">
        <v>64</v>
      </c>
      <c r="S970" s="5" t="s">
        <v>33</v>
      </c>
      <c r="T970" s="5" t="s">
        <v>65</v>
      </c>
      <c r="U970" s="5">
        <v>2</v>
      </c>
      <c r="V970" s="5" t="s">
        <v>35</v>
      </c>
    </row>
    <row r="971" spans="1:22" x14ac:dyDescent="0.3">
      <c r="A971" s="5" t="s">
        <v>1521</v>
      </c>
      <c r="B971" s="6">
        <v>46067</v>
      </c>
      <c r="C971" s="5" t="s">
        <v>1103</v>
      </c>
      <c r="D971" s="5" t="s">
        <v>68</v>
      </c>
      <c r="E971" s="5" t="s">
        <v>77</v>
      </c>
      <c r="F971" s="5" t="s">
        <v>78</v>
      </c>
      <c r="G971" s="5" t="s">
        <v>41</v>
      </c>
      <c r="H971" s="5" t="s">
        <v>224</v>
      </c>
      <c r="I971" s="5" t="s">
        <v>225</v>
      </c>
      <c r="J971" s="5" t="s">
        <v>102</v>
      </c>
      <c r="K971" s="5" t="s">
        <v>103</v>
      </c>
      <c r="L971" s="5">
        <v>5</v>
      </c>
      <c r="M971" s="5">
        <v>51930</v>
      </c>
      <c r="N971" s="5">
        <v>10</v>
      </c>
      <c r="O971" s="5">
        <v>233685</v>
      </c>
      <c r="P971" s="5">
        <v>213080.48</v>
      </c>
      <c r="Q971" s="5">
        <v>20604.52</v>
      </c>
      <c r="R971" s="5" t="s">
        <v>44</v>
      </c>
      <c r="S971" s="5" t="s">
        <v>82</v>
      </c>
      <c r="T971" s="5" t="s">
        <v>34</v>
      </c>
      <c r="U971" s="5">
        <v>2</v>
      </c>
      <c r="V971" s="5" t="s">
        <v>45</v>
      </c>
    </row>
    <row r="972" spans="1:22" x14ac:dyDescent="0.3">
      <c r="A972" s="5" t="s">
        <v>1522</v>
      </c>
      <c r="B972" s="6">
        <v>46176</v>
      </c>
      <c r="C972" s="5" t="s">
        <v>656</v>
      </c>
      <c r="D972" s="5" t="s">
        <v>76</v>
      </c>
      <c r="E972" s="5" t="s">
        <v>59</v>
      </c>
      <c r="F972" s="5" t="s">
        <v>60</v>
      </c>
      <c r="G972" s="5" t="s">
        <v>61</v>
      </c>
      <c r="H972" s="5" t="s">
        <v>203</v>
      </c>
      <c r="I972" s="5" t="s">
        <v>204</v>
      </c>
      <c r="J972" s="5" t="s">
        <v>71</v>
      </c>
      <c r="K972" s="5" t="s">
        <v>81</v>
      </c>
      <c r="L972" s="5">
        <v>5</v>
      </c>
      <c r="M972" s="5">
        <v>43683</v>
      </c>
      <c r="N972" s="5">
        <v>0</v>
      </c>
      <c r="O972" s="5">
        <v>218415</v>
      </c>
      <c r="P972" s="5">
        <v>184413.47</v>
      </c>
      <c r="Q972" s="5">
        <v>34001.53</v>
      </c>
      <c r="R972" s="5" t="s">
        <v>32</v>
      </c>
      <c r="S972" s="5" t="s">
        <v>82</v>
      </c>
      <c r="T972" s="5" t="s">
        <v>65</v>
      </c>
      <c r="U972" s="5">
        <v>2</v>
      </c>
      <c r="V972" s="5" t="s">
        <v>35</v>
      </c>
    </row>
    <row r="973" spans="1:22" x14ac:dyDescent="0.3">
      <c r="A973" s="5" t="s">
        <v>1523</v>
      </c>
      <c r="B973" s="6">
        <v>46114</v>
      </c>
      <c r="C973" s="5" t="s">
        <v>790</v>
      </c>
      <c r="D973" s="5" t="s">
        <v>89</v>
      </c>
      <c r="E973" s="5" t="s">
        <v>94</v>
      </c>
      <c r="F973" s="5" t="s">
        <v>26</v>
      </c>
      <c r="G973" s="5" t="s">
        <v>27</v>
      </c>
      <c r="H973" s="5" t="s">
        <v>131</v>
      </c>
      <c r="I973" s="5" t="s">
        <v>132</v>
      </c>
      <c r="J973" s="5" t="s">
        <v>71</v>
      </c>
      <c r="K973" s="5" t="s">
        <v>81</v>
      </c>
      <c r="L973" s="5">
        <v>4</v>
      </c>
      <c r="M973" s="5">
        <v>9146</v>
      </c>
      <c r="N973" s="5">
        <v>5</v>
      </c>
      <c r="O973" s="5">
        <v>34754.800000000003</v>
      </c>
      <c r="P973" s="5">
        <v>25540.19</v>
      </c>
      <c r="Q973" s="5">
        <v>9214.61</v>
      </c>
      <c r="R973" s="5" t="s">
        <v>64</v>
      </c>
      <c r="S973" s="5" t="s">
        <v>82</v>
      </c>
      <c r="T973" s="5" t="s">
        <v>34</v>
      </c>
      <c r="U973" s="5">
        <v>2</v>
      </c>
      <c r="V973" s="5" t="s">
        <v>45</v>
      </c>
    </row>
    <row r="974" spans="1:22" x14ac:dyDescent="0.3">
      <c r="A974" s="5" t="s">
        <v>1524</v>
      </c>
      <c r="B974" s="6">
        <v>46140</v>
      </c>
      <c r="C974" s="5" t="s">
        <v>1195</v>
      </c>
      <c r="D974" s="5" t="s">
        <v>117</v>
      </c>
      <c r="E974" s="5" t="s">
        <v>39</v>
      </c>
      <c r="F974" s="5" t="s">
        <v>40</v>
      </c>
      <c r="G974" s="5" t="s">
        <v>41</v>
      </c>
      <c r="H974" s="5" t="s">
        <v>312</v>
      </c>
      <c r="I974" s="5" t="s">
        <v>313</v>
      </c>
      <c r="J974" s="5" t="s">
        <v>54</v>
      </c>
      <c r="K974" s="5" t="s">
        <v>97</v>
      </c>
      <c r="L974" s="5">
        <v>3</v>
      </c>
      <c r="M974" s="5">
        <v>65219</v>
      </c>
      <c r="N974" s="5">
        <v>15</v>
      </c>
      <c r="O974" s="5">
        <v>166308.45000000001</v>
      </c>
      <c r="P974" s="5">
        <v>117450.46</v>
      </c>
      <c r="Q974" s="5">
        <v>48857.99</v>
      </c>
      <c r="R974" s="5" t="s">
        <v>64</v>
      </c>
      <c r="S974" s="5" t="s">
        <v>82</v>
      </c>
      <c r="T974" s="5" t="s">
        <v>34</v>
      </c>
      <c r="U974" s="5">
        <v>4</v>
      </c>
      <c r="V974" s="5" t="s">
        <v>35</v>
      </c>
    </row>
    <row r="975" spans="1:22" x14ac:dyDescent="0.3">
      <c r="A975" s="5" t="s">
        <v>1525</v>
      </c>
      <c r="B975" s="6">
        <v>46186</v>
      </c>
      <c r="C975" s="5" t="s">
        <v>454</v>
      </c>
      <c r="D975" s="5" t="s">
        <v>48</v>
      </c>
      <c r="E975" s="5" t="s">
        <v>25</v>
      </c>
      <c r="F975" s="5" t="s">
        <v>26</v>
      </c>
      <c r="G975" s="5" t="s">
        <v>27</v>
      </c>
      <c r="H975" s="5" t="s">
        <v>306</v>
      </c>
      <c r="I975" s="5" t="s">
        <v>307</v>
      </c>
      <c r="J975" s="5" t="s">
        <v>71</v>
      </c>
      <c r="K975" s="5" t="s">
        <v>81</v>
      </c>
      <c r="L975" s="5">
        <v>1</v>
      </c>
      <c r="M975" s="5">
        <v>22192</v>
      </c>
      <c r="N975" s="5">
        <v>20</v>
      </c>
      <c r="O975" s="5">
        <v>17753.599999999999</v>
      </c>
      <c r="P975" s="5">
        <v>15583</v>
      </c>
      <c r="Q975" s="5">
        <v>2170.6</v>
      </c>
      <c r="R975" s="5" t="s">
        <v>64</v>
      </c>
      <c r="S975" s="5" t="s">
        <v>82</v>
      </c>
      <c r="T975" s="5" t="s">
        <v>73</v>
      </c>
      <c r="U975" s="5">
        <v>1</v>
      </c>
      <c r="V975" s="5" t="s">
        <v>45</v>
      </c>
    </row>
    <row r="976" spans="1:22" x14ac:dyDescent="0.3">
      <c r="A976" s="5" t="s">
        <v>1526</v>
      </c>
      <c r="B976" s="6">
        <v>46199</v>
      </c>
      <c r="C976" s="5" t="s">
        <v>276</v>
      </c>
      <c r="D976" s="5" t="s">
        <v>38</v>
      </c>
      <c r="E976" s="5" t="s">
        <v>126</v>
      </c>
      <c r="F976" s="5" t="s">
        <v>126</v>
      </c>
      <c r="G976" s="5" t="s">
        <v>51</v>
      </c>
      <c r="H976" s="5" t="s">
        <v>447</v>
      </c>
      <c r="I976" s="5" t="s">
        <v>448</v>
      </c>
      <c r="J976" s="5" t="s">
        <v>71</v>
      </c>
      <c r="K976" s="5" t="s">
        <v>72</v>
      </c>
      <c r="L976" s="5">
        <v>3</v>
      </c>
      <c r="M976" s="5">
        <v>57490</v>
      </c>
      <c r="N976" s="5">
        <v>20</v>
      </c>
      <c r="O976" s="5">
        <v>137976</v>
      </c>
      <c r="P976" s="5">
        <v>109515.5</v>
      </c>
      <c r="Q976" s="5">
        <v>28460.5</v>
      </c>
      <c r="R976" s="5" t="s">
        <v>64</v>
      </c>
      <c r="S976" s="5" t="s">
        <v>82</v>
      </c>
      <c r="T976" s="5" t="s">
        <v>34</v>
      </c>
      <c r="U976" s="5">
        <v>4</v>
      </c>
      <c r="V976" s="5" t="s">
        <v>35</v>
      </c>
    </row>
    <row r="977" spans="1:22" x14ac:dyDescent="0.3">
      <c r="A977" s="5" t="s">
        <v>1527</v>
      </c>
      <c r="B977" s="6">
        <v>46024</v>
      </c>
      <c r="C977" s="5" t="s">
        <v>720</v>
      </c>
      <c r="D977" s="5" t="s">
        <v>76</v>
      </c>
      <c r="E977" s="5" t="s">
        <v>126</v>
      </c>
      <c r="F977" s="5" t="s">
        <v>126</v>
      </c>
      <c r="G977" s="5" t="s">
        <v>51</v>
      </c>
      <c r="H977" s="5" t="s">
        <v>358</v>
      </c>
      <c r="I977" s="5" t="s">
        <v>359</v>
      </c>
      <c r="J977" s="5" t="s">
        <v>102</v>
      </c>
      <c r="K977" s="5" t="s">
        <v>103</v>
      </c>
      <c r="L977" s="5">
        <v>3</v>
      </c>
      <c r="M977" s="5">
        <v>28170</v>
      </c>
      <c r="N977" s="5">
        <v>0</v>
      </c>
      <c r="O977" s="5">
        <v>84510</v>
      </c>
      <c r="P977" s="5">
        <v>68267.94</v>
      </c>
      <c r="Q977" s="5">
        <v>16242.06</v>
      </c>
      <c r="R977" s="5" t="s">
        <v>32</v>
      </c>
      <c r="S977" s="5" t="s">
        <v>82</v>
      </c>
      <c r="T977" s="5" t="s">
        <v>34</v>
      </c>
      <c r="U977" s="5">
        <v>5</v>
      </c>
      <c r="V977" s="5" t="s">
        <v>45</v>
      </c>
    </row>
    <row r="978" spans="1:22" x14ac:dyDescent="0.3">
      <c r="A978" s="5" t="s">
        <v>1528</v>
      </c>
      <c r="B978" s="6">
        <v>46046</v>
      </c>
      <c r="C978" s="5" t="s">
        <v>1082</v>
      </c>
      <c r="D978" s="5" t="s">
        <v>151</v>
      </c>
      <c r="E978" s="5" t="s">
        <v>94</v>
      </c>
      <c r="F978" s="5" t="s">
        <v>26</v>
      </c>
      <c r="G978" s="5" t="s">
        <v>27</v>
      </c>
      <c r="H978" s="5" t="s">
        <v>156</v>
      </c>
      <c r="I978" s="5" t="s">
        <v>157</v>
      </c>
      <c r="J978" s="5" t="s">
        <v>30</v>
      </c>
      <c r="K978" s="5" t="s">
        <v>31</v>
      </c>
      <c r="L978" s="5">
        <v>3</v>
      </c>
      <c r="M978" s="5">
        <v>3559</v>
      </c>
      <c r="N978" s="5">
        <v>15</v>
      </c>
      <c r="O978" s="5">
        <v>9075.4500000000007</v>
      </c>
      <c r="P978" s="5">
        <v>8085.88</v>
      </c>
      <c r="Q978" s="5">
        <v>989.57</v>
      </c>
      <c r="R978" s="5" t="s">
        <v>64</v>
      </c>
      <c r="S978" s="5" t="s">
        <v>33</v>
      </c>
      <c r="T978" s="5" t="s">
        <v>34</v>
      </c>
      <c r="U978" s="5">
        <v>4</v>
      </c>
      <c r="V978" s="5" t="s">
        <v>35</v>
      </c>
    </row>
    <row r="979" spans="1:22" x14ac:dyDescent="0.3">
      <c r="A979" s="5" t="s">
        <v>1529</v>
      </c>
      <c r="B979" s="6">
        <v>46191</v>
      </c>
      <c r="C979" s="5" t="s">
        <v>597</v>
      </c>
      <c r="D979" s="5" t="s">
        <v>151</v>
      </c>
      <c r="E979" s="5" t="s">
        <v>77</v>
      </c>
      <c r="F979" s="5" t="s">
        <v>78</v>
      </c>
      <c r="G979" s="5" t="s">
        <v>41</v>
      </c>
      <c r="H979" s="5" t="s">
        <v>735</v>
      </c>
      <c r="I979" s="5" t="s">
        <v>736</v>
      </c>
      <c r="J979" s="5" t="s">
        <v>54</v>
      </c>
      <c r="K979" s="5" t="s">
        <v>97</v>
      </c>
      <c r="L979" s="5">
        <v>2</v>
      </c>
      <c r="M979" s="5">
        <v>15119</v>
      </c>
      <c r="N979" s="5">
        <v>0</v>
      </c>
      <c r="O979" s="5">
        <v>30238</v>
      </c>
      <c r="P979" s="5">
        <v>20976.79</v>
      </c>
      <c r="Q979" s="5">
        <v>9261.2099999999991</v>
      </c>
      <c r="R979" s="5" t="s">
        <v>64</v>
      </c>
      <c r="S979" s="5" t="s">
        <v>33</v>
      </c>
      <c r="T979" s="5" t="s">
        <v>34</v>
      </c>
      <c r="U979" s="5">
        <v>5</v>
      </c>
      <c r="V979" s="5" t="s">
        <v>45</v>
      </c>
    </row>
    <row r="980" spans="1:22" x14ac:dyDescent="0.3">
      <c r="A980" s="5" t="s">
        <v>1530</v>
      </c>
      <c r="B980" s="6">
        <v>46168</v>
      </c>
      <c r="C980" s="5" t="s">
        <v>175</v>
      </c>
      <c r="D980" s="5" t="s">
        <v>38</v>
      </c>
      <c r="E980" s="5" t="s">
        <v>49</v>
      </c>
      <c r="F980" s="5" t="s">
        <v>50</v>
      </c>
      <c r="G980" s="5" t="s">
        <v>51</v>
      </c>
      <c r="H980" s="5" t="s">
        <v>168</v>
      </c>
      <c r="I980" s="5" t="s">
        <v>169</v>
      </c>
      <c r="J980" s="5" t="s">
        <v>102</v>
      </c>
      <c r="K980" s="5" t="s">
        <v>103</v>
      </c>
      <c r="L980" s="5">
        <v>2</v>
      </c>
      <c r="M980" s="5">
        <v>22128</v>
      </c>
      <c r="N980" s="5">
        <v>5</v>
      </c>
      <c r="O980" s="5">
        <v>42043.199999999997</v>
      </c>
      <c r="P980" s="5">
        <v>28987.11</v>
      </c>
      <c r="Q980" s="5">
        <v>13056.09</v>
      </c>
      <c r="R980" s="5" t="s">
        <v>44</v>
      </c>
      <c r="S980" s="5" t="s">
        <v>33</v>
      </c>
      <c r="T980" s="5" t="s">
        <v>34</v>
      </c>
      <c r="U980" s="5">
        <v>3</v>
      </c>
      <c r="V980" s="5" t="s">
        <v>45</v>
      </c>
    </row>
    <row r="981" spans="1:22" x14ac:dyDescent="0.3">
      <c r="A981" s="5" t="s">
        <v>1531</v>
      </c>
      <c r="B981" s="6">
        <v>46110</v>
      </c>
      <c r="C981" s="5" t="s">
        <v>1222</v>
      </c>
      <c r="D981" s="5" t="s">
        <v>48</v>
      </c>
      <c r="E981" s="5" t="s">
        <v>59</v>
      </c>
      <c r="F981" s="5" t="s">
        <v>60</v>
      </c>
      <c r="G981" s="5" t="s">
        <v>61</v>
      </c>
      <c r="H981" s="5" t="s">
        <v>152</v>
      </c>
      <c r="I981" s="5" t="s">
        <v>153</v>
      </c>
      <c r="J981" s="5" t="s">
        <v>54</v>
      </c>
      <c r="K981" s="5" t="s">
        <v>97</v>
      </c>
      <c r="L981" s="5">
        <v>1</v>
      </c>
      <c r="M981" s="5">
        <v>20134</v>
      </c>
      <c r="N981" s="5">
        <v>20</v>
      </c>
      <c r="O981" s="5">
        <v>16107.2</v>
      </c>
      <c r="P981" s="5">
        <v>16533.61</v>
      </c>
      <c r="Q981" s="5">
        <v>-426.41</v>
      </c>
      <c r="R981" s="5" t="s">
        <v>32</v>
      </c>
      <c r="S981" s="5" t="s">
        <v>33</v>
      </c>
      <c r="T981" s="5" t="s">
        <v>73</v>
      </c>
      <c r="U981" s="5">
        <v>4</v>
      </c>
      <c r="V981" s="5" t="s">
        <v>45</v>
      </c>
    </row>
    <row r="982" spans="1:22" x14ac:dyDescent="0.3">
      <c r="A982" s="5" t="s">
        <v>1532</v>
      </c>
      <c r="B982" s="6">
        <v>46153</v>
      </c>
      <c r="C982" s="5" t="s">
        <v>349</v>
      </c>
      <c r="D982" s="5" t="s">
        <v>151</v>
      </c>
      <c r="E982" s="5" t="s">
        <v>39</v>
      </c>
      <c r="F982" s="5" t="s">
        <v>40</v>
      </c>
      <c r="G982" s="5" t="s">
        <v>41</v>
      </c>
      <c r="H982" s="5" t="s">
        <v>762</v>
      </c>
      <c r="I982" s="5" t="s">
        <v>763</v>
      </c>
      <c r="J982" s="5" t="s">
        <v>54</v>
      </c>
      <c r="K982" s="5" t="s">
        <v>55</v>
      </c>
      <c r="L982" s="5">
        <v>5</v>
      </c>
      <c r="M982" s="5">
        <v>53325</v>
      </c>
      <c r="N982" s="5">
        <v>15</v>
      </c>
      <c r="O982" s="5">
        <v>226631.25</v>
      </c>
      <c r="P982" s="5">
        <v>212451.76</v>
      </c>
      <c r="Q982" s="5">
        <v>14179.49</v>
      </c>
      <c r="R982" s="5" t="s">
        <v>44</v>
      </c>
      <c r="S982" s="5" t="s">
        <v>82</v>
      </c>
      <c r="T982" s="5" t="s">
        <v>73</v>
      </c>
      <c r="U982" s="5">
        <v>3</v>
      </c>
      <c r="V982" s="5" t="s">
        <v>35</v>
      </c>
    </row>
    <row r="983" spans="1:22" x14ac:dyDescent="0.3">
      <c r="A983" s="5" t="s">
        <v>1533</v>
      </c>
      <c r="B983" s="6">
        <v>46089</v>
      </c>
      <c r="C983" s="5" t="s">
        <v>1455</v>
      </c>
      <c r="D983" s="5" t="s">
        <v>38</v>
      </c>
      <c r="E983" s="5" t="s">
        <v>25</v>
      </c>
      <c r="F983" s="5" t="s">
        <v>26</v>
      </c>
      <c r="G983" s="5" t="s">
        <v>27</v>
      </c>
      <c r="H983" s="5" t="s">
        <v>824</v>
      </c>
      <c r="I983" s="5" t="s">
        <v>825</v>
      </c>
      <c r="J983" s="5" t="s">
        <v>71</v>
      </c>
      <c r="K983" s="5" t="s">
        <v>81</v>
      </c>
      <c r="L983" s="5">
        <v>4</v>
      </c>
      <c r="M983" s="5">
        <v>74131</v>
      </c>
      <c r="N983" s="5">
        <v>20</v>
      </c>
      <c r="O983" s="5">
        <v>237219.20000000001</v>
      </c>
      <c r="P983" s="5">
        <v>177591.14</v>
      </c>
      <c r="Q983" s="5">
        <v>59628.06</v>
      </c>
      <c r="R983" s="5" t="s">
        <v>32</v>
      </c>
      <c r="S983" s="5" t="s">
        <v>33</v>
      </c>
      <c r="T983" s="5" t="s">
        <v>34</v>
      </c>
      <c r="U983" s="5">
        <v>1</v>
      </c>
      <c r="V983" s="5" t="s">
        <v>35</v>
      </c>
    </row>
    <row r="984" spans="1:22" x14ac:dyDescent="0.3">
      <c r="A984" s="5" t="s">
        <v>1534</v>
      </c>
      <c r="B984" s="6">
        <v>46056</v>
      </c>
      <c r="C984" s="5" t="s">
        <v>778</v>
      </c>
      <c r="D984" s="5" t="s">
        <v>151</v>
      </c>
      <c r="E984" s="5" t="s">
        <v>77</v>
      </c>
      <c r="F984" s="5" t="s">
        <v>78</v>
      </c>
      <c r="G984" s="5" t="s">
        <v>41</v>
      </c>
      <c r="H984" s="5" t="s">
        <v>513</v>
      </c>
      <c r="I984" s="5" t="s">
        <v>514</v>
      </c>
      <c r="J984" s="5" t="s">
        <v>71</v>
      </c>
      <c r="K984" s="5" t="s">
        <v>72</v>
      </c>
      <c r="L984" s="5">
        <v>3</v>
      </c>
      <c r="M984" s="5">
        <v>28075</v>
      </c>
      <c r="N984" s="5">
        <v>20</v>
      </c>
      <c r="O984" s="5">
        <v>67380</v>
      </c>
      <c r="P984" s="5">
        <v>69375.22</v>
      </c>
      <c r="Q984" s="5">
        <v>-1995.22</v>
      </c>
      <c r="R984" s="5" t="s">
        <v>64</v>
      </c>
      <c r="S984" s="5" t="s">
        <v>82</v>
      </c>
      <c r="T984" s="5" t="s">
        <v>73</v>
      </c>
      <c r="U984" s="5">
        <v>5</v>
      </c>
      <c r="V984" s="5" t="s">
        <v>45</v>
      </c>
    </row>
    <row r="985" spans="1:22" x14ac:dyDescent="0.3">
      <c r="A985" s="5" t="s">
        <v>1535</v>
      </c>
      <c r="B985" s="6">
        <v>46111</v>
      </c>
      <c r="C985" s="5" t="s">
        <v>99</v>
      </c>
      <c r="D985" s="5" t="s">
        <v>48</v>
      </c>
      <c r="E985" s="5" t="s">
        <v>77</v>
      </c>
      <c r="F985" s="5" t="s">
        <v>78</v>
      </c>
      <c r="G985" s="5" t="s">
        <v>41</v>
      </c>
      <c r="H985" s="5" t="s">
        <v>367</v>
      </c>
      <c r="I985" s="5" t="s">
        <v>368</v>
      </c>
      <c r="J985" s="5" t="s">
        <v>71</v>
      </c>
      <c r="K985" s="5" t="s">
        <v>72</v>
      </c>
      <c r="L985" s="5">
        <v>2</v>
      </c>
      <c r="M985" s="5">
        <v>74076</v>
      </c>
      <c r="N985" s="5">
        <v>5</v>
      </c>
      <c r="O985" s="5">
        <v>140744.4</v>
      </c>
      <c r="P985" s="5">
        <v>83299.740000000005</v>
      </c>
      <c r="Q985" s="5">
        <v>57444.66</v>
      </c>
      <c r="R985" s="5" t="s">
        <v>32</v>
      </c>
      <c r="S985" s="5" t="s">
        <v>33</v>
      </c>
      <c r="T985" s="5" t="s">
        <v>65</v>
      </c>
      <c r="U985" s="5">
        <v>1</v>
      </c>
      <c r="V985" s="5" t="s">
        <v>45</v>
      </c>
    </row>
    <row r="986" spans="1:22" x14ac:dyDescent="0.3">
      <c r="A986" s="5" t="s">
        <v>1536</v>
      </c>
      <c r="B986" s="6">
        <v>46187</v>
      </c>
      <c r="C986" s="5" t="s">
        <v>75</v>
      </c>
      <c r="D986" s="5" t="s">
        <v>76</v>
      </c>
      <c r="E986" s="5" t="s">
        <v>49</v>
      </c>
      <c r="F986" s="5" t="s">
        <v>50</v>
      </c>
      <c r="G986" s="5" t="s">
        <v>51</v>
      </c>
      <c r="H986" s="5" t="s">
        <v>396</v>
      </c>
      <c r="I986" s="5" t="s">
        <v>397</v>
      </c>
      <c r="J986" s="5" t="s">
        <v>54</v>
      </c>
      <c r="K986" s="5" t="s">
        <v>55</v>
      </c>
      <c r="L986" s="5">
        <v>1</v>
      </c>
      <c r="M986" s="5">
        <v>63651</v>
      </c>
      <c r="N986" s="5">
        <v>15</v>
      </c>
      <c r="O986" s="5">
        <v>54103.35</v>
      </c>
      <c r="P986" s="5">
        <v>46425.69</v>
      </c>
      <c r="Q986" s="5">
        <v>7677.66</v>
      </c>
      <c r="R986" s="5" t="s">
        <v>44</v>
      </c>
      <c r="S986" s="5" t="s">
        <v>82</v>
      </c>
      <c r="T986" s="5" t="s">
        <v>65</v>
      </c>
      <c r="U986" s="5">
        <v>5</v>
      </c>
      <c r="V986" s="5" t="s">
        <v>35</v>
      </c>
    </row>
    <row r="987" spans="1:22" x14ac:dyDescent="0.3">
      <c r="A987" s="5" t="s">
        <v>1537</v>
      </c>
      <c r="B987" s="6">
        <v>46060</v>
      </c>
      <c r="C987" s="5" t="s">
        <v>797</v>
      </c>
      <c r="D987" s="5" t="s">
        <v>58</v>
      </c>
      <c r="E987" s="5" t="s">
        <v>126</v>
      </c>
      <c r="F987" s="5" t="s">
        <v>126</v>
      </c>
      <c r="G987" s="5" t="s">
        <v>51</v>
      </c>
      <c r="H987" s="5" t="s">
        <v>513</v>
      </c>
      <c r="I987" s="5" t="s">
        <v>514</v>
      </c>
      <c r="J987" s="5" t="s">
        <v>71</v>
      </c>
      <c r="K987" s="5" t="s">
        <v>72</v>
      </c>
      <c r="L987" s="5">
        <v>3</v>
      </c>
      <c r="M987" s="5">
        <v>77727</v>
      </c>
      <c r="N987" s="5">
        <v>20</v>
      </c>
      <c r="O987" s="5">
        <v>186544.8</v>
      </c>
      <c r="P987" s="5">
        <v>167288.51</v>
      </c>
      <c r="Q987" s="5">
        <v>19256.29</v>
      </c>
      <c r="R987" s="5" t="s">
        <v>44</v>
      </c>
      <c r="S987" s="5" t="s">
        <v>33</v>
      </c>
      <c r="T987" s="5" t="s">
        <v>65</v>
      </c>
      <c r="U987" s="5">
        <v>5</v>
      </c>
      <c r="V987" s="5" t="s">
        <v>45</v>
      </c>
    </row>
    <row r="988" spans="1:22" x14ac:dyDescent="0.3">
      <c r="A988" s="5" t="s">
        <v>1538</v>
      </c>
      <c r="B988" s="6">
        <v>46079</v>
      </c>
      <c r="C988" s="5" t="s">
        <v>643</v>
      </c>
      <c r="D988" s="5" t="s">
        <v>48</v>
      </c>
      <c r="E988" s="5" t="s">
        <v>39</v>
      </c>
      <c r="F988" s="5" t="s">
        <v>40</v>
      </c>
      <c r="G988" s="5" t="s">
        <v>41</v>
      </c>
      <c r="H988" s="5" t="s">
        <v>334</v>
      </c>
      <c r="I988" s="5" t="s">
        <v>335</v>
      </c>
      <c r="J988" s="5" t="s">
        <v>71</v>
      </c>
      <c r="K988" s="5" t="s">
        <v>72</v>
      </c>
      <c r="L988" s="5">
        <v>2</v>
      </c>
      <c r="M988" s="5">
        <v>62104</v>
      </c>
      <c r="N988" s="5">
        <v>15</v>
      </c>
      <c r="O988" s="5">
        <v>105576.8</v>
      </c>
      <c r="P988" s="5">
        <v>88782.98</v>
      </c>
      <c r="Q988" s="5">
        <v>16793.82</v>
      </c>
      <c r="R988" s="5" t="s">
        <v>32</v>
      </c>
      <c r="S988" s="5" t="s">
        <v>33</v>
      </c>
      <c r="T988" s="5" t="s">
        <v>34</v>
      </c>
      <c r="U988" s="5">
        <v>2</v>
      </c>
      <c r="V988" s="5" t="s">
        <v>35</v>
      </c>
    </row>
    <row r="989" spans="1:22" x14ac:dyDescent="0.3">
      <c r="A989" s="5" t="s">
        <v>1539</v>
      </c>
      <c r="B989" s="6">
        <v>46168</v>
      </c>
      <c r="C989" s="5" t="s">
        <v>130</v>
      </c>
      <c r="D989" s="5" t="s">
        <v>117</v>
      </c>
      <c r="E989" s="5" t="s">
        <v>39</v>
      </c>
      <c r="F989" s="5" t="s">
        <v>40</v>
      </c>
      <c r="G989" s="5" t="s">
        <v>41</v>
      </c>
      <c r="H989" s="5" t="s">
        <v>100</v>
      </c>
      <c r="I989" s="5" t="s">
        <v>101</v>
      </c>
      <c r="J989" s="5" t="s">
        <v>102</v>
      </c>
      <c r="K989" s="5" t="s">
        <v>103</v>
      </c>
      <c r="L989" s="5">
        <v>1</v>
      </c>
      <c r="M989" s="5">
        <v>11610</v>
      </c>
      <c r="N989" s="5">
        <v>20</v>
      </c>
      <c r="O989" s="5">
        <v>9288</v>
      </c>
      <c r="P989" s="5">
        <v>7477.74</v>
      </c>
      <c r="Q989" s="5">
        <v>1810.26</v>
      </c>
      <c r="R989" s="5" t="s">
        <v>44</v>
      </c>
      <c r="S989" s="5" t="s">
        <v>33</v>
      </c>
      <c r="T989" s="5" t="s">
        <v>34</v>
      </c>
      <c r="U989" s="5">
        <v>4</v>
      </c>
      <c r="V989" s="5" t="s">
        <v>35</v>
      </c>
    </row>
    <row r="990" spans="1:22" x14ac:dyDescent="0.3">
      <c r="A990" s="5" t="s">
        <v>1540</v>
      </c>
      <c r="B990" s="6">
        <v>46050</v>
      </c>
      <c r="C990" s="5" t="s">
        <v>383</v>
      </c>
      <c r="D990" s="5" t="s">
        <v>110</v>
      </c>
      <c r="E990" s="5" t="s">
        <v>25</v>
      </c>
      <c r="F990" s="5" t="s">
        <v>26</v>
      </c>
      <c r="G990" s="5" t="s">
        <v>27</v>
      </c>
      <c r="H990" s="5" t="s">
        <v>172</v>
      </c>
      <c r="I990" s="5" t="s">
        <v>173</v>
      </c>
      <c r="J990" s="5" t="s">
        <v>54</v>
      </c>
      <c r="K990" s="5" t="s">
        <v>97</v>
      </c>
      <c r="L990" s="5">
        <v>3</v>
      </c>
      <c r="M990" s="5">
        <v>31269</v>
      </c>
      <c r="N990" s="5">
        <v>5</v>
      </c>
      <c r="O990" s="5">
        <v>89116.65</v>
      </c>
      <c r="P990" s="5">
        <v>52649.83</v>
      </c>
      <c r="Q990" s="5">
        <v>36466.82</v>
      </c>
      <c r="R990" s="5" t="s">
        <v>64</v>
      </c>
      <c r="S990" s="5" t="s">
        <v>82</v>
      </c>
      <c r="T990" s="5" t="s">
        <v>34</v>
      </c>
      <c r="U990" s="5">
        <v>4</v>
      </c>
      <c r="V990" s="5" t="s">
        <v>35</v>
      </c>
    </row>
    <row r="991" spans="1:22" x14ac:dyDescent="0.3">
      <c r="A991" s="5" t="s">
        <v>1541</v>
      </c>
      <c r="B991" s="6">
        <v>46120</v>
      </c>
      <c r="C991" s="5" t="s">
        <v>163</v>
      </c>
      <c r="D991" s="5" t="s">
        <v>58</v>
      </c>
      <c r="E991" s="5" t="s">
        <v>25</v>
      </c>
      <c r="F991" s="5" t="s">
        <v>26</v>
      </c>
      <c r="G991" s="5" t="s">
        <v>27</v>
      </c>
      <c r="H991" s="5" t="s">
        <v>295</v>
      </c>
      <c r="I991" s="5" t="s">
        <v>296</v>
      </c>
      <c r="J991" s="5" t="s">
        <v>30</v>
      </c>
      <c r="K991" s="5" t="s">
        <v>31</v>
      </c>
      <c r="L991" s="5">
        <v>3</v>
      </c>
      <c r="M991" s="5">
        <v>22570</v>
      </c>
      <c r="N991" s="5">
        <v>5</v>
      </c>
      <c r="O991" s="5">
        <v>64324.5</v>
      </c>
      <c r="P991" s="5">
        <v>50558.91</v>
      </c>
      <c r="Q991" s="5">
        <v>13765.59</v>
      </c>
      <c r="R991" s="5" t="s">
        <v>44</v>
      </c>
      <c r="S991" s="5" t="s">
        <v>82</v>
      </c>
      <c r="T991" s="5" t="s">
        <v>34</v>
      </c>
      <c r="U991" s="5">
        <v>1</v>
      </c>
      <c r="V991" s="5" t="s">
        <v>45</v>
      </c>
    </row>
    <row r="992" spans="1:22" x14ac:dyDescent="0.3">
      <c r="A992" s="5" t="s">
        <v>1542</v>
      </c>
      <c r="B992" s="6">
        <v>46147</v>
      </c>
      <c r="C992" s="5" t="s">
        <v>702</v>
      </c>
      <c r="D992" s="5" t="s">
        <v>151</v>
      </c>
      <c r="E992" s="5" t="s">
        <v>77</v>
      </c>
      <c r="F992" s="5" t="s">
        <v>78</v>
      </c>
      <c r="G992" s="5" t="s">
        <v>41</v>
      </c>
      <c r="H992" s="5" t="s">
        <v>457</v>
      </c>
      <c r="I992" s="5" t="s">
        <v>458</v>
      </c>
      <c r="J992" s="5" t="s">
        <v>71</v>
      </c>
      <c r="K992" s="5" t="s">
        <v>81</v>
      </c>
      <c r="L992" s="5">
        <v>2</v>
      </c>
      <c r="M992" s="5">
        <v>65453</v>
      </c>
      <c r="N992" s="5">
        <v>15</v>
      </c>
      <c r="O992" s="5">
        <v>111270.1</v>
      </c>
      <c r="P992" s="5">
        <v>111059.44</v>
      </c>
      <c r="Q992" s="5">
        <v>210.66</v>
      </c>
      <c r="R992" s="5" t="s">
        <v>44</v>
      </c>
      <c r="S992" s="5" t="s">
        <v>82</v>
      </c>
      <c r="T992" s="5" t="s">
        <v>65</v>
      </c>
      <c r="U992" s="5">
        <v>4</v>
      </c>
      <c r="V992" s="5" t="s">
        <v>35</v>
      </c>
    </row>
    <row r="993" spans="1:22" x14ac:dyDescent="0.3">
      <c r="A993" s="5" t="s">
        <v>1543</v>
      </c>
      <c r="B993" s="6">
        <v>46070</v>
      </c>
      <c r="C993" s="5" t="s">
        <v>327</v>
      </c>
      <c r="D993" s="5" t="s">
        <v>76</v>
      </c>
      <c r="E993" s="5" t="s">
        <v>39</v>
      </c>
      <c r="F993" s="5" t="s">
        <v>40</v>
      </c>
      <c r="G993" s="5" t="s">
        <v>41</v>
      </c>
      <c r="H993" s="5" t="s">
        <v>141</v>
      </c>
      <c r="I993" s="5" t="s">
        <v>142</v>
      </c>
      <c r="J993" s="5" t="s">
        <v>71</v>
      </c>
      <c r="K993" s="5" t="s">
        <v>81</v>
      </c>
      <c r="L993" s="5">
        <v>2</v>
      </c>
      <c r="M993" s="5">
        <v>19831</v>
      </c>
      <c r="N993" s="5">
        <v>15</v>
      </c>
      <c r="O993" s="5">
        <v>33712.699999999997</v>
      </c>
      <c r="P993" s="5">
        <v>22959.35</v>
      </c>
      <c r="Q993" s="5">
        <v>10753.35</v>
      </c>
      <c r="R993" s="5" t="s">
        <v>32</v>
      </c>
      <c r="S993" s="5" t="s">
        <v>82</v>
      </c>
      <c r="T993" s="5" t="s">
        <v>34</v>
      </c>
      <c r="U993" s="5">
        <v>3</v>
      </c>
      <c r="V993" s="5" t="s">
        <v>35</v>
      </c>
    </row>
    <row r="994" spans="1:22" x14ac:dyDescent="0.3">
      <c r="A994" s="5" t="s">
        <v>1544</v>
      </c>
      <c r="B994" s="6">
        <v>46194</v>
      </c>
      <c r="C994" s="5" t="s">
        <v>695</v>
      </c>
      <c r="D994" s="5" t="s">
        <v>58</v>
      </c>
      <c r="E994" s="5" t="s">
        <v>39</v>
      </c>
      <c r="F994" s="5" t="s">
        <v>40</v>
      </c>
      <c r="G994" s="5" t="s">
        <v>41</v>
      </c>
      <c r="H994" s="5" t="s">
        <v>295</v>
      </c>
      <c r="I994" s="5" t="s">
        <v>296</v>
      </c>
      <c r="J994" s="5" t="s">
        <v>30</v>
      </c>
      <c r="K994" s="5" t="s">
        <v>31</v>
      </c>
      <c r="L994" s="5">
        <v>5</v>
      </c>
      <c r="M994" s="5">
        <v>44718</v>
      </c>
      <c r="N994" s="5">
        <v>20</v>
      </c>
      <c r="O994" s="5">
        <v>178872</v>
      </c>
      <c r="P994" s="5">
        <v>189864.63</v>
      </c>
      <c r="Q994" s="5">
        <v>-10992.63</v>
      </c>
      <c r="R994" s="5" t="s">
        <v>64</v>
      </c>
      <c r="S994" s="5" t="s">
        <v>33</v>
      </c>
      <c r="T994" s="5" t="s">
        <v>65</v>
      </c>
      <c r="U994" s="5">
        <v>3</v>
      </c>
      <c r="V994" s="5" t="s">
        <v>35</v>
      </c>
    </row>
    <row r="995" spans="1:22" x14ac:dyDescent="0.3">
      <c r="A995" s="5" t="s">
        <v>1545</v>
      </c>
      <c r="B995" s="6">
        <v>46075</v>
      </c>
      <c r="C995" s="5" t="s">
        <v>612</v>
      </c>
      <c r="D995" s="5" t="s">
        <v>89</v>
      </c>
      <c r="E995" s="5" t="s">
        <v>126</v>
      </c>
      <c r="F995" s="5" t="s">
        <v>126</v>
      </c>
      <c r="G995" s="5" t="s">
        <v>51</v>
      </c>
      <c r="H995" s="5" t="s">
        <v>312</v>
      </c>
      <c r="I995" s="5" t="s">
        <v>313</v>
      </c>
      <c r="J995" s="5" t="s">
        <v>54</v>
      </c>
      <c r="K995" s="5" t="s">
        <v>97</v>
      </c>
      <c r="L995" s="5">
        <v>2</v>
      </c>
      <c r="M995" s="5">
        <v>42168</v>
      </c>
      <c r="N995" s="5">
        <v>15</v>
      </c>
      <c r="O995" s="5">
        <v>71685.600000000006</v>
      </c>
      <c r="P995" s="5">
        <v>60638.96</v>
      </c>
      <c r="Q995" s="5">
        <v>11046.64</v>
      </c>
      <c r="R995" s="5" t="s">
        <v>64</v>
      </c>
      <c r="S995" s="5" t="s">
        <v>82</v>
      </c>
      <c r="T995" s="5" t="s">
        <v>73</v>
      </c>
      <c r="U995" s="5">
        <v>3</v>
      </c>
      <c r="V995" s="5" t="s">
        <v>45</v>
      </c>
    </row>
    <row r="996" spans="1:22" x14ac:dyDescent="0.3">
      <c r="A996" s="5" t="s">
        <v>1546</v>
      </c>
      <c r="B996" s="6">
        <v>46109</v>
      </c>
      <c r="C996" s="5" t="s">
        <v>749</v>
      </c>
      <c r="D996" s="5" t="s">
        <v>48</v>
      </c>
      <c r="E996" s="5" t="s">
        <v>59</v>
      </c>
      <c r="F996" s="5" t="s">
        <v>60</v>
      </c>
      <c r="G996" s="5" t="s">
        <v>61</v>
      </c>
      <c r="H996" s="5" t="s">
        <v>678</v>
      </c>
      <c r="I996" s="5" t="s">
        <v>679</v>
      </c>
      <c r="J996" s="5" t="s">
        <v>54</v>
      </c>
      <c r="K996" s="5" t="s">
        <v>55</v>
      </c>
      <c r="L996" s="5">
        <v>4</v>
      </c>
      <c r="M996" s="5">
        <v>2530</v>
      </c>
      <c r="N996" s="5">
        <v>5</v>
      </c>
      <c r="O996" s="5">
        <v>9614</v>
      </c>
      <c r="P996" s="5">
        <v>7700.79</v>
      </c>
      <c r="Q996" s="5">
        <v>1913.21</v>
      </c>
      <c r="R996" s="5" t="s">
        <v>32</v>
      </c>
      <c r="S996" s="5" t="s">
        <v>82</v>
      </c>
      <c r="T996" s="5" t="s">
        <v>65</v>
      </c>
      <c r="U996" s="5">
        <v>4</v>
      </c>
      <c r="V996" s="5" t="s">
        <v>45</v>
      </c>
    </row>
    <row r="997" spans="1:22" x14ac:dyDescent="0.3">
      <c r="A997" s="5" t="s">
        <v>1547</v>
      </c>
      <c r="B997" s="6">
        <v>46164</v>
      </c>
      <c r="C997" s="5" t="s">
        <v>751</v>
      </c>
      <c r="D997" s="5" t="s">
        <v>68</v>
      </c>
      <c r="E997" s="5" t="s">
        <v>49</v>
      </c>
      <c r="F997" s="5" t="s">
        <v>50</v>
      </c>
      <c r="G997" s="5" t="s">
        <v>51</v>
      </c>
      <c r="H997" s="5" t="s">
        <v>261</v>
      </c>
      <c r="I997" s="5" t="s">
        <v>262</v>
      </c>
      <c r="J997" s="5" t="s">
        <v>102</v>
      </c>
      <c r="K997" s="5" t="s">
        <v>103</v>
      </c>
      <c r="L997" s="5">
        <v>3</v>
      </c>
      <c r="M997" s="5">
        <v>18519</v>
      </c>
      <c r="N997" s="5">
        <v>5</v>
      </c>
      <c r="O997" s="5">
        <v>52779.15</v>
      </c>
      <c r="P997" s="5">
        <v>30687.7</v>
      </c>
      <c r="Q997" s="5">
        <v>22091.45</v>
      </c>
      <c r="R997" s="5" t="s">
        <v>32</v>
      </c>
      <c r="S997" s="5" t="s">
        <v>82</v>
      </c>
      <c r="T997" s="5" t="s">
        <v>65</v>
      </c>
      <c r="U997" s="5">
        <v>3</v>
      </c>
      <c r="V997" s="5" t="s">
        <v>35</v>
      </c>
    </row>
    <row r="998" spans="1:22" x14ac:dyDescent="0.3">
      <c r="A998" s="5" t="s">
        <v>1548</v>
      </c>
      <c r="B998" s="6">
        <v>46086</v>
      </c>
      <c r="C998" s="5" t="s">
        <v>1070</v>
      </c>
      <c r="D998" s="5" t="s">
        <v>117</v>
      </c>
      <c r="E998" s="5" t="s">
        <v>25</v>
      </c>
      <c r="F998" s="5" t="s">
        <v>26</v>
      </c>
      <c r="G998" s="5" t="s">
        <v>27</v>
      </c>
      <c r="H998" s="5" t="s">
        <v>281</v>
      </c>
      <c r="I998" s="5" t="s">
        <v>282</v>
      </c>
      <c r="J998" s="5" t="s">
        <v>30</v>
      </c>
      <c r="K998" s="5" t="s">
        <v>31</v>
      </c>
      <c r="L998" s="5">
        <v>2</v>
      </c>
      <c r="M998" s="5">
        <v>19456</v>
      </c>
      <c r="N998" s="5">
        <v>5</v>
      </c>
      <c r="O998" s="5">
        <v>36966.400000000001</v>
      </c>
      <c r="P998" s="5">
        <v>28938.19</v>
      </c>
      <c r="Q998" s="5">
        <v>8028.21</v>
      </c>
      <c r="R998" s="5" t="s">
        <v>32</v>
      </c>
      <c r="S998" s="5" t="s">
        <v>82</v>
      </c>
      <c r="T998" s="5" t="s">
        <v>65</v>
      </c>
      <c r="U998" s="5">
        <v>5</v>
      </c>
      <c r="V998" s="5" t="s">
        <v>45</v>
      </c>
    </row>
    <row r="999" spans="1:22" x14ac:dyDescent="0.3">
      <c r="A999" s="5" t="s">
        <v>1549</v>
      </c>
      <c r="B999" s="6">
        <v>46136</v>
      </c>
      <c r="C999" s="5" t="s">
        <v>248</v>
      </c>
      <c r="D999" s="5" t="s">
        <v>48</v>
      </c>
      <c r="E999" s="5" t="s">
        <v>39</v>
      </c>
      <c r="F999" s="5" t="s">
        <v>40</v>
      </c>
      <c r="G999" s="5" t="s">
        <v>41</v>
      </c>
      <c r="H999" s="5" t="s">
        <v>415</v>
      </c>
      <c r="I999" s="5" t="s">
        <v>416</v>
      </c>
      <c r="J999" s="5" t="s">
        <v>30</v>
      </c>
      <c r="K999" s="5" t="s">
        <v>31</v>
      </c>
      <c r="L999" s="5">
        <v>4</v>
      </c>
      <c r="M999" s="5">
        <v>43501</v>
      </c>
      <c r="N999" s="5">
        <v>0</v>
      </c>
      <c r="O999" s="5">
        <v>174004</v>
      </c>
      <c r="P999" s="5">
        <v>114219.52</v>
      </c>
      <c r="Q999" s="5">
        <v>59784.480000000003</v>
      </c>
      <c r="R999" s="5" t="s">
        <v>44</v>
      </c>
      <c r="S999" s="5" t="s">
        <v>82</v>
      </c>
      <c r="T999" s="5" t="s">
        <v>73</v>
      </c>
      <c r="U999" s="5">
        <v>2</v>
      </c>
      <c r="V999" s="5" t="s">
        <v>45</v>
      </c>
    </row>
    <row r="1000" spans="1:22" x14ac:dyDescent="0.3">
      <c r="A1000" s="5" t="s">
        <v>1550</v>
      </c>
      <c r="B1000" s="6">
        <v>46155</v>
      </c>
      <c r="C1000" s="5" t="s">
        <v>175</v>
      </c>
      <c r="D1000" s="5" t="s">
        <v>24</v>
      </c>
      <c r="E1000" s="5" t="s">
        <v>25</v>
      </c>
      <c r="F1000" s="5" t="s">
        <v>26</v>
      </c>
      <c r="G1000" s="5" t="s">
        <v>27</v>
      </c>
      <c r="H1000" s="5" t="s">
        <v>759</v>
      </c>
      <c r="I1000" s="5" t="s">
        <v>760</v>
      </c>
      <c r="J1000" s="5" t="s">
        <v>71</v>
      </c>
      <c r="K1000" s="5" t="s">
        <v>72</v>
      </c>
      <c r="L1000" s="5">
        <v>3</v>
      </c>
      <c r="M1000" s="5">
        <v>60257</v>
      </c>
      <c r="N1000" s="5">
        <v>15</v>
      </c>
      <c r="O1000" s="5">
        <v>153655.35</v>
      </c>
      <c r="P1000" s="5">
        <v>120830.49</v>
      </c>
      <c r="Q1000" s="5">
        <v>32824.86</v>
      </c>
      <c r="R1000" s="5" t="s">
        <v>44</v>
      </c>
      <c r="S1000" s="5" t="s">
        <v>82</v>
      </c>
      <c r="T1000" s="5" t="s">
        <v>34</v>
      </c>
      <c r="U1000" s="5">
        <v>1</v>
      </c>
      <c r="V1000" s="5" t="s">
        <v>35</v>
      </c>
    </row>
    <row r="1001" spans="1:22" x14ac:dyDescent="0.3">
      <c r="A1001" s="5" t="s">
        <v>1551</v>
      </c>
      <c r="B1001" s="6">
        <v>46099</v>
      </c>
      <c r="C1001" s="5" t="s">
        <v>144</v>
      </c>
      <c r="D1001" s="5" t="s">
        <v>151</v>
      </c>
      <c r="E1001" s="5" t="s">
        <v>59</v>
      </c>
      <c r="F1001" s="5" t="s">
        <v>60</v>
      </c>
      <c r="G1001" s="5" t="s">
        <v>61</v>
      </c>
      <c r="H1001" s="5" t="s">
        <v>122</v>
      </c>
      <c r="I1001" s="5" t="s">
        <v>123</v>
      </c>
      <c r="J1001" s="5" t="s">
        <v>30</v>
      </c>
      <c r="K1001" s="5" t="s">
        <v>31</v>
      </c>
      <c r="L1001" s="5">
        <v>3</v>
      </c>
      <c r="M1001" s="5">
        <v>12393</v>
      </c>
      <c r="N1001" s="5">
        <v>5</v>
      </c>
      <c r="O1001" s="5">
        <v>35320.050000000003</v>
      </c>
      <c r="P1001" s="5">
        <v>28069.95</v>
      </c>
      <c r="Q1001" s="5">
        <v>7250.1</v>
      </c>
      <c r="R1001" s="5" t="s">
        <v>64</v>
      </c>
      <c r="S1001" s="5" t="s">
        <v>33</v>
      </c>
      <c r="T1001" s="5" t="s">
        <v>34</v>
      </c>
      <c r="U1001" s="5">
        <v>2</v>
      </c>
      <c r="V1001" s="5" t="s">
        <v>45</v>
      </c>
    </row>
    <row r="1002" spans="1:22" x14ac:dyDescent="0.3">
      <c r="A1002" s="5" t="s">
        <v>1552</v>
      </c>
      <c r="B1002" s="6">
        <v>46064</v>
      </c>
      <c r="C1002" s="5" t="s">
        <v>1294</v>
      </c>
      <c r="D1002" s="5" t="s">
        <v>117</v>
      </c>
      <c r="E1002" s="5" t="s">
        <v>77</v>
      </c>
      <c r="F1002" s="5" t="s">
        <v>78</v>
      </c>
      <c r="G1002" s="5" t="s">
        <v>41</v>
      </c>
      <c r="H1002" s="5" t="s">
        <v>176</v>
      </c>
      <c r="I1002" s="5" t="s">
        <v>177</v>
      </c>
      <c r="J1002" s="5" t="s">
        <v>54</v>
      </c>
      <c r="K1002" s="5" t="s">
        <v>97</v>
      </c>
      <c r="L1002" s="5">
        <v>1</v>
      </c>
      <c r="M1002" s="5">
        <v>47197</v>
      </c>
      <c r="N1002" s="5">
        <v>0</v>
      </c>
      <c r="O1002" s="5">
        <v>47197</v>
      </c>
      <c r="P1002" s="5">
        <v>35761.74</v>
      </c>
      <c r="Q1002" s="5">
        <v>11435.26</v>
      </c>
      <c r="R1002" s="5" t="s">
        <v>44</v>
      </c>
      <c r="S1002" s="5" t="s">
        <v>33</v>
      </c>
      <c r="T1002" s="5" t="s">
        <v>34</v>
      </c>
      <c r="U1002" s="5">
        <v>4</v>
      </c>
      <c r="V1002" s="5" t="s">
        <v>45</v>
      </c>
    </row>
    <row r="1003" spans="1:22" x14ac:dyDescent="0.3">
      <c r="A1003" s="5" t="s">
        <v>1553</v>
      </c>
      <c r="B1003" s="6">
        <v>46147</v>
      </c>
      <c r="C1003" s="5" t="s">
        <v>592</v>
      </c>
      <c r="D1003" s="5" t="s">
        <v>58</v>
      </c>
      <c r="E1003" s="5" t="s">
        <v>77</v>
      </c>
      <c r="F1003" s="5" t="s">
        <v>78</v>
      </c>
      <c r="G1003" s="5" t="s">
        <v>41</v>
      </c>
      <c r="H1003" s="5" t="s">
        <v>113</v>
      </c>
      <c r="I1003" s="5" t="s">
        <v>114</v>
      </c>
      <c r="J1003" s="5" t="s">
        <v>102</v>
      </c>
      <c r="K1003" s="5" t="s">
        <v>103</v>
      </c>
      <c r="L1003" s="5">
        <v>1</v>
      </c>
      <c r="M1003" s="5">
        <v>23505</v>
      </c>
      <c r="N1003" s="5">
        <v>15</v>
      </c>
      <c r="O1003" s="5">
        <v>19979.25</v>
      </c>
      <c r="P1003" s="5">
        <v>15404.57</v>
      </c>
      <c r="Q1003" s="5">
        <v>4574.68</v>
      </c>
      <c r="R1003" s="5" t="s">
        <v>64</v>
      </c>
      <c r="S1003" s="5" t="s">
        <v>82</v>
      </c>
      <c r="T1003" s="5" t="s">
        <v>73</v>
      </c>
      <c r="U1003" s="5">
        <v>2</v>
      </c>
      <c r="V1003" s="5" t="s">
        <v>45</v>
      </c>
    </row>
    <row r="1004" spans="1:22" x14ac:dyDescent="0.3">
      <c r="A1004" s="5" t="s">
        <v>1554</v>
      </c>
      <c r="B1004" s="6">
        <v>46093</v>
      </c>
      <c r="C1004" s="5" t="s">
        <v>485</v>
      </c>
      <c r="D1004" s="5" t="s">
        <v>48</v>
      </c>
      <c r="E1004" s="5" t="s">
        <v>94</v>
      </c>
      <c r="F1004" s="5" t="s">
        <v>26</v>
      </c>
      <c r="G1004" s="5" t="s">
        <v>27</v>
      </c>
      <c r="H1004" s="5" t="s">
        <v>241</v>
      </c>
      <c r="I1004" s="5" t="s">
        <v>242</v>
      </c>
      <c r="J1004" s="5" t="s">
        <v>54</v>
      </c>
      <c r="K1004" s="5" t="s">
        <v>55</v>
      </c>
      <c r="L1004" s="5">
        <v>5</v>
      </c>
      <c r="M1004" s="5">
        <v>53498</v>
      </c>
      <c r="N1004" s="5">
        <v>15</v>
      </c>
      <c r="O1004" s="5">
        <v>227366.5</v>
      </c>
      <c r="P1004" s="5">
        <v>180906.89</v>
      </c>
      <c r="Q1004" s="5">
        <v>46459.61</v>
      </c>
      <c r="R1004" s="5" t="s">
        <v>44</v>
      </c>
      <c r="S1004" s="5" t="s">
        <v>33</v>
      </c>
      <c r="T1004" s="5" t="s">
        <v>34</v>
      </c>
      <c r="U1004" s="5">
        <v>4</v>
      </c>
      <c r="V1004" s="5" t="s">
        <v>35</v>
      </c>
    </row>
    <row r="1005" spans="1:22" x14ac:dyDescent="0.3">
      <c r="A1005" s="5" t="s">
        <v>1555</v>
      </c>
      <c r="B1005" s="6">
        <v>46168</v>
      </c>
      <c r="C1005" s="5" t="s">
        <v>815</v>
      </c>
      <c r="D1005" s="5" t="s">
        <v>151</v>
      </c>
      <c r="E1005" s="5" t="s">
        <v>39</v>
      </c>
      <c r="F1005" s="5" t="s">
        <v>40</v>
      </c>
      <c r="G1005" s="5" t="s">
        <v>41</v>
      </c>
      <c r="H1005" s="5" t="s">
        <v>735</v>
      </c>
      <c r="I1005" s="5" t="s">
        <v>736</v>
      </c>
      <c r="J1005" s="5" t="s">
        <v>54</v>
      </c>
      <c r="K1005" s="5" t="s">
        <v>97</v>
      </c>
      <c r="L1005" s="5">
        <v>4</v>
      </c>
      <c r="M1005" s="5">
        <v>27852</v>
      </c>
      <c r="N1005" s="5">
        <v>15</v>
      </c>
      <c r="O1005" s="5">
        <v>94696.8</v>
      </c>
      <c r="P1005" s="5">
        <v>70228.399999999994</v>
      </c>
      <c r="Q1005" s="5">
        <v>24468.400000000001</v>
      </c>
      <c r="R1005" s="5" t="s">
        <v>44</v>
      </c>
      <c r="S1005" s="5" t="s">
        <v>82</v>
      </c>
      <c r="T1005" s="5" t="s">
        <v>34</v>
      </c>
      <c r="U1005" s="5">
        <v>5</v>
      </c>
      <c r="V1005" s="5" t="s">
        <v>35</v>
      </c>
    </row>
    <row r="1006" spans="1:22" x14ac:dyDescent="0.3">
      <c r="A1006" s="5" t="s">
        <v>1556</v>
      </c>
      <c r="B1006" s="6">
        <v>46193</v>
      </c>
      <c r="C1006" s="5" t="s">
        <v>309</v>
      </c>
      <c r="D1006" s="5" t="s">
        <v>58</v>
      </c>
      <c r="E1006" s="5" t="s">
        <v>39</v>
      </c>
      <c r="F1006" s="5" t="s">
        <v>40</v>
      </c>
      <c r="G1006" s="5" t="s">
        <v>41</v>
      </c>
      <c r="H1006" s="5" t="s">
        <v>401</v>
      </c>
      <c r="I1006" s="5" t="s">
        <v>402</v>
      </c>
      <c r="J1006" s="5" t="s">
        <v>102</v>
      </c>
      <c r="K1006" s="5" t="s">
        <v>103</v>
      </c>
      <c r="L1006" s="5">
        <v>5</v>
      </c>
      <c r="M1006" s="5">
        <v>65112</v>
      </c>
      <c r="N1006" s="5">
        <v>20</v>
      </c>
      <c r="O1006" s="5">
        <v>260448</v>
      </c>
      <c r="P1006" s="5">
        <v>213331.24</v>
      </c>
      <c r="Q1006" s="5">
        <v>47116.76</v>
      </c>
      <c r="R1006" s="5" t="s">
        <v>44</v>
      </c>
      <c r="S1006" s="5" t="s">
        <v>33</v>
      </c>
      <c r="T1006" s="5" t="s">
        <v>34</v>
      </c>
      <c r="U1006" s="5">
        <v>1</v>
      </c>
      <c r="V1006" s="5" t="s">
        <v>35</v>
      </c>
    </row>
    <row r="1007" spans="1:22" x14ac:dyDescent="0.3">
      <c r="A1007" s="5" t="s">
        <v>1557</v>
      </c>
      <c r="B1007" s="6">
        <v>46165</v>
      </c>
      <c r="C1007" s="5" t="s">
        <v>667</v>
      </c>
      <c r="D1007" s="5" t="s">
        <v>68</v>
      </c>
      <c r="E1007" s="5" t="s">
        <v>77</v>
      </c>
      <c r="F1007" s="5" t="s">
        <v>78</v>
      </c>
      <c r="G1007" s="5" t="s">
        <v>41</v>
      </c>
      <c r="H1007" s="5" t="s">
        <v>431</v>
      </c>
      <c r="I1007" s="5" t="s">
        <v>432</v>
      </c>
      <c r="J1007" s="5" t="s">
        <v>30</v>
      </c>
      <c r="K1007" s="5" t="s">
        <v>31</v>
      </c>
      <c r="L1007" s="5">
        <v>3</v>
      </c>
      <c r="M1007" s="5">
        <v>15240</v>
      </c>
      <c r="N1007" s="5">
        <v>15</v>
      </c>
      <c r="O1007" s="5">
        <v>38862</v>
      </c>
      <c r="P1007" s="5">
        <v>28539.99</v>
      </c>
      <c r="Q1007" s="5">
        <v>10322.01</v>
      </c>
      <c r="R1007" s="5" t="s">
        <v>64</v>
      </c>
      <c r="S1007" s="5" t="s">
        <v>82</v>
      </c>
      <c r="T1007" s="5" t="s">
        <v>65</v>
      </c>
      <c r="U1007" s="5">
        <v>1</v>
      </c>
      <c r="V1007" s="5" t="s">
        <v>45</v>
      </c>
    </row>
    <row r="1008" spans="1:22" x14ac:dyDescent="0.3">
      <c r="A1008" s="5" t="s">
        <v>1558</v>
      </c>
      <c r="B1008" s="6">
        <v>46153</v>
      </c>
      <c r="C1008" s="5" t="s">
        <v>962</v>
      </c>
      <c r="D1008" s="5" t="s">
        <v>38</v>
      </c>
      <c r="E1008" s="5" t="s">
        <v>25</v>
      </c>
      <c r="F1008" s="5" t="s">
        <v>26</v>
      </c>
      <c r="G1008" s="5" t="s">
        <v>27</v>
      </c>
      <c r="H1008" s="5" t="s">
        <v>363</v>
      </c>
      <c r="I1008" s="5" t="s">
        <v>364</v>
      </c>
      <c r="J1008" s="5" t="s">
        <v>54</v>
      </c>
      <c r="K1008" s="5" t="s">
        <v>55</v>
      </c>
      <c r="L1008" s="5">
        <v>1</v>
      </c>
      <c r="M1008" s="5">
        <v>52722</v>
      </c>
      <c r="N1008" s="5">
        <v>15</v>
      </c>
      <c r="O1008" s="5">
        <v>44813.7</v>
      </c>
      <c r="P1008" s="5">
        <v>35779.879999999997</v>
      </c>
      <c r="Q1008" s="5">
        <v>9033.82</v>
      </c>
      <c r="R1008" s="5" t="s">
        <v>44</v>
      </c>
      <c r="S1008" s="5" t="s">
        <v>82</v>
      </c>
      <c r="T1008" s="5" t="s">
        <v>34</v>
      </c>
      <c r="U1008" s="5">
        <v>3</v>
      </c>
      <c r="V1008" s="5" t="s">
        <v>35</v>
      </c>
    </row>
    <row r="1009" spans="1:22" x14ac:dyDescent="0.3">
      <c r="A1009" s="5" t="s">
        <v>1559</v>
      </c>
      <c r="B1009" s="6">
        <v>46058</v>
      </c>
      <c r="C1009" s="5" t="s">
        <v>1560</v>
      </c>
      <c r="D1009" s="5" t="s">
        <v>110</v>
      </c>
      <c r="E1009" s="5" t="s">
        <v>126</v>
      </c>
      <c r="F1009" s="5" t="s">
        <v>126</v>
      </c>
      <c r="G1009" s="5" t="s">
        <v>51</v>
      </c>
      <c r="H1009" s="5" t="s">
        <v>180</v>
      </c>
      <c r="I1009" s="5" t="s">
        <v>181</v>
      </c>
      <c r="J1009" s="5" t="s">
        <v>54</v>
      </c>
      <c r="K1009" s="5" t="s">
        <v>55</v>
      </c>
      <c r="L1009" s="5">
        <v>3</v>
      </c>
      <c r="M1009" s="5">
        <v>26612</v>
      </c>
      <c r="N1009" s="5">
        <v>5</v>
      </c>
      <c r="O1009" s="5">
        <v>75844.2</v>
      </c>
      <c r="P1009" s="5">
        <v>45663.54</v>
      </c>
      <c r="Q1009" s="5">
        <v>30180.66</v>
      </c>
      <c r="R1009" s="5" t="s">
        <v>32</v>
      </c>
      <c r="S1009" s="5" t="s">
        <v>82</v>
      </c>
      <c r="T1009" s="5" t="s">
        <v>34</v>
      </c>
      <c r="U1009" s="5">
        <v>3</v>
      </c>
      <c r="V1009" s="5" t="s">
        <v>35</v>
      </c>
    </row>
    <row r="1010" spans="1:22" x14ac:dyDescent="0.3">
      <c r="A1010" s="5" t="s">
        <v>1561</v>
      </c>
      <c r="B1010" s="6">
        <v>46059</v>
      </c>
      <c r="C1010" s="5" t="s">
        <v>192</v>
      </c>
      <c r="D1010" s="5" t="s">
        <v>89</v>
      </c>
      <c r="E1010" s="5" t="s">
        <v>49</v>
      </c>
      <c r="F1010" s="5" t="s">
        <v>50</v>
      </c>
      <c r="G1010" s="5" t="s">
        <v>51</v>
      </c>
      <c r="H1010" s="5" t="s">
        <v>217</v>
      </c>
      <c r="I1010" s="5" t="s">
        <v>218</v>
      </c>
      <c r="J1010" s="5" t="s">
        <v>54</v>
      </c>
      <c r="K1010" s="5" t="s">
        <v>97</v>
      </c>
      <c r="L1010" s="5">
        <v>3</v>
      </c>
      <c r="M1010" s="5">
        <v>26548</v>
      </c>
      <c r="N1010" s="5">
        <v>10</v>
      </c>
      <c r="O1010" s="5">
        <v>71679.600000000006</v>
      </c>
      <c r="P1010" s="5">
        <v>58249.07</v>
      </c>
      <c r="Q1010" s="5">
        <v>13430.53</v>
      </c>
      <c r="R1010" s="5" t="s">
        <v>32</v>
      </c>
      <c r="S1010" s="5" t="s">
        <v>33</v>
      </c>
      <c r="T1010" s="5" t="s">
        <v>65</v>
      </c>
      <c r="U1010" s="5">
        <v>3</v>
      </c>
      <c r="V1010" s="5" t="s">
        <v>35</v>
      </c>
    </row>
    <row r="1011" spans="1:22" x14ac:dyDescent="0.3">
      <c r="A1011" s="5" t="s">
        <v>1562</v>
      </c>
      <c r="B1011" s="6">
        <v>46166</v>
      </c>
      <c r="C1011" s="5" t="s">
        <v>1282</v>
      </c>
      <c r="D1011" s="5" t="s">
        <v>68</v>
      </c>
      <c r="E1011" s="5" t="s">
        <v>126</v>
      </c>
      <c r="F1011" s="5" t="s">
        <v>126</v>
      </c>
      <c r="G1011" s="5" t="s">
        <v>51</v>
      </c>
      <c r="H1011" s="5" t="s">
        <v>342</v>
      </c>
      <c r="I1011" s="5" t="s">
        <v>343</v>
      </c>
      <c r="J1011" s="5" t="s">
        <v>54</v>
      </c>
      <c r="K1011" s="5" t="s">
        <v>97</v>
      </c>
      <c r="L1011" s="5">
        <v>3</v>
      </c>
      <c r="M1011" s="5">
        <v>8055</v>
      </c>
      <c r="N1011" s="5">
        <v>15</v>
      </c>
      <c r="O1011" s="5">
        <v>20540.25</v>
      </c>
      <c r="P1011" s="5">
        <v>19790.439999999999</v>
      </c>
      <c r="Q1011" s="5">
        <v>749.81</v>
      </c>
      <c r="R1011" s="5" t="s">
        <v>64</v>
      </c>
      <c r="S1011" s="5" t="s">
        <v>33</v>
      </c>
      <c r="T1011" s="5" t="s">
        <v>73</v>
      </c>
      <c r="U1011" s="5">
        <v>1</v>
      </c>
      <c r="V1011" s="5" t="s">
        <v>45</v>
      </c>
    </row>
    <row r="1012" spans="1:22" x14ac:dyDescent="0.3">
      <c r="A1012" s="5" t="s">
        <v>1563</v>
      </c>
      <c r="B1012" s="6">
        <v>46164</v>
      </c>
      <c r="C1012" s="5" t="s">
        <v>37</v>
      </c>
      <c r="D1012" s="5" t="s">
        <v>38</v>
      </c>
      <c r="E1012" s="5" t="s">
        <v>126</v>
      </c>
      <c r="F1012" s="5" t="s">
        <v>126</v>
      </c>
      <c r="G1012" s="5" t="s">
        <v>51</v>
      </c>
      <c r="H1012" s="5" t="s">
        <v>156</v>
      </c>
      <c r="I1012" s="5" t="s">
        <v>157</v>
      </c>
      <c r="J1012" s="5" t="s">
        <v>30</v>
      </c>
      <c r="K1012" s="5" t="s">
        <v>31</v>
      </c>
      <c r="L1012" s="5">
        <v>2</v>
      </c>
      <c r="M1012" s="5">
        <v>35877</v>
      </c>
      <c r="N1012" s="5">
        <v>15</v>
      </c>
      <c r="O1012" s="5">
        <v>60990.9</v>
      </c>
      <c r="P1012" s="5">
        <v>49074.11</v>
      </c>
      <c r="Q1012" s="5">
        <v>11916.79</v>
      </c>
      <c r="R1012" s="5" t="s">
        <v>44</v>
      </c>
      <c r="S1012" s="5" t="s">
        <v>82</v>
      </c>
      <c r="T1012" s="5" t="s">
        <v>73</v>
      </c>
      <c r="U1012" s="5">
        <v>5</v>
      </c>
      <c r="V1012" s="5" t="s">
        <v>45</v>
      </c>
    </row>
    <row r="1013" spans="1:22" x14ac:dyDescent="0.3">
      <c r="A1013" s="5" t="s">
        <v>1564</v>
      </c>
      <c r="B1013" s="6">
        <v>46093</v>
      </c>
      <c r="C1013" s="5" t="s">
        <v>179</v>
      </c>
      <c r="D1013" s="5" t="s">
        <v>117</v>
      </c>
      <c r="E1013" s="5" t="s">
        <v>126</v>
      </c>
      <c r="F1013" s="5" t="s">
        <v>126</v>
      </c>
      <c r="G1013" s="5" t="s">
        <v>51</v>
      </c>
      <c r="H1013" s="5" t="s">
        <v>566</v>
      </c>
      <c r="I1013" s="5" t="s">
        <v>567</v>
      </c>
      <c r="J1013" s="5" t="s">
        <v>54</v>
      </c>
      <c r="K1013" s="5" t="s">
        <v>55</v>
      </c>
      <c r="L1013" s="5">
        <v>4</v>
      </c>
      <c r="M1013" s="5">
        <v>5300</v>
      </c>
      <c r="N1013" s="5">
        <v>0</v>
      </c>
      <c r="O1013" s="5">
        <v>21200</v>
      </c>
      <c r="P1013" s="5">
        <v>17714.27</v>
      </c>
      <c r="Q1013" s="5">
        <v>3485.73</v>
      </c>
      <c r="R1013" s="5" t="s">
        <v>44</v>
      </c>
      <c r="S1013" s="5" t="s">
        <v>33</v>
      </c>
      <c r="T1013" s="5" t="s">
        <v>65</v>
      </c>
      <c r="U1013" s="5">
        <v>2</v>
      </c>
      <c r="V1013" s="5" t="s">
        <v>35</v>
      </c>
    </row>
    <row r="1014" spans="1:22" x14ac:dyDescent="0.3">
      <c r="A1014" s="5" t="s">
        <v>1565</v>
      </c>
      <c r="B1014" s="6">
        <v>46121</v>
      </c>
      <c r="C1014" s="5" t="s">
        <v>220</v>
      </c>
      <c r="D1014" s="5" t="s">
        <v>24</v>
      </c>
      <c r="E1014" s="5" t="s">
        <v>49</v>
      </c>
      <c r="F1014" s="5" t="s">
        <v>50</v>
      </c>
      <c r="G1014" s="5" t="s">
        <v>51</v>
      </c>
      <c r="H1014" s="5" t="s">
        <v>147</v>
      </c>
      <c r="I1014" s="5" t="s">
        <v>148</v>
      </c>
      <c r="J1014" s="5" t="s">
        <v>71</v>
      </c>
      <c r="K1014" s="5" t="s">
        <v>81</v>
      </c>
      <c r="L1014" s="5">
        <v>3</v>
      </c>
      <c r="M1014" s="5">
        <v>1841</v>
      </c>
      <c r="N1014" s="5">
        <v>10</v>
      </c>
      <c r="O1014" s="5">
        <v>4970.7</v>
      </c>
      <c r="P1014" s="5">
        <v>4250.5</v>
      </c>
      <c r="Q1014" s="5">
        <v>720.2</v>
      </c>
      <c r="R1014" s="5" t="s">
        <v>44</v>
      </c>
      <c r="S1014" s="5" t="s">
        <v>33</v>
      </c>
      <c r="T1014" s="5" t="s">
        <v>65</v>
      </c>
      <c r="U1014" s="5">
        <v>3</v>
      </c>
      <c r="V1014" s="5" t="s">
        <v>35</v>
      </c>
    </row>
    <row r="1015" spans="1:22" x14ac:dyDescent="0.3">
      <c r="A1015" s="5" t="s">
        <v>1566</v>
      </c>
      <c r="B1015" s="6">
        <v>46128</v>
      </c>
      <c r="C1015" s="5" t="s">
        <v>699</v>
      </c>
      <c r="D1015" s="5" t="s">
        <v>48</v>
      </c>
      <c r="E1015" s="5" t="s">
        <v>126</v>
      </c>
      <c r="F1015" s="5" t="s">
        <v>126</v>
      </c>
      <c r="G1015" s="5" t="s">
        <v>51</v>
      </c>
      <c r="H1015" s="5" t="s">
        <v>384</v>
      </c>
      <c r="I1015" s="5" t="s">
        <v>385</v>
      </c>
      <c r="J1015" s="5" t="s">
        <v>102</v>
      </c>
      <c r="K1015" s="5" t="s">
        <v>103</v>
      </c>
      <c r="L1015" s="5">
        <v>1</v>
      </c>
      <c r="M1015" s="5">
        <v>12932</v>
      </c>
      <c r="N1015" s="5">
        <v>15</v>
      </c>
      <c r="O1015" s="5">
        <v>10992.2</v>
      </c>
      <c r="P1015" s="5">
        <v>7127.88</v>
      </c>
      <c r="Q1015" s="5">
        <v>3864.32</v>
      </c>
      <c r="R1015" s="5" t="s">
        <v>32</v>
      </c>
      <c r="S1015" s="5" t="s">
        <v>82</v>
      </c>
      <c r="T1015" s="5" t="s">
        <v>34</v>
      </c>
      <c r="U1015" s="5">
        <v>5</v>
      </c>
      <c r="V1015" s="5" t="s">
        <v>45</v>
      </c>
    </row>
    <row r="1016" spans="1:22" x14ac:dyDescent="0.3">
      <c r="A1016" s="5" t="s">
        <v>1567</v>
      </c>
      <c r="B1016" s="6">
        <v>46086</v>
      </c>
      <c r="C1016" s="5" t="s">
        <v>171</v>
      </c>
      <c r="D1016" s="5" t="s">
        <v>89</v>
      </c>
      <c r="E1016" s="5" t="s">
        <v>126</v>
      </c>
      <c r="F1016" s="5" t="s">
        <v>126</v>
      </c>
      <c r="G1016" s="5" t="s">
        <v>51</v>
      </c>
      <c r="H1016" s="5" t="s">
        <v>253</v>
      </c>
      <c r="I1016" s="5" t="s">
        <v>254</v>
      </c>
      <c r="J1016" s="5" t="s">
        <v>54</v>
      </c>
      <c r="K1016" s="5" t="s">
        <v>55</v>
      </c>
      <c r="L1016" s="5">
        <v>3</v>
      </c>
      <c r="M1016" s="5">
        <v>2289</v>
      </c>
      <c r="N1016" s="5">
        <v>5</v>
      </c>
      <c r="O1016" s="5">
        <v>6523.65</v>
      </c>
      <c r="P1016" s="5">
        <v>4680.7299999999996</v>
      </c>
      <c r="Q1016" s="5">
        <v>1842.92</v>
      </c>
      <c r="R1016" s="5" t="s">
        <v>44</v>
      </c>
      <c r="S1016" s="5" t="s">
        <v>33</v>
      </c>
      <c r="T1016" s="5" t="s">
        <v>34</v>
      </c>
      <c r="U1016" s="5">
        <v>1</v>
      </c>
      <c r="V1016" s="5" t="s">
        <v>45</v>
      </c>
    </row>
    <row r="1017" spans="1:22" x14ac:dyDescent="0.3">
      <c r="A1017" s="5" t="s">
        <v>1568</v>
      </c>
      <c r="B1017" s="6">
        <v>46183</v>
      </c>
      <c r="C1017" s="5" t="s">
        <v>223</v>
      </c>
      <c r="D1017" s="5" t="s">
        <v>38</v>
      </c>
      <c r="E1017" s="5" t="s">
        <v>25</v>
      </c>
      <c r="F1017" s="5" t="s">
        <v>26</v>
      </c>
      <c r="G1017" s="5" t="s">
        <v>27</v>
      </c>
      <c r="H1017" s="5" t="s">
        <v>504</v>
      </c>
      <c r="I1017" s="5" t="s">
        <v>505</v>
      </c>
      <c r="J1017" s="5" t="s">
        <v>54</v>
      </c>
      <c r="K1017" s="5" t="s">
        <v>55</v>
      </c>
      <c r="L1017" s="5">
        <v>5</v>
      </c>
      <c r="M1017" s="5">
        <v>27515</v>
      </c>
      <c r="N1017" s="5">
        <v>10</v>
      </c>
      <c r="O1017" s="5">
        <v>123817.5</v>
      </c>
      <c r="P1017" s="5">
        <v>109248.42</v>
      </c>
      <c r="Q1017" s="5">
        <v>14569.08</v>
      </c>
      <c r="R1017" s="5" t="s">
        <v>44</v>
      </c>
      <c r="S1017" s="5" t="s">
        <v>82</v>
      </c>
      <c r="T1017" s="5" t="s">
        <v>73</v>
      </c>
      <c r="U1017" s="5">
        <v>4</v>
      </c>
      <c r="V1017" s="5" t="s">
        <v>45</v>
      </c>
    </row>
    <row r="1018" spans="1:22" x14ac:dyDescent="0.3">
      <c r="A1018" s="5" t="s">
        <v>1569</v>
      </c>
      <c r="B1018" s="6">
        <v>46151</v>
      </c>
      <c r="C1018" s="5" t="s">
        <v>494</v>
      </c>
      <c r="D1018" s="5" t="s">
        <v>68</v>
      </c>
      <c r="E1018" s="5" t="s">
        <v>126</v>
      </c>
      <c r="F1018" s="5" t="s">
        <v>126</v>
      </c>
      <c r="G1018" s="5" t="s">
        <v>51</v>
      </c>
      <c r="H1018" s="5" t="s">
        <v>106</v>
      </c>
      <c r="I1018" s="5" t="s">
        <v>107</v>
      </c>
      <c r="J1018" s="5" t="s">
        <v>30</v>
      </c>
      <c r="K1018" s="5" t="s">
        <v>31</v>
      </c>
      <c r="L1018" s="5">
        <v>3</v>
      </c>
      <c r="M1018" s="5">
        <v>32055</v>
      </c>
      <c r="N1018" s="5">
        <v>0</v>
      </c>
      <c r="O1018" s="5">
        <v>96165</v>
      </c>
      <c r="P1018" s="5">
        <v>62585.97</v>
      </c>
      <c r="Q1018" s="5">
        <v>33579.03</v>
      </c>
      <c r="R1018" s="5" t="s">
        <v>44</v>
      </c>
      <c r="S1018" s="5" t="s">
        <v>33</v>
      </c>
      <c r="T1018" s="5" t="s">
        <v>34</v>
      </c>
      <c r="U1018" s="5">
        <v>1</v>
      </c>
      <c r="V1018" s="5" t="s">
        <v>35</v>
      </c>
    </row>
    <row r="1019" spans="1:22" x14ac:dyDescent="0.3">
      <c r="A1019" s="5" t="s">
        <v>1570</v>
      </c>
      <c r="B1019" s="6">
        <v>46109</v>
      </c>
      <c r="C1019" s="5" t="s">
        <v>516</v>
      </c>
      <c r="D1019" s="5" t="s">
        <v>117</v>
      </c>
      <c r="E1019" s="5" t="s">
        <v>49</v>
      </c>
      <c r="F1019" s="5" t="s">
        <v>50</v>
      </c>
      <c r="G1019" s="5" t="s">
        <v>51</v>
      </c>
      <c r="H1019" s="5" t="s">
        <v>28</v>
      </c>
      <c r="I1019" s="5" t="s">
        <v>29</v>
      </c>
      <c r="J1019" s="5" t="s">
        <v>30</v>
      </c>
      <c r="K1019" s="5" t="s">
        <v>31</v>
      </c>
      <c r="L1019" s="5">
        <v>2</v>
      </c>
      <c r="M1019" s="5">
        <v>46920</v>
      </c>
      <c r="N1019" s="5">
        <v>15</v>
      </c>
      <c r="O1019" s="5">
        <v>79764</v>
      </c>
      <c r="P1019" s="5">
        <v>59050.76</v>
      </c>
      <c r="Q1019" s="5">
        <v>20713.240000000002</v>
      </c>
      <c r="R1019" s="5" t="s">
        <v>64</v>
      </c>
      <c r="S1019" s="5" t="s">
        <v>33</v>
      </c>
      <c r="T1019" s="5" t="s">
        <v>65</v>
      </c>
      <c r="U1019" s="5">
        <v>4</v>
      </c>
      <c r="V1019" s="5" t="s">
        <v>35</v>
      </c>
    </row>
    <row r="1020" spans="1:22" x14ac:dyDescent="0.3">
      <c r="A1020" s="5" t="s">
        <v>1571</v>
      </c>
      <c r="B1020" s="6">
        <v>46094</v>
      </c>
      <c r="C1020" s="5" t="s">
        <v>656</v>
      </c>
      <c r="D1020" s="5" t="s">
        <v>89</v>
      </c>
      <c r="E1020" s="5" t="s">
        <v>77</v>
      </c>
      <c r="F1020" s="5" t="s">
        <v>78</v>
      </c>
      <c r="G1020" s="5" t="s">
        <v>41</v>
      </c>
      <c r="H1020" s="5" t="s">
        <v>141</v>
      </c>
      <c r="I1020" s="5" t="s">
        <v>142</v>
      </c>
      <c r="J1020" s="5" t="s">
        <v>71</v>
      </c>
      <c r="K1020" s="5" t="s">
        <v>81</v>
      </c>
      <c r="L1020" s="5">
        <v>1</v>
      </c>
      <c r="M1020" s="5">
        <v>32027</v>
      </c>
      <c r="N1020" s="5">
        <v>5</v>
      </c>
      <c r="O1020" s="5">
        <v>30425.65</v>
      </c>
      <c r="P1020" s="5">
        <v>26927.06</v>
      </c>
      <c r="Q1020" s="5">
        <v>3498.59</v>
      </c>
      <c r="R1020" s="5" t="s">
        <v>32</v>
      </c>
      <c r="S1020" s="5" t="s">
        <v>33</v>
      </c>
      <c r="T1020" s="5" t="s">
        <v>34</v>
      </c>
      <c r="U1020" s="5">
        <v>1</v>
      </c>
      <c r="V1020" s="5" t="s">
        <v>45</v>
      </c>
    </row>
    <row r="1021" spans="1:22" x14ac:dyDescent="0.3">
      <c r="A1021" s="5" t="s">
        <v>1572</v>
      </c>
      <c r="B1021" s="6">
        <v>46110</v>
      </c>
      <c r="C1021" s="5" t="s">
        <v>1066</v>
      </c>
      <c r="D1021" s="5" t="s">
        <v>110</v>
      </c>
      <c r="E1021" s="5" t="s">
        <v>25</v>
      </c>
      <c r="F1021" s="5" t="s">
        <v>26</v>
      </c>
      <c r="G1021" s="5" t="s">
        <v>27</v>
      </c>
      <c r="H1021" s="5" t="s">
        <v>62</v>
      </c>
      <c r="I1021" s="5" t="s">
        <v>63</v>
      </c>
      <c r="J1021" s="5" t="s">
        <v>54</v>
      </c>
      <c r="K1021" s="5" t="s">
        <v>55</v>
      </c>
      <c r="L1021" s="5">
        <v>5</v>
      </c>
      <c r="M1021" s="5">
        <v>23606</v>
      </c>
      <c r="N1021" s="5">
        <v>0</v>
      </c>
      <c r="O1021" s="5">
        <v>118030</v>
      </c>
      <c r="P1021" s="5">
        <v>66480.42</v>
      </c>
      <c r="Q1021" s="5">
        <v>51549.58</v>
      </c>
      <c r="R1021" s="5" t="s">
        <v>64</v>
      </c>
      <c r="S1021" s="5" t="s">
        <v>33</v>
      </c>
      <c r="T1021" s="5" t="s">
        <v>34</v>
      </c>
      <c r="U1021" s="5">
        <v>1</v>
      </c>
      <c r="V1021" s="5" t="s">
        <v>45</v>
      </c>
    </row>
    <row r="1022" spans="1:22" x14ac:dyDescent="0.3">
      <c r="A1022" s="5" t="s">
        <v>1573</v>
      </c>
      <c r="B1022" s="6">
        <v>46028</v>
      </c>
      <c r="C1022" s="5" t="s">
        <v>675</v>
      </c>
      <c r="D1022" s="5" t="s">
        <v>38</v>
      </c>
      <c r="E1022" s="5" t="s">
        <v>94</v>
      </c>
      <c r="F1022" s="5" t="s">
        <v>26</v>
      </c>
      <c r="G1022" s="5" t="s">
        <v>27</v>
      </c>
      <c r="H1022" s="5" t="s">
        <v>1365</v>
      </c>
      <c r="I1022" s="5" t="s">
        <v>1366</v>
      </c>
      <c r="J1022" s="5" t="s">
        <v>54</v>
      </c>
      <c r="K1022" s="5" t="s">
        <v>97</v>
      </c>
      <c r="L1022" s="5">
        <v>2</v>
      </c>
      <c r="M1022" s="5">
        <v>22257</v>
      </c>
      <c r="N1022" s="5">
        <v>15</v>
      </c>
      <c r="O1022" s="5">
        <v>37836.9</v>
      </c>
      <c r="P1022" s="5">
        <v>28528.1</v>
      </c>
      <c r="Q1022" s="5">
        <v>9308.7999999999993</v>
      </c>
      <c r="R1022" s="5" t="s">
        <v>32</v>
      </c>
      <c r="S1022" s="5" t="s">
        <v>82</v>
      </c>
      <c r="T1022" s="5" t="s">
        <v>65</v>
      </c>
      <c r="U1022" s="5">
        <v>4</v>
      </c>
      <c r="V1022" s="5" t="s">
        <v>35</v>
      </c>
    </row>
    <row r="1023" spans="1:22" x14ac:dyDescent="0.3">
      <c r="A1023" s="5" t="s">
        <v>1574</v>
      </c>
      <c r="B1023" s="6">
        <v>46103</v>
      </c>
      <c r="C1023" s="5" t="s">
        <v>1158</v>
      </c>
      <c r="D1023" s="5" t="s">
        <v>151</v>
      </c>
      <c r="E1023" s="5" t="s">
        <v>77</v>
      </c>
      <c r="F1023" s="5" t="s">
        <v>78</v>
      </c>
      <c r="G1023" s="5" t="s">
        <v>41</v>
      </c>
      <c r="H1023" s="5" t="s">
        <v>1365</v>
      </c>
      <c r="I1023" s="5" t="s">
        <v>1366</v>
      </c>
      <c r="J1023" s="5" t="s">
        <v>54</v>
      </c>
      <c r="K1023" s="5" t="s">
        <v>97</v>
      </c>
      <c r="L1023" s="5">
        <v>1</v>
      </c>
      <c r="M1023" s="5">
        <v>45018</v>
      </c>
      <c r="N1023" s="5">
        <v>20</v>
      </c>
      <c r="O1023" s="5">
        <v>36014.400000000001</v>
      </c>
      <c r="P1023" s="5">
        <v>37965.39</v>
      </c>
      <c r="Q1023" s="5">
        <v>-1950.99</v>
      </c>
      <c r="R1023" s="5" t="s">
        <v>32</v>
      </c>
      <c r="S1023" s="5" t="s">
        <v>33</v>
      </c>
      <c r="T1023" s="5" t="s">
        <v>34</v>
      </c>
      <c r="U1023" s="5">
        <v>3</v>
      </c>
      <c r="V1023" s="5" t="s">
        <v>35</v>
      </c>
    </row>
    <row r="1024" spans="1:22" x14ac:dyDescent="0.3">
      <c r="A1024" s="5" t="s">
        <v>1575</v>
      </c>
      <c r="B1024" s="6">
        <v>46110</v>
      </c>
      <c r="C1024" s="5" t="s">
        <v>1282</v>
      </c>
      <c r="D1024" s="5" t="s">
        <v>58</v>
      </c>
      <c r="E1024" s="5" t="s">
        <v>25</v>
      </c>
      <c r="F1024" s="5" t="s">
        <v>26</v>
      </c>
      <c r="G1024" s="5" t="s">
        <v>27</v>
      </c>
      <c r="H1024" s="5" t="s">
        <v>299</v>
      </c>
      <c r="I1024" s="5" t="s">
        <v>300</v>
      </c>
      <c r="J1024" s="5" t="s">
        <v>71</v>
      </c>
      <c r="K1024" s="5" t="s">
        <v>72</v>
      </c>
      <c r="L1024" s="5">
        <v>4</v>
      </c>
      <c r="M1024" s="5">
        <v>28437</v>
      </c>
      <c r="N1024" s="5">
        <v>15</v>
      </c>
      <c r="O1024" s="5">
        <v>96685.8</v>
      </c>
      <c r="P1024" s="5">
        <v>78021.320000000007</v>
      </c>
      <c r="Q1024" s="5">
        <v>18664.48</v>
      </c>
      <c r="R1024" s="5" t="s">
        <v>64</v>
      </c>
      <c r="S1024" s="5" t="s">
        <v>33</v>
      </c>
      <c r="T1024" s="5" t="s">
        <v>34</v>
      </c>
      <c r="U1024" s="5">
        <v>4</v>
      </c>
      <c r="V1024" s="5" t="s">
        <v>35</v>
      </c>
    </row>
    <row r="1025" spans="1:22" x14ac:dyDescent="0.3">
      <c r="A1025" s="5" t="s">
        <v>1576</v>
      </c>
      <c r="B1025" s="6">
        <v>46143</v>
      </c>
      <c r="C1025" s="5" t="s">
        <v>585</v>
      </c>
      <c r="D1025" s="5" t="s">
        <v>38</v>
      </c>
      <c r="E1025" s="5" t="s">
        <v>25</v>
      </c>
      <c r="F1025" s="5" t="s">
        <v>26</v>
      </c>
      <c r="G1025" s="5" t="s">
        <v>27</v>
      </c>
      <c r="H1025" s="5" t="s">
        <v>678</v>
      </c>
      <c r="I1025" s="5" t="s">
        <v>679</v>
      </c>
      <c r="J1025" s="5" t="s">
        <v>54</v>
      </c>
      <c r="K1025" s="5" t="s">
        <v>55</v>
      </c>
      <c r="L1025" s="5">
        <v>5</v>
      </c>
      <c r="M1025" s="5">
        <v>49950</v>
      </c>
      <c r="N1025" s="5">
        <v>15</v>
      </c>
      <c r="O1025" s="5">
        <v>212287.5</v>
      </c>
      <c r="P1025" s="5">
        <v>144160.76</v>
      </c>
      <c r="Q1025" s="5">
        <v>68126.740000000005</v>
      </c>
      <c r="R1025" s="5" t="s">
        <v>64</v>
      </c>
      <c r="S1025" s="5" t="s">
        <v>82</v>
      </c>
      <c r="T1025" s="5" t="s">
        <v>34</v>
      </c>
      <c r="U1025" s="5">
        <v>4</v>
      </c>
      <c r="V1025" s="5" t="s">
        <v>45</v>
      </c>
    </row>
    <row r="1026" spans="1:22" x14ac:dyDescent="0.3">
      <c r="A1026" s="5" t="s">
        <v>1577</v>
      </c>
      <c r="B1026" s="6">
        <v>46152</v>
      </c>
      <c r="C1026" s="5" t="s">
        <v>1432</v>
      </c>
      <c r="D1026" s="5" t="s">
        <v>48</v>
      </c>
      <c r="E1026" s="5" t="s">
        <v>77</v>
      </c>
      <c r="F1026" s="5" t="s">
        <v>78</v>
      </c>
      <c r="G1026" s="5" t="s">
        <v>41</v>
      </c>
      <c r="H1026" s="5" t="s">
        <v>762</v>
      </c>
      <c r="I1026" s="5" t="s">
        <v>763</v>
      </c>
      <c r="J1026" s="5" t="s">
        <v>54</v>
      </c>
      <c r="K1026" s="5" t="s">
        <v>55</v>
      </c>
      <c r="L1026" s="5">
        <v>4</v>
      </c>
      <c r="M1026" s="5">
        <v>67938</v>
      </c>
      <c r="N1026" s="5">
        <v>5</v>
      </c>
      <c r="O1026" s="5">
        <v>258164.4</v>
      </c>
      <c r="P1026" s="5">
        <v>220251.46</v>
      </c>
      <c r="Q1026" s="5">
        <v>37912.94</v>
      </c>
      <c r="R1026" s="5" t="s">
        <v>32</v>
      </c>
      <c r="S1026" s="5" t="s">
        <v>33</v>
      </c>
      <c r="T1026" s="5" t="s">
        <v>73</v>
      </c>
      <c r="U1026" s="5">
        <v>5</v>
      </c>
      <c r="V1026" s="5" t="s">
        <v>45</v>
      </c>
    </row>
    <row r="1027" spans="1:22" x14ac:dyDescent="0.3">
      <c r="A1027" s="5" t="s">
        <v>1578</v>
      </c>
      <c r="B1027" s="6">
        <v>46093</v>
      </c>
      <c r="C1027" s="5" t="s">
        <v>540</v>
      </c>
      <c r="D1027" s="5" t="s">
        <v>76</v>
      </c>
      <c r="E1027" s="5" t="s">
        <v>25</v>
      </c>
      <c r="F1027" s="5" t="s">
        <v>26</v>
      </c>
      <c r="G1027" s="5" t="s">
        <v>27</v>
      </c>
      <c r="H1027" s="5" t="s">
        <v>176</v>
      </c>
      <c r="I1027" s="5" t="s">
        <v>177</v>
      </c>
      <c r="J1027" s="5" t="s">
        <v>54</v>
      </c>
      <c r="K1027" s="5" t="s">
        <v>97</v>
      </c>
      <c r="L1027" s="5">
        <v>3</v>
      </c>
      <c r="M1027" s="5">
        <v>3557</v>
      </c>
      <c r="N1027" s="5">
        <v>5</v>
      </c>
      <c r="O1027" s="5">
        <v>10137.450000000001</v>
      </c>
      <c r="P1027" s="5">
        <v>8461.07</v>
      </c>
      <c r="Q1027" s="5">
        <v>1676.38</v>
      </c>
      <c r="R1027" s="5" t="s">
        <v>64</v>
      </c>
      <c r="S1027" s="5" t="s">
        <v>82</v>
      </c>
      <c r="T1027" s="5" t="s">
        <v>73</v>
      </c>
      <c r="U1027" s="5">
        <v>2</v>
      </c>
      <c r="V1027" s="5" t="s">
        <v>35</v>
      </c>
    </row>
    <row r="1028" spans="1:22" x14ac:dyDescent="0.3">
      <c r="A1028" s="5" t="s">
        <v>1579</v>
      </c>
      <c r="B1028" s="6">
        <v>46085</v>
      </c>
      <c r="C1028" s="5" t="s">
        <v>292</v>
      </c>
      <c r="D1028" s="5" t="s">
        <v>151</v>
      </c>
      <c r="E1028" s="5" t="s">
        <v>59</v>
      </c>
      <c r="F1028" s="5" t="s">
        <v>60</v>
      </c>
      <c r="G1028" s="5" t="s">
        <v>61</v>
      </c>
      <c r="H1028" s="5" t="s">
        <v>241</v>
      </c>
      <c r="I1028" s="5" t="s">
        <v>242</v>
      </c>
      <c r="J1028" s="5" t="s">
        <v>54</v>
      </c>
      <c r="K1028" s="5" t="s">
        <v>55</v>
      </c>
      <c r="L1028" s="5">
        <v>5</v>
      </c>
      <c r="M1028" s="5">
        <v>31560</v>
      </c>
      <c r="N1028" s="5">
        <v>5</v>
      </c>
      <c r="O1028" s="5">
        <v>149910</v>
      </c>
      <c r="P1028" s="5">
        <v>125240.69</v>
      </c>
      <c r="Q1028" s="5">
        <v>24669.31</v>
      </c>
      <c r="R1028" s="5" t="s">
        <v>32</v>
      </c>
      <c r="S1028" s="5" t="s">
        <v>82</v>
      </c>
      <c r="T1028" s="5" t="s">
        <v>34</v>
      </c>
      <c r="U1028" s="5">
        <v>3</v>
      </c>
      <c r="V1028" s="5" t="s">
        <v>35</v>
      </c>
    </row>
    <row r="1029" spans="1:22" x14ac:dyDescent="0.3">
      <c r="A1029" s="5" t="s">
        <v>1580</v>
      </c>
      <c r="B1029" s="6">
        <v>46163</v>
      </c>
      <c r="C1029" s="5" t="s">
        <v>501</v>
      </c>
      <c r="D1029" s="5" t="s">
        <v>89</v>
      </c>
      <c r="E1029" s="5" t="s">
        <v>39</v>
      </c>
      <c r="F1029" s="5" t="s">
        <v>40</v>
      </c>
      <c r="G1029" s="5" t="s">
        <v>41</v>
      </c>
      <c r="H1029" s="5" t="s">
        <v>1365</v>
      </c>
      <c r="I1029" s="5" t="s">
        <v>1366</v>
      </c>
      <c r="J1029" s="5" t="s">
        <v>54</v>
      </c>
      <c r="K1029" s="5" t="s">
        <v>97</v>
      </c>
      <c r="L1029" s="5">
        <v>3</v>
      </c>
      <c r="M1029" s="5">
        <v>48750</v>
      </c>
      <c r="N1029" s="5">
        <v>20</v>
      </c>
      <c r="O1029" s="5">
        <v>117000</v>
      </c>
      <c r="P1029" s="5">
        <v>110266.98</v>
      </c>
      <c r="Q1029" s="5">
        <v>6733.02</v>
      </c>
      <c r="R1029" s="5" t="s">
        <v>64</v>
      </c>
      <c r="S1029" s="5" t="s">
        <v>33</v>
      </c>
      <c r="T1029" s="5" t="s">
        <v>34</v>
      </c>
      <c r="U1029" s="5">
        <v>4</v>
      </c>
      <c r="V1029" s="5" t="s">
        <v>35</v>
      </c>
    </row>
    <row r="1030" spans="1:22" x14ac:dyDescent="0.3">
      <c r="A1030" s="5" t="s">
        <v>1581</v>
      </c>
      <c r="B1030" s="6">
        <v>46060</v>
      </c>
      <c r="C1030" s="5" t="s">
        <v>778</v>
      </c>
      <c r="D1030" s="5" t="s">
        <v>24</v>
      </c>
      <c r="E1030" s="5" t="s">
        <v>59</v>
      </c>
      <c r="F1030" s="5" t="s">
        <v>60</v>
      </c>
      <c r="G1030" s="5" t="s">
        <v>61</v>
      </c>
      <c r="H1030" s="5" t="s">
        <v>306</v>
      </c>
      <c r="I1030" s="5" t="s">
        <v>307</v>
      </c>
      <c r="J1030" s="5" t="s">
        <v>71</v>
      </c>
      <c r="K1030" s="5" t="s">
        <v>81</v>
      </c>
      <c r="L1030" s="5">
        <v>1</v>
      </c>
      <c r="M1030" s="5">
        <v>23190</v>
      </c>
      <c r="N1030" s="5">
        <v>10</v>
      </c>
      <c r="O1030" s="5">
        <v>20871</v>
      </c>
      <c r="P1030" s="5">
        <v>18453.25</v>
      </c>
      <c r="Q1030" s="5">
        <v>2417.75</v>
      </c>
      <c r="R1030" s="5" t="s">
        <v>44</v>
      </c>
      <c r="S1030" s="5" t="s">
        <v>82</v>
      </c>
      <c r="T1030" s="5" t="s">
        <v>73</v>
      </c>
      <c r="U1030" s="5">
        <v>4</v>
      </c>
      <c r="V1030" s="5" t="s">
        <v>35</v>
      </c>
    </row>
    <row r="1031" spans="1:22" x14ac:dyDescent="0.3">
      <c r="A1031" s="5" t="s">
        <v>1582</v>
      </c>
      <c r="B1031" s="6">
        <v>46192</v>
      </c>
      <c r="C1031" s="5" t="s">
        <v>861</v>
      </c>
      <c r="D1031" s="5" t="s">
        <v>151</v>
      </c>
      <c r="E1031" s="5" t="s">
        <v>25</v>
      </c>
      <c r="F1031" s="5" t="s">
        <v>26</v>
      </c>
      <c r="G1031" s="5" t="s">
        <v>27</v>
      </c>
      <c r="H1031" s="5" t="s">
        <v>1359</v>
      </c>
      <c r="I1031" s="5" t="s">
        <v>1360</v>
      </c>
      <c r="J1031" s="5" t="s">
        <v>71</v>
      </c>
      <c r="K1031" s="5" t="s">
        <v>72</v>
      </c>
      <c r="L1031" s="5">
        <v>3</v>
      </c>
      <c r="M1031" s="5">
        <v>6611</v>
      </c>
      <c r="N1031" s="5">
        <v>5</v>
      </c>
      <c r="O1031" s="5">
        <v>18841.349999999999</v>
      </c>
      <c r="P1031" s="5">
        <v>11947.74</v>
      </c>
      <c r="Q1031" s="5">
        <v>6893.61</v>
      </c>
      <c r="R1031" s="5" t="s">
        <v>64</v>
      </c>
      <c r="S1031" s="5" t="s">
        <v>82</v>
      </c>
      <c r="T1031" s="5" t="s">
        <v>73</v>
      </c>
      <c r="U1031" s="5">
        <v>2</v>
      </c>
      <c r="V1031" s="5" t="s">
        <v>45</v>
      </c>
    </row>
    <row r="1032" spans="1:22" x14ac:dyDescent="0.3">
      <c r="A1032" s="5" t="s">
        <v>1583</v>
      </c>
      <c r="B1032" s="6">
        <v>46094</v>
      </c>
      <c r="C1032" s="5" t="s">
        <v>552</v>
      </c>
      <c r="D1032" s="5" t="s">
        <v>110</v>
      </c>
      <c r="E1032" s="5" t="s">
        <v>25</v>
      </c>
      <c r="F1032" s="5" t="s">
        <v>26</v>
      </c>
      <c r="G1032" s="5" t="s">
        <v>27</v>
      </c>
      <c r="H1032" s="5" t="s">
        <v>210</v>
      </c>
      <c r="I1032" s="5" t="s">
        <v>211</v>
      </c>
      <c r="J1032" s="5" t="s">
        <v>102</v>
      </c>
      <c r="K1032" s="5" t="s">
        <v>103</v>
      </c>
      <c r="L1032" s="5">
        <v>1</v>
      </c>
      <c r="M1032" s="5">
        <v>26107</v>
      </c>
      <c r="N1032" s="5">
        <v>15</v>
      </c>
      <c r="O1032" s="5">
        <v>22190.95</v>
      </c>
      <c r="P1032" s="5">
        <v>17323.23</v>
      </c>
      <c r="Q1032" s="5">
        <v>4867.72</v>
      </c>
      <c r="R1032" s="5" t="s">
        <v>44</v>
      </c>
      <c r="S1032" s="5" t="s">
        <v>82</v>
      </c>
      <c r="T1032" s="5" t="s">
        <v>73</v>
      </c>
      <c r="U1032" s="5">
        <v>1</v>
      </c>
      <c r="V1032" s="5" t="s">
        <v>45</v>
      </c>
    </row>
    <row r="1033" spans="1:22" x14ac:dyDescent="0.3">
      <c r="A1033" s="5" t="s">
        <v>1584</v>
      </c>
      <c r="B1033" s="6">
        <v>46114</v>
      </c>
      <c r="C1033" s="5" t="s">
        <v>751</v>
      </c>
      <c r="D1033" s="5" t="s">
        <v>117</v>
      </c>
      <c r="E1033" s="5" t="s">
        <v>59</v>
      </c>
      <c r="F1033" s="5" t="s">
        <v>60</v>
      </c>
      <c r="G1033" s="5" t="s">
        <v>61</v>
      </c>
      <c r="H1033" s="5" t="s">
        <v>62</v>
      </c>
      <c r="I1033" s="5" t="s">
        <v>63</v>
      </c>
      <c r="J1033" s="5" t="s">
        <v>54</v>
      </c>
      <c r="K1033" s="5" t="s">
        <v>55</v>
      </c>
      <c r="L1033" s="5">
        <v>4</v>
      </c>
      <c r="M1033" s="5">
        <v>30778</v>
      </c>
      <c r="N1033" s="5">
        <v>20</v>
      </c>
      <c r="O1033" s="5">
        <v>98489.600000000006</v>
      </c>
      <c r="P1033" s="5">
        <v>92428.37</v>
      </c>
      <c r="Q1033" s="5">
        <v>6061.23</v>
      </c>
      <c r="R1033" s="5" t="s">
        <v>64</v>
      </c>
      <c r="S1033" s="5" t="s">
        <v>82</v>
      </c>
      <c r="T1033" s="5" t="s">
        <v>65</v>
      </c>
      <c r="U1033" s="5">
        <v>1</v>
      </c>
      <c r="V1033" s="5" t="s">
        <v>45</v>
      </c>
    </row>
    <row r="1034" spans="1:22" x14ac:dyDescent="0.3">
      <c r="A1034" s="5" t="s">
        <v>1585</v>
      </c>
      <c r="B1034" s="6">
        <v>46107</v>
      </c>
      <c r="C1034" s="5" t="s">
        <v>250</v>
      </c>
      <c r="D1034" s="5" t="s">
        <v>151</v>
      </c>
      <c r="E1034" s="5" t="s">
        <v>49</v>
      </c>
      <c r="F1034" s="5" t="s">
        <v>50</v>
      </c>
      <c r="G1034" s="5" t="s">
        <v>51</v>
      </c>
      <c r="H1034" s="5" t="s">
        <v>1365</v>
      </c>
      <c r="I1034" s="5" t="s">
        <v>1366</v>
      </c>
      <c r="J1034" s="5" t="s">
        <v>54</v>
      </c>
      <c r="K1034" s="5" t="s">
        <v>97</v>
      </c>
      <c r="L1034" s="5">
        <v>2</v>
      </c>
      <c r="M1034" s="5">
        <v>77573</v>
      </c>
      <c r="N1034" s="5">
        <v>10</v>
      </c>
      <c r="O1034" s="5">
        <v>139631.4</v>
      </c>
      <c r="P1034" s="5">
        <v>118428.98</v>
      </c>
      <c r="Q1034" s="5">
        <v>21202.42</v>
      </c>
      <c r="R1034" s="5" t="s">
        <v>32</v>
      </c>
      <c r="S1034" s="5" t="s">
        <v>33</v>
      </c>
      <c r="T1034" s="5" t="s">
        <v>73</v>
      </c>
      <c r="U1034" s="5">
        <v>4</v>
      </c>
      <c r="V1034" s="5" t="s">
        <v>35</v>
      </c>
    </row>
    <row r="1035" spans="1:22" x14ac:dyDescent="0.3">
      <c r="A1035" s="5" t="s">
        <v>1586</v>
      </c>
      <c r="B1035" s="6">
        <v>46188</v>
      </c>
      <c r="C1035" s="5" t="s">
        <v>187</v>
      </c>
      <c r="D1035" s="5" t="s">
        <v>89</v>
      </c>
      <c r="E1035" s="5" t="s">
        <v>39</v>
      </c>
      <c r="F1035" s="5" t="s">
        <v>40</v>
      </c>
      <c r="G1035" s="5" t="s">
        <v>41</v>
      </c>
      <c r="H1035" s="5" t="s">
        <v>210</v>
      </c>
      <c r="I1035" s="5" t="s">
        <v>211</v>
      </c>
      <c r="J1035" s="5" t="s">
        <v>102</v>
      </c>
      <c r="K1035" s="5" t="s">
        <v>103</v>
      </c>
      <c r="L1035" s="5">
        <v>4</v>
      </c>
      <c r="M1035" s="5">
        <v>39095</v>
      </c>
      <c r="N1035" s="5">
        <v>5</v>
      </c>
      <c r="O1035" s="5">
        <v>148561</v>
      </c>
      <c r="P1035" s="5">
        <v>116297.17</v>
      </c>
      <c r="Q1035" s="5">
        <v>32263.83</v>
      </c>
      <c r="R1035" s="5" t="s">
        <v>32</v>
      </c>
      <c r="S1035" s="5" t="s">
        <v>82</v>
      </c>
      <c r="T1035" s="5" t="s">
        <v>73</v>
      </c>
      <c r="U1035" s="5">
        <v>3</v>
      </c>
      <c r="V1035" s="5" t="s">
        <v>35</v>
      </c>
    </row>
    <row r="1036" spans="1:22" x14ac:dyDescent="0.3">
      <c r="A1036" s="5" t="s">
        <v>1587</v>
      </c>
      <c r="B1036" s="6">
        <v>46184</v>
      </c>
      <c r="C1036" s="5" t="s">
        <v>829</v>
      </c>
      <c r="D1036" s="5" t="s">
        <v>48</v>
      </c>
      <c r="E1036" s="5" t="s">
        <v>39</v>
      </c>
      <c r="F1036" s="5" t="s">
        <v>40</v>
      </c>
      <c r="G1036" s="5" t="s">
        <v>41</v>
      </c>
      <c r="H1036" s="5" t="s">
        <v>384</v>
      </c>
      <c r="I1036" s="5" t="s">
        <v>385</v>
      </c>
      <c r="J1036" s="5" t="s">
        <v>102</v>
      </c>
      <c r="K1036" s="5" t="s">
        <v>103</v>
      </c>
      <c r="L1036" s="5">
        <v>5</v>
      </c>
      <c r="M1036" s="5">
        <v>67779</v>
      </c>
      <c r="N1036" s="5">
        <v>0</v>
      </c>
      <c r="O1036" s="5">
        <v>338895</v>
      </c>
      <c r="P1036" s="5">
        <v>225475.13</v>
      </c>
      <c r="Q1036" s="5">
        <v>113419.87</v>
      </c>
      <c r="R1036" s="5" t="s">
        <v>32</v>
      </c>
      <c r="S1036" s="5" t="s">
        <v>33</v>
      </c>
      <c r="T1036" s="5" t="s">
        <v>34</v>
      </c>
      <c r="U1036" s="5">
        <v>4</v>
      </c>
      <c r="V1036" s="5" t="s">
        <v>35</v>
      </c>
    </row>
    <row r="1037" spans="1:22" x14ac:dyDescent="0.3">
      <c r="A1037" s="5" t="s">
        <v>1588</v>
      </c>
      <c r="B1037" s="6">
        <v>46053</v>
      </c>
      <c r="C1037" s="5" t="s">
        <v>560</v>
      </c>
      <c r="D1037" s="5" t="s">
        <v>89</v>
      </c>
      <c r="E1037" s="5" t="s">
        <v>39</v>
      </c>
      <c r="F1037" s="5" t="s">
        <v>40</v>
      </c>
      <c r="G1037" s="5" t="s">
        <v>41</v>
      </c>
      <c r="H1037" s="5" t="s">
        <v>203</v>
      </c>
      <c r="I1037" s="5" t="s">
        <v>204</v>
      </c>
      <c r="J1037" s="5" t="s">
        <v>71</v>
      </c>
      <c r="K1037" s="5" t="s">
        <v>81</v>
      </c>
      <c r="L1037" s="5">
        <v>4</v>
      </c>
      <c r="M1037" s="5">
        <v>39912</v>
      </c>
      <c r="N1037" s="5">
        <v>5</v>
      </c>
      <c r="O1037" s="5">
        <v>151665.60000000001</v>
      </c>
      <c r="P1037" s="5">
        <v>134346.82999999999</v>
      </c>
      <c r="Q1037" s="5">
        <v>17318.77</v>
      </c>
      <c r="R1037" s="5" t="s">
        <v>32</v>
      </c>
      <c r="S1037" s="5" t="s">
        <v>82</v>
      </c>
      <c r="T1037" s="5" t="s">
        <v>73</v>
      </c>
      <c r="U1037" s="5">
        <v>4</v>
      </c>
      <c r="V1037" s="5" t="s">
        <v>35</v>
      </c>
    </row>
    <row r="1038" spans="1:22" x14ac:dyDescent="0.3">
      <c r="A1038" s="5" t="s">
        <v>1589</v>
      </c>
      <c r="B1038" s="6">
        <v>46151</v>
      </c>
      <c r="C1038" s="5" t="s">
        <v>252</v>
      </c>
      <c r="D1038" s="5" t="s">
        <v>48</v>
      </c>
      <c r="E1038" s="5" t="s">
        <v>77</v>
      </c>
      <c r="F1038" s="5" t="s">
        <v>78</v>
      </c>
      <c r="G1038" s="5" t="s">
        <v>41</v>
      </c>
      <c r="H1038" s="5" t="s">
        <v>62</v>
      </c>
      <c r="I1038" s="5" t="s">
        <v>63</v>
      </c>
      <c r="J1038" s="5" t="s">
        <v>54</v>
      </c>
      <c r="K1038" s="5" t="s">
        <v>55</v>
      </c>
      <c r="L1038" s="5">
        <v>3</v>
      </c>
      <c r="M1038" s="5">
        <v>35944</v>
      </c>
      <c r="N1038" s="5">
        <v>5</v>
      </c>
      <c r="O1038" s="5">
        <v>102440.4</v>
      </c>
      <c r="P1038" s="5">
        <v>79630.679999999993</v>
      </c>
      <c r="Q1038" s="5">
        <v>22809.72</v>
      </c>
      <c r="R1038" s="5" t="s">
        <v>32</v>
      </c>
      <c r="S1038" s="5" t="s">
        <v>82</v>
      </c>
      <c r="T1038" s="5" t="s">
        <v>65</v>
      </c>
      <c r="U1038" s="5">
        <v>2</v>
      </c>
      <c r="V1038" s="5" t="s">
        <v>45</v>
      </c>
    </row>
    <row r="1039" spans="1:22" x14ac:dyDescent="0.3">
      <c r="A1039" s="5" t="s">
        <v>1590</v>
      </c>
      <c r="B1039" s="6">
        <v>46103</v>
      </c>
      <c r="C1039" s="5" t="s">
        <v>280</v>
      </c>
      <c r="D1039" s="5" t="s">
        <v>89</v>
      </c>
      <c r="E1039" s="5" t="s">
        <v>94</v>
      </c>
      <c r="F1039" s="5" t="s">
        <v>26</v>
      </c>
      <c r="G1039" s="5" t="s">
        <v>27</v>
      </c>
      <c r="H1039" s="5" t="s">
        <v>42</v>
      </c>
      <c r="I1039" s="5" t="s">
        <v>43</v>
      </c>
      <c r="J1039" s="5" t="s">
        <v>30</v>
      </c>
      <c r="K1039" s="5" t="s">
        <v>31</v>
      </c>
      <c r="L1039" s="5">
        <v>4</v>
      </c>
      <c r="M1039" s="5">
        <v>50719</v>
      </c>
      <c r="N1039" s="5">
        <v>5</v>
      </c>
      <c r="O1039" s="5">
        <v>192732.2</v>
      </c>
      <c r="P1039" s="5">
        <v>126463.34</v>
      </c>
      <c r="Q1039" s="5">
        <v>66268.86</v>
      </c>
      <c r="R1039" s="5" t="s">
        <v>32</v>
      </c>
      <c r="S1039" s="5" t="s">
        <v>33</v>
      </c>
      <c r="T1039" s="5" t="s">
        <v>34</v>
      </c>
      <c r="U1039" s="5">
        <v>3</v>
      </c>
      <c r="V1039" s="5" t="s">
        <v>45</v>
      </c>
    </row>
    <row r="1040" spans="1:22" x14ac:dyDescent="0.3">
      <c r="A1040" s="5" t="s">
        <v>1591</v>
      </c>
      <c r="B1040" s="6">
        <v>46106</v>
      </c>
      <c r="C1040" s="5" t="s">
        <v>99</v>
      </c>
      <c r="D1040" s="5" t="s">
        <v>151</v>
      </c>
      <c r="E1040" s="5" t="s">
        <v>59</v>
      </c>
      <c r="F1040" s="5" t="s">
        <v>60</v>
      </c>
      <c r="G1040" s="5" t="s">
        <v>61</v>
      </c>
      <c r="H1040" s="5" t="s">
        <v>406</v>
      </c>
      <c r="I1040" s="5" t="s">
        <v>407</v>
      </c>
      <c r="J1040" s="5" t="s">
        <v>30</v>
      </c>
      <c r="K1040" s="5" t="s">
        <v>31</v>
      </c>
      <c r="L1040" s="5">
        <v>3</v>
      </c>
      <c r="M1040" s="5">
        <v>45889</v>
      </c>
      <c r="N1040" s="5">
        <v>20</v>
      </c>
      <c r="O1040" s="5">
        <v>110133.6</v>
      </c>
      <c r="P1040" s="5">
        <v>111201.64</v>
      </c>
      <c r="Q1040" s="5">
        <v>-1068.04</v>
      </c>
      <c r="R1040" s="5" t="s">
        <v>64</v>
      </c>
      <c r="S1040" s="5" t="s">
        <v>33</v>
      </c>
      <c r="T1040" s="5" t="s">
        <v>65</v>
      </c>
      <c r="U1040" s="5">
        <v>1</v>
      </c>
      <c r="V1040" s="5" t="s">
        <v>45</v>
      </c>
    </row>
    <row r="1041" spans="1:22" x14ac:dyDescent="0.3">
      <c r="A1041" s="5" t="s">
        <v>1592</v>
      </c>
      <c r="B1041" s="6">
        <v>46105</v>
      </c>
      <c r="C1041" s="5" t="s">
        <v>405</v>
      </c>
      <c r="D1041" s="5" t="s">
        <v>110</v>
      </c>
      <c r="E1041" s="5" t="s">
        <v>77</v>
      </c>
      <c r="F1041" s="5" t="s">
        <v>78</v>
      </c>
      <c r="G1041" s="5" t="s">
        <v>41</v>
      </c>
      <c r="H1041" s="5" t="s">
        <v>526</v>
      </c>
      <c r="I1041" s="5" t="s">
        <v>527</v>
      </c>
      <c r="J1041" s="5" t="s">
        <v>71</v>
      </c>
      <c r="K1041" s="5" t="s">
        <v>81</v>
      </c>
      <c r="L1041" s="5">
        <v>1</v>
      </c>
      <c r="M1041" s="5">
        <v>3512</v>
      </c>
      <c r="N1041" s="5">
        <v>5</v>
      </c>
      <c r="O1041" s="5">
        <v>3336.4</v>
      </c>
      <c r="P1041" s="5">
        <v>2481.5</v>
      </c>
      <c r="Q1041" s="5">
        <v>854.9</v>
      </c>
      <c r="R1041" s="5" t="s">
        <v>44</v>
      </c>
      <c r="S1041" s="5" t="s">
        <v>82</v>
      </c>
      <c r="T1041" s="5" t="s">
        <v>73</v>
      </c>
      <c r="U1041" s="5">
        <v>5</v>
      </c>
      <c r="V1041" s="5" t="s">
        <v>35</v>
      </c>
    </row>
    <row r="1042" spans="1:22" x14ac:dyDescent="0.3">
      <c r="A1042" s="5" t="s">
        <v>1593</v>
      </c>
      <c r="B1042" s="6">
        <v>46065</v>
      </c>
      <c r="C1042" s="5" t="s">
        <v>1594</v>
      </c>
      <c r="D1042" s="5" t="s">
        <v>38</v>
      </c>
      <c r="E1042" s="5" t="s">
        <v>25</v>
      </c>
      <c r="F1042" s="5" t="s">
        <v>26</v>
      </c>
      <c r="G1042" s="5" t="s">
        <v>27</v>
      </c>
      <c r="H1042" s="5" t="s">
        <v>217</v>
      </c>
      <c r="I1042" s="5" t="s">
        <v>218</v>
      </c>
      <c r="J1042" s="5" t="s">
        <v>54</v>
      </c>
      <c r="K1042" s="5" t="s">
        <v>97</v>
      </c>
      <c r="L1042" s="5">
        <v>2</v>
      </c>
      <c r="M1042" s="5">
        <v>64930</v>
      </c>
      <c r="N1042" s="5">
        <v>15</v>
      </c>
      <c r="O1042" s="5">
        <v>110381</v>
      </c>
      <c r="P1042" s="5">
        <v>80587.429999999993</v>
      </c>
      <c r="Q1042" s="5">
        <v>29793.57</v>
      </c>
      <c r="R1042" s="5" t="s">
        <v>32</v>
      </c>
      <c r="S1042" s="5" t="s">
        <v>33</v>
      </c>
      <c r="T1042" s="5" t="s">
        <v>73</v>
      </c>
      <c r="U1042" s="5">
        <v>5</v>
      </c>
      <c r="V1042" s="5" t="s">
        <v>45</v>
      </c>
    </row>
    <row r="1043" spans="1:22" x14ac:dyDescent="0.3">
      <c r="A1043" s="5" t="s">
        <v>1595</v>
      </c>
      <c r="B1043" s="6">
        <v>46174</v>
      </c>
      <c r="C1043" s="5" t="s">
        <v>857</v>
      </c>
      <c r="D1043" s="5" t="s">
        <v>151</v>
      </c>
      <c r="E1043" s="5" t="s">
        <v>39</v>
      </c>
      <c r="F1043" s="5" t="s">
        <v>40</v>
      </c>
      <c r="G1043" s="5" t="s">
        <v>41</v>
      </c>
      <c r="H1043" s="5" t="s">
        <v>69</v>
      </c>
      <c r="I1043" s="5" t="s">
        <v>70</v>
      </c>
      <c r="J1043" s="5" t="s">
        <v>71</v>
      </c>
      <c r="K1043" s="5" t="s">
        <v>72</v>
      </c>
      <c r="L1043" s="5">
        <v>5</v>
      </c>
      <c r="M1043" s="5">
        <v>72342</v>
      </c>
      <c r="N1043" s="5">
        <v>15</v>
      </c>
      <c r="O1043" s="5">
        <v>307453.5</v>
      </c>
      <c r="P1043" s="5">
        <v>282777.96999999997</v>
      </c>
      <c r="Q1043" s="5">
        <v>24675.53</v>
      </c>
      <c r="R1043" s="5" t="s">
        <v>44</v>
      </c>
      <c r="S1043" s="5" t="s">
        <v>82</v>
      </c>
      <c r="T1043" s="5" t="s">
        <v>65</v>
      </c>
      <c r="U1043" s="5">
        <v>3</v>
      </c>
      <c r="V1043" s="5" t="s">
        <v>45</v>
      </c>
    </row>
    <row r="1044" spans="1:22" x14ac:dyDescent="0.3">
      <c r="A1044" s="5" t="s">
        <v>1596</v>
      </c>
      <c r="B1044" s="6">
        <v>46064</v>
      </c>
      <c r="C1044" s="5" t="s">
        <v>545</v>
      </c>
      <c r="D1044" s="5" t="s">
        <v>110</v>
      </c>
      <c r="E1044" s="5" t="s">
        <v>94</v>
      </c>
      <c r="F1044" s="5" t="s">
        <v>26</v>
      </c>
      <c r="G1044" s="5" t="s">
        <v>27</v>
      </c>
      <c r="H1044" s="5" t="s">
        <v>371</v>
      </c>
      <c r="I1044" s="5" t="s">
        <v>372</v>
      </c>
      <c r="J1044" s="5" t="s">
        <v>71</v>
      </c>
      <c r="K1044" s="5" t="s">
        <v>72</v>
      </c>
      <c r="L1044" s="5">
        <v>2</v>
      </c>
      <c r="M1044" s="5">
        <v>65874</v>
      </c>
      <c r="N1044" s="5">
        <v>20</v>
      </c>
      <c r="O1044" s="5">
        <v>105398.39999999999</v>
      </c>
      <c r="P1044" s="5">
        <v>100522.3</v>
      </c>
      <c r="Q1044" s="5">
        <v>4876.1000000000004</v>
      </c>
      <c r="R1044" s="5" t="s">
        <v>64</v>
      </c>
      <c r="S1044" s="5" t="s">
        <v>82</v>
      </c>
      <c r="T1044" s="5" t="s">
        <v>65</v>
      </c>
      <c r="U1044" s="5">
        <v>5</v>
      </c>
      <c r="V1044" s="5" t="s">
        <v>35</v>
      </c>
    </row>
    <row r="1045" spans="1:22" x14ac:dyDescent="0.3">
      <c r="A1045" s="5" t="s">
        <v>1597</v>
      </c>
      <c r="B1045" s="6">
        <v>46138</v>
      </c>
      <c r="C1045" s="5" t="s">
        <v>823</v>
      </c>
      <c r="D1045" s="5" t="s">
        <v>117</v>
      </c>
      <c r="E1045" s="5" t="s">
        <v>59</v>
      </c>
      <c r="F1045" s="5" t="s">
        <v>60</v>
      </c>
      <c r="G1045" s="5" t="s">
        <v>61</v>
      </c>
      <c r="H1045" s="5" t="s">
        <v>113</v>
      </c>
      <c r="I1045" s="5" t="s">
        <v>114</v>
      </c>
      <c r="J1045" s="5" t="s">
        <v>102</v>
      </c>
      <c r="K1045" s="5" t="s">
        <v>103</v>
      </c>
      <c r="L1045" s="5">
        <v>2</v>
      </c>
      <c r="M1045" s="5">
        <v>4537</v>
      </c>
      <c r="N1045" s="5">
        <v>20</v>
      </c>
      <c r="O1045" s="5">
        <v>7259.2</v>
      </c>
      <c r="P1045" s="5">
        <v>7577.04</v>
      </c>
      <c r="Q1045" s="5">
        <v>-317.83999999999997</v>
      </c>
      <c r="R1045" s="5" t="s">
        <v>32</v>
      </c>
      <c r="S1045" s="5" t="s">
        <v>82</v>
      </c>
      <c r="T1045" s="5" t="s">
        <v>65</v>
      </c>
      <c r="U1045" s="5">
        <v>3</v>
      </c>
      <c r="V1045" s="5" t="s">
        <v>45</v>
      </c>
    </row>
    <row r="1046" spans="1:22" x14ac:dyDescent="0.3">
      <c r="A1046" s="5" t="s">
        <v>1598</v>
      </c>
      <c r="B1046" s="6">
        <v>46175</v>
      </c>
      <c r="C1046" s="5" t="s">
        <v>192</v>
      </c>
      <c r="D1046" s="5" t="s">
        <v>110</v>
      </c>
      <c r="E1046" s="5" t="s">
        <v>59</v>
      </c>
      <c r="F1046" s="5" t="s">
        <v>60</v>
      </c>
      <c r="G1046" s="5" t="s">
        <v>61</v>
      </c>
      <c r="H1046" s="5" t="s">
        <v>257</v>
      </c>
      <c r="I1046" s="5" t="s">
        <v>258</v>
      </c>
      <c r="J1046" s="5" t="s">
        <v>71</v>
      </c>
      <c r="K1046" s="5" t="s">
        <v>81</v>
      </c>
      <c r="L1046" s="5">
        <v>5</v>
      </c>
      <c r="M1046" s="5">
        <v>33957</v>
      </c>
      <c r="N1046" s="5">
        <v>5</v>
      </c>
      <c r="O1046" s="5">
        <v>161295.75</v>
      </c>
      <c r="P1046" s="5">
        <v>122821.06</v>
      </c>
      <c r="Q1046" s="5">
        <v>38474.69</v>
      </c>
      <c r="R1046" s="5" t="s">
        <v>32</v>
      </c>
      <c r="S1046" s="5" t="s">
        <v>82</v>
      </c>
      <c r="T1046" s="5" t="s">
        <v>65</v>
      </c>
      <c r="U1046" s="5">
        <v>5</v>
      </c>
      <c r="V1046" s="5" t="s">
        <v>35</v>
      </c>
    </row>
    <row r="1047" spans="1:22" x14ac:dyDescent="0.3">
      <c r="A1047" s="5" t="s">
        <v>1599</v>
      </c>
      <c r="B1047" s="6">
        <v>46040</v>
      </c>
      <c r="C1047" s="5" t="s">
        <v>1062</v>
      </c>
      <c r="D1047" s="5" t="s">
        <v>76</v>
      </c>
      <c r="E1047" s="5" t="s">
        <v>126</v>
      </c>
      <c r="F1047" s="5" t="s">
        <v>126</v>
      </c>
      <c r="G1047" s="5" t="s">
        <v>51</v>
      </c>
      <c r="H1047" s="5" t="s">
        <v>85</v>
      </c>
      <c r="I1047" s="5" t="s">
        <v>86</v>
      </c>
      <c r="J1047" s="5" t="s">
        <v>71</v>
      </c>
      <c r="K1047" s="5" t="s">
        <v>72</v>
      </c>
      <c r="L1047" s="5">
        <v>2</v>
      </c>
      <c r="M1047" s="5">
        <v>70155</v>
      </c>
      <c r="N1047" s="5">
        <v>10</v>
      </c>
      <c r="O1047" s="5">
        <v>126279</v>
      </c>
      <c r="P1047" s="5">
        <v>99088.65</v>
      </c>
      <c r="Q1047" s="5">
        <v>27190.35</v>
      </c>
      <c r="R1047" s="5" t="s">
        <v>64</v>
      </c>
      <c r="S1047" s="5" t="s">
        <v>33</v>
      </c>
      <c r="T1047" s="5" t="s">
        <v>34</v>
      </c>
      <c r="U1047" s="5">
        <v>2</v>
      </c>
      <c r="V1047" s="5" t="s">
        <v>35</v>
      </c>
    </row>
    <row r="1048" spans="1:22" x14ac:dyDescent="0.3">
      <c r="A1048" s="5" t="s">
        <v>1600</v>
      </c>
      <c r="B1048" s="6">
        <v>46175</v>
      </c>
      <c r="C1048" s="5" t="s">
        <v>475</v>
      </c>
      <c r="D1048" s="5" t="s">
        <v>68</v>
      </c>
      <c r="E1048" s="5" t="s">
        <v>25</v>
      </c>
      <c r="F1048" s="5" t="s">
        <v>26</v>
      </c>
      <c r="G1048" s="5" t="s">
        <v>27</v>
      </c>
      <c r="H1048" s="5" t="s">
        <v>387</v>
      </c>
      <c r="I1048" s="5" t="s">
        <v>388</v>
      </c>
      <c r="J1048" s="5" t="s">
        <v>54</v>
      </c>
      <c r="K1048" s="5" t="s">
        <v>97</v>
      </c>
      <c r="L1048" s="5">
        <v>5</v>
      </c>
      <c r="M1048" s="5">
        <v>29079</v>
      </c>
      <c r="N1048" s="5">
        <v>5</v>
      </c>
      <c r="O1048" s="5">
        <v>138125.25</v>
      </c>
      <c r="P1048" s="5">
        <v>123302.18</v>
      </c>
      <c r="Q1048" s="5">
        <v>14823.07</v>
      </c>
      <c r="R1048" s="5" t="s">
        <v>64</v>
      </c>
      <c r="S1048" s="5" t="s">
        <v>33</v>
      </c>
      <c r="T1048" s="5" t="s">
        <v>73</v>
      </c>
      <c r="U1048" s="5">
        <v>5</v>
      </c>
      <c r="V1048" s="5" t="s">
        <v>45</v>
      </c>
    </row>
    <row r="1049" spans="1:22" x14ac:dyDescent="0.3">
      <c r="A1049" s="5" t="s">
        <v>1601</v>
      </c>
      <c r="B1049" s="6">
        <v>46042</v>
      </c>
      <c r="C1049" s="5" t="s">
        <v>1457</v>
      </c>
      <c r="D1049" s="5" t="s">
        <v>151</v>
      </c>
      <c r="E1049" s="5" t="s">
        <v>25</v>
      </c>
      <c r="F1049" s="5" t="s">
        <v>26</v>
      </c>
      <c r="G1049" s="5" t="s">
        <v>27</v>
      </c>
      <c r="H1049" s="5" t="s">
        <v>504</v>
      </c>
      <c r="I1049" s="5" t="s">
        <v>505</v>
      </c>
      <c r="J1049" s="5" t="s">
        <v>54</v>
      </c>
      <c r="K1049" s="5" t="s">
        <v>55</v>
      </c>
      <c r="L1049" s="5">
        <v>1</v>
      </c>
      <c r="M1049" s="5">
        <v>3228</v>
      </c>
      <c r="N1049" s="5">
        <v>15</v>
      </c>
      <c r="O1049" s="5">
        <v>2743.8</v>
      </c>
      <c r="P1049" s="5">
        <v>1881.96</v>
      </c>
      <c r="Q1049" s="5">
        <v>861.84</v>
      </c>
      <c r="R1049" s="5" t="s">
        <v>64</v>
      </c>
      <c r="S1049" s="5" t="s">
        <v>82</v>
      </c>
      <c r="T1049" s="5" t="s">
        <v>73</v>
      </c>
      <c r="U1049" s="5">
        <v>3</v>
      </c>
      <c r="V1049" s="5" t="s">
        <v>35</v>
      </c>
    </row>
    <row r="1050" spans="1:22" x14ac:dyDescent="0.3">
      <c r="A1050" s="5" t="s">
        <v>1602</v>
      </c>
      <c r="B1050" s="6">
        <v>46070</v>
      </c>
      <c r="C1050" s="5" t="s">
        <v>192</v>
      </c>
      <c r="D1050" s="5" t="s">
        <v>89</v>
      </c>
      <c r="E1050" s="5" t="s">
        <v>59</v>
      </c>
      <c r="F1050" s="5" t="s">
        <v>60</v>
      </c>
      <c r="G1050" s="5" t="s">
        <v>61</v>
      </c>
      <c r="H1050" s="5" t="s">
        <v>172</v>
      </c>
      <c r="I1050" s="5" t="s">
        <v>173</v>
      </c>
      <c r="J1050" s="5" t="s">
        <v>54</v>
      </c>
      <c r="K1050" s="5" t="s">
        <v>97</v>
      </c>
      <c r="L1050" s="5">
        <v>3</v>
      </c>
      <c r="M1050" s="5">
        <v>49126</v>
      </c>
      <c r="N1050" s="5">
        <v>15</v>
      </c>
      <c r="O1050" s="5">
        <v>125271.3</v>
      </c>
      <c r="P1050" s="5">
        <v>87975.96</v>
      </c>
      <c r="Q1050" s="5">
        <v>37295.339999999997</v>
      </c>
      <c r="R1050" s="5" t="s">
        <v>64</v>
      </c>
      <c r="S1050" s="5" t="s">
        <v>33</v>
      </c>
      <c r="T1050" s="5" t="s">
        <v>73</v>
      </c>
      <c r="U1050" s="5">
        <v>4</v>
      </c>
      <c r="V1050" s="5" t="s">
        <v>45</v>
      </c>
    </row>
    <row r="1051" spans="1:22" x14ac:dyDescent="0.3">
      <c r="A1051" s="5" t="s">
        <v>1603</v>
      </c>
      <c r="B1051" s="6">
        <v>46117</v>
      </c>
      <c r="C1051" s="5" t="s">
        <v>268</v>
      </c>
      <c r="D1051" s="5" t="s">
        <v>48</v>
      </c>
      <c r="E1051" s="5" t="s">
        <v>25</v>
      </c>
      <c r="F1051" s="5" t="s">
        <v>26</v>
      </c>
      <c r="G1051" s="5" t="s">
        <v>27</v>
      </c>
      <c r="H1051" s="5" t="s">
        <v>762</v>
      </c>
      <c r="I1051" s="5" t="s">
        <v>763</v>
      </c>
      <c r="J1051" s="5" t="s">
        <v>54</v>
      </c>
      <c r="K1051" s="5" t="s">
        <v>55</v>
      </c>
      <c r="L1051" s="5">
        <v>4</v>
      </c>
      <c r="M1051" s="5">
        <v>15939</v>
      </c>
      <c r="N1051" s="5">
        <v>0</v>
      </c>
      <c r="O1051" s="5">
        <v>63756</v>
      </c>
      <c r="P1051" s="5">
        <v>42717.56</v>
      </c>
      <c r="Q1051" s="5">
        <v>21038.44</v>
      </c>
      <c r="R1051" s="5" t="s">
        <v>64</v>
      </c>
      <c r="S1051" s="5" t="s">
        <v>33</v>
      </c>
      <c r="T1051" s="5" t="s">
        <v>73</v>
      </c>
      <c r="U1051" s="5">
        <v>3</v>
      </c>
      <c r="V1051" s="5" t="s">
        <v>35</v>
      </c>
    </row>
    <row r="1052" spans="1:22" x14ac:dyDescent="0.3">
      <c r="A1052" s="5" t="s">
        <v>1604</v>
      </c>
      <c r="B1052" s="6">
        <v>46170</v>
      </c>
      <c r="C1052" s="5" t="s">
        <v>753</v>
      </c>
      <c r="D1052" s="5" t="s">
        <v>24</v>
      </c>
      <c r="E1052" s="5" t="s">
        <v>94</v>
      </c>
      <c r="F1052" s="5" t="s">
        <v>26</v>
      </c>
      <c r="G1052" s="5" t="s">
        <v>27</v>
      </c>
      <c r="H1052" s="5" t="s">
        <v>447</v>
      </c>
      <c r="I1052" s="5" t="s">
        <v>448</v>
      </c>
      <c r="J1052" s="5" t="s">
        <v>71</v>
      </c>
      <c r="K1052" s="5" t="s">
        <v>72</v>
      </c>
      <c r="L1052" s="5">
        <v>3</v>
      </c>
      <c r="M1052" s="5">
        <v>71156</v>
      </c>
      <c r="N1052" s="5">
        <v>5</v>
      </c>
      <c r="O1052" s="5">
        <v>202794.6</v>
      </c>
      <c r="P1052" s="5">
        <v>161884.72</v>
      </c>
      <c r="Q1052" s="5">
        <v>40909.879999999997</v>
      </c>
      <c r="R1052" s="5" t="s">
        <v>32</v>
      </c>
      <c r="S1052" s="5" t="s">
        <v>33</v>
      </c>
      <c r="T1052" s="5" t="s">
        <v>73</v>
      </c>
      <c r="U1052" s="5">
        <v>3</v>
      </c>
      <c r="V1052" s="5" t="s">
        <v>35</v>
      </c>
    </row>
    <row r="1053" spans="1:22" x14ac:dyDescent="0.3">
      <c r="A1053" s="5" t="s">
        <v>1605</v>
      </c>
      <c r="B1053" s="6">
        <v>46194</v>
      </c>
      <c r="C1053" s="5" t="s">
        <v>57</v>
      </c>
      <c r="D1053" s="5" t="s">
        <v>38</v>
      </c>
      <c r="E1053" s="5" t="s">
        <v>25</v>
      </c>
      <c r="F1053" s="5" t="s">
        <v>26</v>
      </c>
      <c r="G1053" s="5" t="s">
        <v>27</v>
      </c>
      <c r="H1053" s="5" t="s">
        <v>42</v>
      </c>
      <c r="I1053" s="5" t="s">
        <v>43</v>
      </c>
      <c r="J1053" s="5" t="s">
        <v>30</v>
      </c>
      <c r="K1053" s="5" t="s">
        <v>31</v>
      </c>
      <c r="L1053" s="5">
        <v>1</v>
      </c>
      <c r="M1053" s="5">
        <v>15196</v>
      </c>
      <c r="N1053" s="5">
        <v>5</v>
      </c>
      <c r="O1053" s="5">
        <v>14436.2</v>
      </c>
      <c r="P1053" s="5">
        <v>12067.87</v>
      </c>
      <c r="Q1053" s="5">
        <v>2368.33</v>
      </c>
      <c r="R1053" s="5" t="s">
        <v>64</v>
      </c>
      <c r="S1053" s="5" t="s">
        <v>82</v>
      </c>
      <c r="T1053" s="5" t="s">
        <v>73</v>
      </c>
      <c r="U1053" s="5">
        <v>5</v>
      </c>
      <c r="V1053" s="5" t="s">
        <v>45</v>
      </c>
    </row>
    <row r="1054" spans="1:22" x14ac:dyDescent="0.3">
      <c r="A1054" s="5" t="s">
        <v>1606</v>
      </c>
      <c r="B1054" s="6">
        <v>46154</v>
      </c>
      <c r="C1054" s="5" t="s">
        <v>159</v>
      </c>
      <c r="D1054" s="5" t="s">
        <v>117</v>
      </c>
      <c r="E1054" s="5" t="s">
        <v>39</v>
      </c>
      <c r="F1054" s="5" t="s">
        <v>40</v>
      </c>
      <c r="G1054" s="5" t="s">
        <v>41</v>
      </c>
      <c r="H1054" s="5" t="s">
        <v>106</v>
      </c>
      <c r="I1054" s="5" t="s">
        <v>107</v>
      </c>
      <c r="J1054" s="5" t="s">
        <v>30</v>
      </c>
      <c r="K1054" s="5" t="s">
        <v>31</v>
      </c>
      <c r="L1054" s="5">
        <v>2</v>
      </c>
      <c r="M1054" s="5">
        <v>50898</v>
      </c>
      <c r="N1054" s="5">
        <v>20</v>
      </c>
      <c r="O1054" s="5">
        <v>81436.800000000003</v>
      </c>
      <c r="P1054" s="5">
        <v>69136.89</v>
      </c>
      <c r="Q1054" s="5">
        <v>12299.91</v>
      </c>
      <c r="R1054" s="5" t="s">
        <v>64</v>
      </c>
      <c r="S1054" s="5" t="s">
        <v>33</v>
      </c>
      <c r="T1054" s="5" t="s">
        <v>73</v>
      </c>
      <c r="U1054" s="5">
        <v>3</v>
      </c>
      <c r="V1054" s="5" t="s">
        <v>35</v>
      </c>
    </row>
    <row r="1055" spans="1:22" x14ac:dyDescent="0.3">
      <c r="A1055" s="5" t="s">
        <v>1607</v>
      </c>
      <c r="B1055" s="6">
        <v>46051</v>
      </c>
      <c r="C1055" s="5" t="s">
        <v>914</v>
      </c>
      <c r="D1055" s="5" t="s">
        <v>151</v>
      </c>
      <c r="E1055" s="5" t="s">
        <v>59</v>
      </c>
      <c r="F1055" s="5" t="s">
        <v>60</v>
      </c>
      <c r="G1055" s="5" t="s">
        <v>61</v>
      </c>
      <c r="H1055" s="5" t="s">
        <v>411</v>
      </c>
      <c r="I1055" s="5" t="s">
        <v>412</v>
      </c>
      <c r="J1055" s="5" t="s">
        <v>54</v>
      </c>
      <c r="K1055" s="5" t="s">
        <v>97</v>
      </c>
      <c r="L1055" s="5">
        <v>3</v>
      </c>
      <c r="M1055" s="5">
        <v>42610</v>
      </c>
      <c r="N1055" s="5">
        <v>10</v>
      </c>
      <c r="O1055" s="5">
        <v>115047</v>
      </c>
      <c r="P1055" s="5">
        <v>90198.3</v>
      </c>
      <c r="Q1055" s="5">
        <v>24848.7</v>
      </c>
      <c r="R1055" s="5" t="s">
        <v>44</v>
      </c>
      <c r="S1055" s="5" t="s">
        <v>82</v>
      </c>
      <c r="T1055" s="5" t="s">
        <v>73</v>
      </c>
      <c r="U1055" s="5">
        <v>3</v>
      </c>
      <c r="V1055" s="5" t="s">
        <v>35</v>
      </c>
    </row>
    <row r="1056" spans="1:22" x14ac:dyDescent="0.3">
      <c r="A1056" s="5" t="s">
        <v>1608</v>
      </c>
      <c r="B1056" s="6">
        <v>46172</v>
      </c>
      <c r="C1056" s="5" t="s">
        <v>643</v>
      </c>
      <c r="D1056" s="5" t="s">
        <v>89</v>
      </c>
      <c r="E1056" s="5" t="s">
        <v>77</v>
      </c>
      <c r="F1056" s="5" t="s">
        <v>78</v>
      </c>
      <c r="G1056" s="5" t="s">
        <v>41</v>
      </c>
      <c r="H1056" s="5" t="s">
        <v>213</v>
      </c>
      <c r="I1056" s="5" t="s">
        <v>214</v>
      </c>
      <c r="J1056" s="5" t="s">
        <v>54</v>
      </c>
      <c r="K1056" s="5" t="s">
        <v>97</v>
      </c>
      <c r="L1056" s="5">
        <v>2</v>
      </c>
      <c r="M1056" s="5">
        <v>66003</v>
      </c>
      <c r="N1056" s="5">
        <v>5</v>
      </c>
      <c r="O1056" s="5">
        <v>125405.7</v>
      </c>
      <c r="P1056" s="5">
        <v>90356.63</v>
      </c>
      <c r="Q1056" s="5">
        <v>35049.07</v>
      </c>
      <c r="R1056" s="5" t="s">
        <v>32</v>
      </c>
      <c r="S1056" s="5" t="s">
        <v>33</v>
      </c>
      <c r="T1056" s="5" t="s">
        <v>73</v>
      </c>
      <c r="U1056" s="5">
        <v>1</v>
      </c>
      <c r="V1056" s="5" t="s">
        <v>35</v>
      </c>
    </row>
    <row r="1057" spans="1:22" x14ac:dyDescent="0.3">
      <c r="A1057" s="5" t="s">
        <v>1609</v>
      </c>
      <c r="B1057" s="6">
        <v>46080</v>
      </c>
      <c r="C1057" s="5" t="s">
        <v>294</v>
      </c>
      <c r="D1057" s="5" t="s">
        <v>24</v>
      </c>
      <c r="E1057" s="5" t="s">
        <v>77</v>
      </c>
      <c r="F1057" s="5" t="s">
        <v>78</v>
      </c>
      <c r="G1057" s="5" t="s">
        <v>41</v>
      </c>
      <c r="H1057" s="5" t="s">
        <v>1359</v>
      </c>
      <c r="I1057" s="5" t="s">
        <v>1360</v>
      </c>
      <c r="J1057" s="5" t="s">
        <v>71</v>
      </c>
      <c r="K1057" s="5" t="s">
        <v>72</v>
      </c>
      <c r="L1057" s="5">
        <v>5</v>
      </c>
      <c r="M1057" s="5">
        <v>6786</v>
      </c>
      <c r="N1057" s="5">
        <v>20</v>
      </c>
      <c r="O1057" s="5">
        <v>27144</v>
      </c>
      <c r="P1057" s="5">
        <v>23996.65</v>
      </c>
      <c r="Q1057" s="5">
        <v>3147.35</v>
      </c>
      <c r="R1057" s="5" t="s">
        <v>32</v>
      </c>
      <c r="S1057" s="5" t="s">
        <v>82</v>
      </c>
      <c r="T1057" s="5" t="s">
        <v>34</v>
      </c>
      <c r="U1057" s="5">
        <v>2</v>
      </c>
      <c r="V1057" s="5" t="s">
        <v>45</v>
      </c>
    </row>
    <row r="1058" spans="1:22" x14ac:dyDescent="0.3">
      <c r="A1058" s="5" t="s">
        <v>1610</v>
      </c>
      <c r="B1058" s="6">
        <v>46080</v>
      </c>
      <c r="C1058" s="5" t="s">
        <v>625</v>
      </c>
      <c r="D1058" s="5" t="s">
        <v>68</v>
      </c>
      <c r="E1058" s="5" t="s">
        <v>59</v>
      </c>
      <c r="F1058" s="5" t="s">
        <v>60</v>
      </c>
      <c r="G1058" s="5" t="s">
        <v>61</v>
      </c>
      <c r="H1058" s="5" t="s">
        <v>152</v>
      </c>
      <c r="I1058" s="5" t="s">
        <v>153</v>
      </c>
      <c r="J1058" s="5" t="s">
        <v>54</v>
      </c>
      <c r="K1058" s="5" t="s">
        <v>97</v>
      </c>
      <c r="L1058" s="5">
        <v>3</v>
      </c>
      <c r="M1058" s="5">
        <v>42731</v>
      </c>
      <c r="N1058" s="5">
        <v>10</v>
      </c>
      <c r="O1058" s="5">
        <v>115373.7</v>
      </c>
      <c r="P1058" s="5">
        <v>107633.89</v>
      </c>
      <c r="Q1058" s="5">
        <v>7739.81</v>
      </c>
      <c r="R1058" s="5" t="s">
        <v>64</v>
      </c>
      <c r="S1058" s="5" t="s">
        <v>33</v>
      </c>
      <c r="T1058" s="5" t="s">
        <v>65</v>
      </c>
      <c r="U1058" s="5">
        <v>1</v>
      </c>
      <c r="V1058" s="5" t="s">
        <v>45</v>
      </c>
    </row>
    <row r="1059" spans="1:22" x14ac:dyDescent="0.3">
      <c r="A1059" s="5" t="s">
        <v>1611</v>
      </c>
      <c r="B1059" s="6">
        <v>46085</v>
      </c>
      <c r="C1059" s="5" t="s">
        <v>552</v>
      </c>
      <c r="D1059" s="5" t="s">
        <v>110</v>
      </c>
      <c r="E1059" s="5" t="s">
        <v>59</v>
      </c>
      <c r="F1059" s="5" t="s">
        <v>60</v>
      </c>
      <c r="G1059" s="5" t="s">
        <v>61</v>
      </c>
      <c r="H1059" s="5" t="s">
        <v>299</v>
      </c>
      <c r="I1059" s="5" t="s">
        <v>300</v>
      </c>
      <c r="J1059" s="5" t="s">
        <v>71</v>
      </c>
      <c r="K1059" s="5" t="s">
        <v>72</v>
      </c>
      <c r="L1059" s="5">
        <v>5</v>
      </c>
      <c r="M1059" s="5">
        <v>76845</v>
      </c>
      <c r="N1059" s="5">
        <v>10</v>
      </c>
      <c r="O1059" s="5">
        <v>345802.5</v>
      </c>
      <c r="P1059" s="5">
        <v>278158.26</v>
      </c>
      <c r="Q1059" s="5">
        <v>67644.240000000005</v>
      </c>
      <c r="R1059" s="5" t="s">
        <v>64</v>
      </c>
      <c r="S1059" s="5" t="s">
        <v>82</v>
      </c>
      <c r="T1059" s="5" t="s">
        <v>65</v>
      </c>
      <c r="U1059" s="5">
        <v>3</v>
      </c>
      <c r="V1059" s="5" t="s">
        <v>45</v>
      </c>
    </row>
    <row r="1060" spans="1:22" x14ac:dyDescent="0.3">
      <c r="A1060" s="5" t="s">
        <v>1612</v>
      </c>
      <c r="B1060" s="6">
        <v>46165</v>
      </c>
      <c r="C1060" s="5" t="s">
        <v>84</v>
      </c>
      <c r="D1060" s="5" t="s">
        <v>76</v>
      </c>
      <c r="E1060" s="5" t="s">
        <v>77</v>
      </c>
      <c r="F1060" s="5" t="s">
        <v>78</v>
      </c>
      <c r="G1060" s="5" t="s">
        <v>41</v>
      </c>
      <c r="H1060" s="5" t="s">
        <v>640</v>
      </c>
      <c r="I1060" s="5" t="s">
        <v>641</v>
      </c>
      <c r="J1060" s="5" t="s">
        <v>54</v>
      </c>
      <c r="K1060" s="5" t="s">
        <v>97</v>
      </c>
      <c r="L1060" s="5">
        <v>3</v>
      </c>
      <c r="M1060" s="5">
        <v>58453</v>
      </c>
      <c r="N1060" s="5">
        <v>15</v>
      </c>
      <c r="O1060" s="5">
        <v>149055.15</v>
      </c>
      <c r="P1060" s="5">
        <v>109579.67</v>
      </c>
      <c r="Q1060" s="5">
        <v>39475.480000000003</v>
      </c>
      <c r="R1060" s="5" t="s">
        <v>64</v>
      </c>
      <c r="S1060" s="5" t="s">
        <v>82</v>
      </c>
      <c r="T1060" s="5" t="s">
        <v>73</v>
      </c>
      <c r="U1060" s="5">
        <v>4</v>
      </c>
      <c r="V1060" s="5" t="s">
        <v>45</v>
      </c>
    </row>
    <row r="1061" spans="1:22" x14ac:dyDescent="0.3">
      <c r="A1061" s="5" t="s">
        <v>1613</v>
      </c>
      <c r="B1061" s="6">
        <v>46194</v>
      </c>
      <c r="C1061" s="5" t="s">
        <v>1482</v>
      </c>
      <c r="D1061" s="5" t="s">
        <v>58</v>
      </c>
      <c r="E1061" s="5" t="s">
        <v>94</v>
      </c>
      <c r="F1061" s="5" t="s">
        <v>26</v>
      </c>
      <c r="G1061" s="5" t="s">
        <v>27</v>
      </c>
      <c r="H1061" s="5" t="s">
        <v>295</v>
      </c>
      <c r="I1061" s="5" t="s">
        <v>296</v>
      </c>
      <c r="J1061" s="5" t="s">
        <v>30</v>
      </c>
      <c r="K1061" s="5" t="s">
        <v>31</v>
      </c>
      <c r="L1061" s="5">
        <v>1</v>
      </c>
      <c r="M1061" s="5">
        <v>63334</v>
      </c>
      <c r="N1061" s="5">
        <v>20</v>
      </c>
      <c r="O1061" s="5">
        <v>50667.199999999997</v>
      </c>
      <c r="P1061" s="5">
        <v>36141.800000000003</v>
      </c>
      <c r="Q1061" s="5">
        <v>14525.4</v>
      </c>
      <c r="R1061" s="5" t="s">
        <v>32</v>
      </c>
      <c r="S1061" s="5" t="s">
        <v>82</v>
      </c>
      <c r="T1061" s="5" t="s">
        <v>34</v>
      </c>
      <c r="U1061" s="5">
        <v>1</v>
      </c>
      <c r="V1061" s="5" t="s">
        <v>45</v>
      </c>
    </row>
    <row r="1062" spans="1:22" x14ac:dyDescent="0.3">
      <c r="A1062" s="5" t="s">
        <v>1614</v>
      </c>
      <c r="B1062" s="6">
        <v>46144</v>
      </c>
      <c r="C1062" s="5" t="s">
        <v>268</v>
      </c>
      <c r="D1062" s="5" t="s">
        <v>76</v>
      </c>
      <c r="E1062" s="5" t="s">
        <v>49</v>
      </c>
      <c r="F1062" s="5" t="s">
        <v>50</v>
      </c>
      <c r="G1062" s="5" t="s">
        <v>51</v>
      </c>
      <c r="H1062" s="5" t="s">
        <v>277</v>
      </c>
      <c r="I1062" s="5" t="s">
        <v>278</v>
      </c>
      <c r="J1062" s="5" t="s">
        <v>71</v>
      </c>
      <c r="K1062" s="5" t="s">
        <v>81</v>
      </c>
      <c r="L1062" s="5">
        <v>2</v>
      </c>
      <c r="M1062" s="5">
        <v>11463</v>
      </c>
      <c r="N1062" s="5">
        <v>5</v>
      </c>
      <c r="O1062" s="5">
        <v>21779.7</v>
      </c>
      <c r="P1062" s="5">
        <v>17313.95</v>
      </c>
      <c r="Q1062" s="5">
        <v>4465.75</v>
      </c>
      <c r="R1062" s="5" t="s">
        <v>32</v>
      </c>
      <c r="S1062" s="5" t="s">
        <v>33</v>
      </c>
      <c r="T1062" s="5" t="s">
        <v>65</v>
      </c>
      <c r="U1062" s="5">
        <v>3</v>
      </c>
      <c r="V1062" s="5" t="s">
        <v>35</v>
      </c>
    </row>
    <row r="1063" spans="1:22" x14ac:dyDescent="0.3">
      <c r="A1063" s="5" t="s">
        <v>1615</v>
      </c>
      <c r="B1063" s="6">
        <v>46170</v>
      </c>
      <c r="C1063" s="5" t="s">
        <v>687</v>
      </c>
      <c r="D1063" s="5" t="s">
        <v>117</v>
      </c>
      <c r="E1063" s="5" t="s">
        <v>39</v>
      </c>
      <c r="F1063" s="5" t="s">
        <v>40</v>
      </c>
      <c r="G1063" s="5" t="s">
        <v>41</v>
      </c>
      <c r="H1063" s="5" t="s">
        <v>363</v>
      </c>
      <c r="I1063" s="5" t="s">
        <v>364</v>
      </c>
      <c r="J1063" s="5" t="s">
        <v>54</v>
      </c>
      <c r="K1063" s="5" t="s">
        <v>55</v>
      </c>
      <c r="L1063" s="5">
        <v>3</v>
      </c>
      <c r="M1063" s="5">
        <v>67502</v>
      </c>
      <c r="N1063" s="5">
        <v>10</v>
      </c>
      <c r="O1063" s="5">
        <v>182255.4</v>
      </c>
      <c r="P1063" s="5">
        <v>164196.81</v>
      </c>
      <c r="Q1063" s="5">
        <v>18058.59</v>
      </c>
      <c r="R1063" s="5" t="s">
        <v>64</v>
      </c>
      <c r="S1063" s="5" t="s">
        <v>82</v>
      </c>
      <c r="T1063" s="5" t="s">
        <v>65</v>
      </c>
      <c r="U1063" s="5">
        <v>3</v>
      </c>
      <c r="V1063" s="5" t="s">
        <v>45</v>
      </c>
    </row>
    <row r="1064" spans="1:22" x14ac:dyDescent="0.3">
      <c r="A1064" s="5" t="s">
        <v>1616</v>
      </c>
      <c r="B1064" s="6">
        <v>46117</v>
      </c>
      <c r="C1064" s="5" t="s">
        <v>1062</v>
      </c>
      <c r="D1064" s="5" t="s">
        <v>89</v>
      </c>
      <c r="E1064" s="5" t="s">
        <v>126</v>
      </c>
      <c r="F1064" s="5" t="s">
        <v>126</v>
      </c>
      <c r="G1064" s="5" t="s">
        <v>51</v>
      </c>
      <c r="H1064" s="5" t="s">
        <v>197</v>
      </c>
      <c r="I1064" s="5" t="s">
        <v>198</v>
      </c>
      <c r="J1064" s="5" t="s">
        <v>30</v>
      </c>
      <c r="K1064" s="5" t="s">
        <v>31</v>
      </c>
      <c r="L1064" s="5">
        <v>5</v>
      </c>
      <c r="M1064" s="5">
        <v>58072</v>
      </c>
      <c r="N1064" s="5">
        <v>20</v>
      </c>
      <c r="O1064" s="5">
        <v>232288</v>
      </c>
      <c r="P1064" s="5">
        <v>243334.44</v>
      </c>
      <c r="Q1064" s="5">
        <v>-11046.44</v>
      </c>
      <c r="R1064" s="5" t="s">
        <v>32</v>
      </c>
      <c r="S1064" s="5" t="s">
        <v>82</v>
      </c>
      <c r="T1064" s="5" t="s">
        <v>73</v>
      </c>
      <c r="U1064" s="5">
        <v>3</v>
      </c>
      <c r="V1064" s="5" t="s">
        <v>45</v>
      </c>
    </row>
    <row r="1065" spans="1:22" x14ac:dyDescent="0.3">
      <c r="A1065" s="5" t="s">
        <v>1617</v>
      </c>
      <c r="B1065" s="6">
        <v>46139</v>
      </c>
      <c r="C1065" s="5" t="s">
        <v>707</v>
      </c>
      <c r="D1065" s="5" t="s">
        <v>58</v>
      </c>
      <c r="E1065" s="5" t="s">
        <v>94</v>
      </c>
      <c r="F1065" s="5" t="s">
        <v>26</v>
      </c>
      <c r="G1065" s="5" t="s">
        <v>27</v>
      </c>
      <c r="H1065" s="5" t="s">
        <v>118</v>
      </c>
      <c r="I1065" s="5" t="s">
        <v>119</v>
      </c>
      <c r="J1065" s="5" t="s">
        <v>54</v>
      </c>
      <c r="K1065" s="5" t="s">
        <v>97</v>
      </c>
      <c r="L1065" s="5">
        <v>5</v>
      </c>
      <c r="M1065" s="5">
        <v>79613</v>
      </c>
      <c r="N1065" s="5">
        <v>20</v>
      </c>
      <c r="O1065" s="5">
        <v>318452</v>
      </c>
      <c r="P1065" s="5">
        <v>289351.98</v>
      </c>
      <c r="Q1065" s="5">
        <v>29100.02</v>
      </c>
      <c r="R1065" s="5" t="s">
        <v>44</v>
      </c>
      <c r="S1065" s="5" t="s">
        <v>33</v>
      </c>
      <c r="T1065" s="5" t="s">
        <v>65</v>
      </c>
      <c r="U1065" s="5">
        <v>1</v>
      </c>
      <c r="V1065" s="5" t="s">
        <v>35</v>
      </c>
    </row>
    <row r="1066" spans="1:22" x14ac:dyDescent="0.3">
      <c r="A1066" s="5" t="s">
        <v>1618</v>
      </c>
      <c r="B1066" s="6">
        <v>46038</v>
      </c>
      <c r="C1066" s="5" t="s">
        <v>477</v>
      </c>
      <c r="D1066" s="5" t="s">
        <v>76</v>
      </c>
      <c r="E1066" s="5" t="s">
        <v>77</v>
      </c>
      <c r="F1066" s="5" t="s">
        <v>78</v>
      </c>
      <c r="G1066" s="5" t="s">
        <v>41</v>
      </c>
      <c r="H1066" s="5" t="s">
        <v>69</v>
      </c>
      <c r="I1066" s="5" t="s">
        <v>70</v>
      </c>
      <c r="J1066" s="5" t="s">
        <v>71</v>
      </c>
      <c r="K1066" s="5" t="s">
        <v>72</v>
      </c>
      <c r="L1066" s="5">
        <v>5</v>
      </c>
      <c r="M1066" s="5">
        <v>49118</v>
      </c>
      <c r="N1066" s="5">
        <v>15</v>
      </c>
      <c r="O1066" s="5">
        <v>208751.5</v>
      </c>
      <c r="P1066" s="5">
        <v>141746.20000000001</v>
      </c>
      <c r="Q1066" s="5">
        <v>67005.3</v>
      </c>
      <c r="R1066" s="5" t="s">
        <v>32</v>
      </c>
      <c r="S1066" s="5" t="s">
        <v>33</v>
      </c>
      <c r="T1066" s="5" t="s">
        <v>65</v>
      </c>
      <c r="U1066" s="5">
        <v>2</v>
      </c>
      <c r="V1066" s="5" t="s">
        <v>35</v>
      </c>
    </row>
    <row r="1067" spans="1:22" x14ac:dyDescent="0.3">
      <c r="A1067" s="5" t="s">
        <v>1619</v>
      </c>
      <c r="B1067" s="6">
        <v>46104</v>
      </c>
      <c r="C1067" s="5" t="s">
        <v>695</v>
      </c>
      <c r="D1067" s="5" t="s">
        <v>38</v>
      </c>
      <c r="E1067" s="5" t="s">
        <v>39</v>
      </c>
      <c r="F1067" s="5" t="s">
        <v>40</v>
      </c>
      <c r="G1067" s="5" t="s">
        <v>41</v>
      </c>
      <c r="H1067" s="5" t="s">
        <v>371</v>
      </c>
      <c r="I1067" s="5" t="s">
        <v>372</v>
      </c>
      <c r="J1067" s="5" t="s">
        <v>71</v>
      </c>
      <c r="K1067" s="5" t="s">
        <v>72</v>
      </c>
      <c r="L1067" s="5">
        <v>5</v>
      </c>
      <c r="M1067" s="5">
        <v>64208</v>
      </c>
      <c r="N1067" s="5">
        <v>0</v>
      </c>
      <c r="O1067" s="5">
        <v>321040</v>
      </c>
      <c r="P1067" s="5">
        <v>194209.41</v>
      </c>
      <c r="Q1067" s="5">
        <v>126830.59</v>
      </c>
      <c r="R1067" s="5" t="s">
        <v>64</v>
      </c>
      <c r="S1067" s="5" t="s">
        <v>33</v>
      </c>
      <c r="T1067" s="5" t="s">
        <v>65</v>
      </c>
      <c r="U1067" s="5">
        <v>2</v>
      </c>
      <c r="V1067" s="5" t="s">
        <v>35</v>
      </c>
    </row>
    <row r="1068" spans="1:22" x14ac:dyDescent="0.3">
      <c r="A1068" s="5" t="s">
        <v>1620</v>
      </c>
      <c r="B1068" s="6">
        <v>46070</v>
      </c>
      <c r="C1068" s="5" t="s">
        <v>807</v>
      </c>
      <c r="D1068" s="5" t="s">
        <v>117</v>
      </c>
      <c r="E1068" s="5" t="s">
        <v>59</v>
      </c>
      <c r="F1068" s="5" t="s">
        <v>60</v>
      </c>
      <c r="G1068" s="5" t="s">
        <v>61</v>
      </c>
      <c r="H1068" s="5" t="s">
        <v>717</v>
      </c>
      <c r="I1068" s="5" t="s">
        <v>718</v>
      </c>
      <c r="J1068" s="5" t="s">
        <v>102</v>
      </c>
      <c r="K1068" s="5" t="s">
        <v>103</v>
      </c>
      <c r="L1068" s="5">
        <v>5</v>
      </c>
      <c r="M1068" s="5">
        <v>61739</v>
      </c>
      <c r="N1068" s="5">
        <v>10</v>
      </c>
      <c r="O1068" s="5">
        <v>277825.5</v>
      </c>
      <c r="P1068" s="5">
        <v>173882.33</v>
      </c>
      <c r="Q1068" s="5">
        <v>103943.17</v>
      </c>
      <c r="R1068" s="5" t="s">
        <v>64</v>
      </c>
      <c r="S1068" s="5" t="s">
        <v>33</v>
      </c>
      <c r="T1068" s="5" t="s">
        <v>34</v>
      </c>
      <c r="U1068" s="5">
        <v>4</v>
      </c>
      <c r="V1068" s="5" t="s">
        <v>45</v>
      </c>
    </row>
    <row r="1069" spans="1:22" x14ac:dyDescent="0.3">
      <c r="A1069" s="5" t="s">
        <v>1621</v>
      </c>
      <c r="B1069" s="6">
        <v>46086</v>
      </c>
      <c r="C1069" s="5" t="s">
        <v>410</v>
      </c>
      <c r="D1069" s="5" t="s">
        <v>58</v>
      </c>
      <c r="E1069" s="5" t="s">
        <v>126</v>
      </c>
      <c r="F1069" s="5" t="s">
        <v>126</v>
      </c>
      <c r="G1069" s="5" t="s">
        <v>51</v>
      </c>
      <c r="H1069" s="5" t="s">
        <v>238</v>
      </c>
      <c r="I1069" s="5" t="s">
        <v>239</v>
      </c>
      <c r="J1069" s="5" t="s">
        <v>71</v>
      </c>
      <c r="K1069" s="5" t="s">
        <v>81</v>
      </c>
      <c r="L1069" s="5">
        <v>4</v>
      </c>
      <c r="M1069" s="5">
        <v>47618</v>
      </c>
      <c r="N1069" s="5">
        <v>5</v>
      </c>
      <c r="O1069" s="5">
        <v>180948.4</v>
      </c>
      <c r="P1069" s="5">
        <v>137626.73000000001</v>
      </c>
      <c r="Q1069" s="5">
        <v>43321.67</v>
      </c>
      <c r="R1069" s="5" t="s">
        <v>64</v>
      </c>
      <c r="S1069" s="5" t="s">
        <v>33</v>
      </c>
      <c r="T1069" s="5" t="s">
        <v>65</v>
      </c>
      <c r="U1069" s="5">
        <v>3</v>
      </c>
      <c r="V1069" s="5" t="s">
        <v>35</v>
      </c>
    </row>
    <row r="1070" spans="1:22" x14ac:dyDescent="0.3">
      <c r="A1070" s="5" t="s">
        <v>1622</v>
      </c>
      <c r="B1070" s="6">
        <v>46026</v>
      </c>
      <c r="C1070" s="5" t="s">
        <v>309</v>
      </c>
      <c r="D1070" s="5" t="s">
        <v>24</v>
      </c>
      <c r="E1070" s="5" t="s">
        <v>94</v>
      </c>
      <c r="F1070" s="5" t="s">
        <v>26</v>
      </c>
      <c r="G1070" s="5" t="s">
        <v>27</v>
      </c>
      <c r="H1070" s="5" t="s">
        <v>312</v>
      </c>
      <c r="I1070" s="5" t="s">
        <v>313</v>
      </c>
      <c r="J1070" s="5" t="s">
        <v>54</v>
      </c>
      <c r="K1070" s="5" t="s">
        <v>97</v>
      </c>
      <c r="L1070" s="5">
        <v>1</v>
      </c>
      <c r="M1070" s="5">
        <v>42355</v>
      </c>
      <c r="N1070" s="5">
        <v>5</v>
      </c>
      <c r="O1070" s="5">
        <v>40237.25</v>
      </c>
      <c r="P1070" s="5">
        <v>31222.79</v>
      </c>
      <c r="Q1070" s="5">
        <v>9014.4599999999991</v>
      </c>
      <c r="R1070" s="5" t="s">
        <v>64</v>
      </c>
      <c r="S1070" s="5" t="s">
        <v>82</v>
      </c>
      <c r="T1070" s="5" t="s">
        <v>65</v>
      </c>
      <c r="U1070" s="5">
        <v>5</v>
      </c>
      <c r="V1070" s="5" t="s">
        <v>35</v>
      </c>
    </row>
    <row r="1071" spans="1:22" x14ac:dyDescent="0.3">
      <c r="A1071" s="5" t="s">
        <v>1623</v>
      </c>
      <c r="B1071" s="6">
        <v>46185</v>
      </c>
      <c r="C1071" s="5" t="s">
        <v>687</v>
      </c>
      <c r="D1071" s="5" t="s">
        <v>89</v>
      </c>
      <c r="E1071" s="5" t="s">
        <v>77</v>
      </c>
      <c r="F1071" s="5" t="s">
        <v>78</v>
      </c>
      <c r="G1071" s="5" t="s">
        <v>41</v>
      </c>
      <c r="H1071" s="5" t="s">
        <v>312</v>
      </c>
      <c r="I1071" s="5" t="s">
        <v>313</v>
      </c>
      <c r="J1071" s="5" t="s">
        <v>54</v>
      </c>
      <c r="K1071" s="5" t="s">
        <v>97</v>
      </c>
      <c r="L1071" s="5">
        <v>2</v>
      </c>
      <c r="M1071" s="5">
        <v>38236</v>
      </c>
      <c r="N1071" s="5">
        <v>5</v>
      </c>
      <c r="O1071" s="5">
        <v>72648.399999999994</v>
      </c>
      <c r="P1071" s="5">
        <v>54789.88</v>
      </c>
      <c r="Q1071" s="5">
        <v>17858.52</v>
      </c>
      <c r="R1071" s="5" t="s">
        <v>64</v>
      </c>
      <c r="S1071" s="5" t="s">
        <v>82</v>
      </c>
      <c r="T1071" s="5" t="s">
        <v>34</v>
      </c>
      <c r="U1071" s="5">
        <v>4</v>
      </c>
      <c r="V1071" s="5" t="s">
        <v>35</v>
      </c>
    </row>
    <row r="1072" spans="1:22" x14ac:dyDescent="0.3">
      <c r="A1072" s="5" t="s">
        <v>1624</v>
      </c>
      <c r="B1072" s="6">
        <v>46183</v>
      </c>
      <c r="C1072" s="5" t="s">
        <v>837</v>
      </c>
      <c r="D1072" s="5" t="s">
        <v>68</v>
      </c>
      <c r="E1072" s="5" t="s">
        <v>25</v>
      </c>
      <c r="F1072" s="5" t="s">
        <v>26</v>
      </c>
      <c r="G1072" s="5" t="s">
        <v>27</v>
      </c>
      <c r="H1072" s="5" t="s">
        <v>316</v>
      </c>
      <c r="I1072" s="5" t="s">
        <v>317</v>
      </c>
      <c r="J1072" s="5" t="s">
        <v>54</v>
      </c>
      <c r="K1072" s="5" t="s">
        <v>55</v>
      </c>
      <c r="L1072" s="5">
        <v>3</v>
      </c>
      <c r="M1072" s="5">
        <v>21104</v>
      </c>
      <c r="N1072" s="5">
        <v>20</v>
      </c>
      <c r="O1072" s="5">
        <v>50649.599999999999</v>
      </c>
      <c r="P1072" s="5">
        <v>45949.5</v>
      </c>
      <c r="Q1072" s="5">
        <v>4700.1000000000004</v>
      </c>
      <c r="R1072" s="5" t="s">
        <v>44</v>
      </c>
      <c r="S1072" s="5" t="s">
        <v>82</v>
      </c>
      <c r="T1072" s="5" t="s">
        <v>65</v>
      </c>
      <c r="U1072" s="5">
        <v>1</v>
      </c>
      <c r="V1072" s="5" t="s">
        <v>35</v>
      </c>
    </row>
    <row r="1073" spans="1:22" x14ac:dyDescent="0.3">
      <c r="A1073" s="5" t="s">
        <v>1625</v>
      </c>
      <c r="B1073" s="6">
        <v>46064</v>
      </c>
      <c r="C1073" s="5" t="s">
        <v>654</v>
      </c>
      <c r="D1073" s="5" t="s">
        <v>117</v>
      </c>
      <c r="E1073" s="5" t="s">
        <v>49</v>
      </c>
      <c r="F1073" s="5" t="s">
        <v>50</v>
      </c>
      <c r="G1073" s="5" t="s">
        <v>51</v>
      </c>
      <c r="H1073" s="5" t="s">
        <v>312</v>
      </c>
      <c r="I1073" s="5" t="s">
        <v>313</v>
      </c>
      <c r="J1073" s="5" t="s">
        <v>54</v>
      </c>
      <c r="K1073" s="5" t="s">
        <v>97</v>
      </c>
      <c r="L1073" s="5">
        <v>1</v>
      </c>
      <c r="M1073" s="5">
        <v>28371</v>
      </c>
      <c r="N1073" s="5">
        <v>0</v>
      </c>
      <c r="O1073" s="5">
        <v>28371</v>
      </c>
      <c r="P1073" s="5">
        <v>22672.66</v>
      </c>
      <c r="Q1073" s="5">
        <v>5698.34</v>
      </c>
      <c r="R1073" s="5" t="s">
        <v>32</v>
      </c>
      <c r="S1073" s="5" t="s">
        <v>82</v>
      </c>
      <c r="T1073" s="5" t="s">
        <v>73</v>
      </c>
      <c r="U1073" s="5">
        <v>2</v>
      </c>
      <c r="V1073" s="5" t="s">
        <v>45</v>
      </c>
    </row>
    <row r="1074" spans="1:22" x14ac:dyDescent="0.3">
      <c r="A1074" s="5" t="s">
        <v>1626</v>
      </c>
      <c r="B1074" s="6">
        <v>46169</v>
      </c>
      <c r="C1074" s="5" t="s">
        <v>109</v>
      </c>
      <c r="D1074" s="5" t="s">
        <v>151</v>
      </c>
      <c r="E1074" s="5" t="s">
        <v>59</v>
      </c>
      <c r="F1074" s="5" t="s">
        <v>60</v>
      </c>
      <c r="G1074" s="5" t="s">
        <v>61</v>
      </c>
      <c r="H1074" s="5" t="s">
        <v>62</v>
      </c>
      <c r="I1074" s="5" t="s">
        <v>63</v>
      </c>
      <c r="J1074" s="5" t="s">
        <v>54</v>
      </c>
      <c r="K1074" s="5" t="s">
        <v>55</v>
      </c>
      <c r="L1074" s="5">
        <v>1</v>
      </c>
      <c r="M1074" s="5">
        <v>12343</v>
      </c>
      <c r="N1074" s="5">
        <v>15</v>
      </c>
      <c r="O1074" s="5">
        <v>10491.55</v>
      </c>
      <c r="P1074" s="5">
        <v>8236.9</v>
      </c>
      <c r="Q1074" s="5">
        <v>2254.65</v>
      </c>
      <c r="R1074" s="5" t="s">
        <v>44</v>
      </c>
      <c r="S1074" s="5" t="s">
        <v>82</v>
      </c>
      <c r="T1074" s="5" t="s">
        <v>34</v>
      </c>
      <c r="U1074" s="5">
        <v>5</v>
      </c>
      <c r="V1074" s="5" t="s">
        <v>45</v>
      </c>
    </row>
    <row r="1075" spans="1:22" x14ac:dyDescent="0.3">
      <c r="A1075" s="5" t="s">
        <v>1627</v>
      </c>
      <c r="B1075" s="6">
        <v>46125</v>
      </c>
      <c r="C1075" s="5" t="s">
        <v>645</v>
      </c>
      <c r="D1075" s="5" t="s">
        <v>38</v>
      </c>
      <c r="E1075" s="5" t="s">
        <v>59</v>
      </c>
      <c r="F1075" s="5" t="s">
        <v>60</v>
      </c>
      <c r="G1075" s="5" t="s">
        <v>61</v>
      </c>
      <c r="H1075" s="5" t="s">
        <v>513</v>
      </c>
      <c r="I1075" s="5" t="s">
        <v>514</v>
      </c>
      <c r="J1075" s="5" t="s">
        <v>71</v>
      </c>
      <c r="K1075" s="5" t="s">
        <v>72</v>
      </c>
      <c r="L1075" s="5">
        <v>4</v>
      </c>
      <c r="M1075" s="5">
        <v>23182</v>
      </c>
      <c r="N1075" s="5">
        <v>0</v>
      </c>
      <c r="O1075" s="5">
        <v>92728</v>
      </c>
      <c r="P1075" s="5">
        <v>70519.100000000006</v>
      </c>
      <c r="Q1075" s="5">
        <v>22208.9</v>
      </c>
      <c r="R1075" s="5" t="s">
        <v>44</v>
      </c>
      <c r="S1075" s="5" t="s">
        <v>82</v>
      </c>
      <c r="T1075" s="5" t="s">
        <v>73</v>
      </c>
      <c r="U1075" s="5">
        <v>4</v>
      </c>
      <c r="V1075" s="5" t="s">
        <v>45</v>
      </c>
    </row>
    <row r="1076" spans="1:22" x14ac:dyDescent="0.3">
      <c r="A1076" s="5" t="s">
        <v>1628</v>
      </c>
      <c r="B1076" s="6">
        <v>46126</v>
      </c>
      <c r="C1076" s="5" t="s">
        <v>1179</v>
      </c>
      <c r="D1076" s="5" t="s">
        <v>68</v>
      </c>
      <c r="E1076" s="5" t="s">
        <v>59</v>
      </c>
      <c r="F1076" s="5" t="s">
        <v>60</v>
      </c>
      <c r="G1076" s="5" t="s">
        <v>61</v>
      </c>
      <c r="H1076" s="5" t="s">
        <v>557</v>
      </c>
      <c r="I1076" s="5" t="s">
        <v>558</v>
      </c>
      <c r="J1076" s="5" t="s">
        <v>54</v>
      </c>
      <c r="K1076" s="5" t="s">
        <v>97</v>
      </c>
      <c r="L1076" s="5">
        <v>3</v>
      </c>
      <c r="M1076" s="5">
        <v>44376</v>
      </c>
      <c r="N1076" s="5">
        <v>15</v>
      </c>
      <c r="O1076" s="5">
        <v>113158.8</v>
      </c>
      <c r="P1076" s="5">
        <v>87465.44</v>
      </c>
      <c r="Q1076" s="5">
        <v>25693.360000000001</v>
      </c>
      <c r="R1076" s="5" t="s">
        <v>64</v>
      </c>
      <c r="S1076" s="5" t="s">
        <v>82</v>
      </c>
      <c r="T1076" s="5" t="s">
        <v>65</v>
      </c>
      <c r="U1076" s="5">
        <v>3</v>
      </c>
      <c r="V1076" s="5" t="s">
        <v>35</v>
      </c>
    </row>
    <row r="1077" spans="1:22" x14ac:dyDescent="0.3">
      <c r="A1077" s="5" t="s">
        <v>1629</v>
      </c>
      <c r="B1077" s="6">
        <v>46174</v>
      </c>
      <c r="C1077" s="5" t="s">
        <v>639</v>
      </c>
      <c r="D1077" s="5" t="s">
        <v>24</v>
      </c>
      <c r="E1077" s="5" t="s">
        <v>126</v>
      </c>
      <c r="F1077" s="5" t="s">
        <v>126</v>
      </c>
      <c r="G1077" s="5" t="s">
        <v>51</v>
      </c>
      <c r="H1077" s="5" t="s">
        <v>203</v>
      </c>
      <c r="I1077" s="5" t="s">
        <v>204</v>
      </c>
      <c r="J1077" s="5" t="s">
        <v>71</v>
      </c>
      <c r="K1077" s="5" t="s">
        <v>81</v>
      </c>
      <c r="L1077" s="5">
        <v>5</v>
      </c>
      <c r="M1077" s="5">
        <v>9861</v>
      </c>
      <c r="N1077" s="5">
        <v>10</v>
      </c>
      <c r="O1077" s="5">
        <v>44374.5</v>
      </c>
      <c r="P1077" s="5">
        <v>41627.01</v>
      </c>
      <c r="Q1077" s="5">
        <v>2747.49</v>
      </c>
      <c r="R1077" s="5" t="s">
        <v>64</v>
      </c>
      <c r="S1077" s="5" t="s">
        <v>33</v>
      </c>
      <c r="T1077" s="5" t="s">
        <v>65</v>
      </c>
      <c r="U1077" s="5">
        <v>4</v>
      </c>
      <c r="V1077" s="5" t="s">
        <v>45</v>
      </c>
    </row>
    <row r="1078" spans="1:22" x14ac:dyDescent="0.3">
      <c r="A1078" s="5" t="s">
        <v>1630</v>
      </c>
      <c r="B1078" s="6">
        <v>46095</v>
      </c>
      <c r="C1078" s="5" t="s">
        <v>667</v>
      </c>
      <c r="D1078" s="5" t="s">
        <v>89</v>
      </c>
      <c r="E1078" s="5" t="s">
        <v>94</v>
      </c>
      <c r="F1078" s="5" t="s">
        <v>26</v>
      </c>
      <c r="G1078" s="5" t="s">
        <v>27</v>
      </c>
      <c r="H1078" s="5" t="s">
        <v>203</v>
      </c>
      <c r="I1078" s="5" t="s">
        <v>204</v>
      </c>
      <c r="J1078" s="5" t="s">
        <v>71</v>
      </c>
      <c r="K1078" s="5" t="s">
        <v>81</v>
      </c>
      <c r="L1078" s="5">
        <v>3</v>
      </c>
      <c r="M1078" s="5">
        <v>21333</v>
      </c>
      <c r="N1078" s="5">
        <v>0</v>
      </c>
      <c r="O1078" s="5">
        <v>63999</v>
      </c>
      <c r="P1078" s="5">
        <v>50153.42</v>
      </c>
      <c r="Q1078" s="5">
        <v>13845.58</v>
      </c>
      <c r="R1078" s="5" t="s">
        <v>44</v>
      </c>
      <c r="S1078" s="5" t="s">
        <v>33</v>
      </c>
      <c r="T1078" s="5" t="s">
        <v>65</v>
      </c>
      <c r="U1078" s="5">
        <v>3</v>
      </c>
      <c r="V1078" s="5" t="s">
        <v>45</v>
      </c>
    </row>
    <row r="1079" spans="1:22" x14ac:dyDescent="0.3">
      <c r="A1079" s="5" t="s">
        <v>1631</v>
      </c>
      <c r="B1079" s="6">
        <v>46051</v>
      </c>
      <c r="C1079" s="5" t="s">
        <v>347</v>
      </c>
      <c r="D1079" s="5" t="s">
        <v>68</v>
      </c>
      <c r="E1079" s="5" t="s">
        <v>49</v>
      </c>
      <c r="F1079" s="5" t="s">
        <v>50</v>
      </c>
      <c r="G1079" s="5" t="s">
        <v>51</v>
      </c>
      <c r="H1079" s="5" t="s">
        <v>759</v>
      </c>
      <c r="I1079" s="5" t="s">
        <v>760</v>
      </c>
      <c r="J1079" s="5" t="s">
        <v>71</v>
      </c>
      <c r="K1079" s="5" t="s">
        <v>72</v>
      </c>
      <c r="L1079" s="5">
        <v>5</v>
      </c>
      <c r="M1079" s="5">
        <v>62822</v>
      </c>
      <c r="N1079" s="5">
        <v>15</v>
      </c>
      <c r="O1079" s="5">
        <v>266993.5</v>
      </c>
      <c r="P1079" s="5">
        <v>250389.67</v>
      </c>
      <c r="Q1079" s="5">
        <v>16603.830000000002</v>
      </c>
      <c r="R1079" s="5" t="s">
        <v>64</v>
      </c>
      <c r="S1079" s="5" t="s">
        <v>82</v>
      </c>
      <c r="T1079" s="5" t="s">
        <v>34</v>
      </c>
      <c r="U1079" s="5">
        <v>4</v>
      </c>
      <c r="V1079" s="5" t="s">
        <v>35</v>
      </c>
    </row>
    <row r="1080" spans="1:22" x14ac:dyDescent="0.3">
      <c r="A1080" s="5" t="s">
        <v>1632</v>
      </c>
      <c r="B1080" s="6">
        <v>46177</v>
      </c>
      <c r="C1080" s="5" t="s">
        <v>647</v>
      </c>
      <c r="D1080" s="5" t="s">
        <v>38</v>
      </c>
      <c r="E1080" s="5" t="s">
        <v>77</v>
      </c>
      <c r="F1080" s="5" t="s">
        <v>78</v>
      </c>
      <c r="G1080" s="5" t="s">
        <v>41</v>
      </c>
      <c r="H1080" s="5" t="s">
        <v>324</v>
      </c>
      <c r="I1080" s="5" t="s">
        <v>325</v>
      </c>
      <c r="J1080" s="5" t="s">
        <v>54</v>
      </c>
      <c r="K1080" s="5" t="s">
        <v>55</v>
      </c>
      <c r="L1080" s="5">
        <v>2</v>
      </c>
      <c r="M1080" s="5">
        <v>52709</v>
      </c>
      <c r="N1080" s="5">
        <v>10</v>
      </c>
      <c r="O1080" s="5">
        <v>94876.2</v>
      </c>
      <c r="P1080" s="5">
        <v>85641.01</v>
      </c>
      <c r="Q1080" s="5">
        <v>9235.19</v>
      </c>
      <c r="R1080" s="5" t="s">
        <v>44</v>
      </c>
      <c r="S1080" s="5" t="s">
        <v>33</v>
      </c>
      <c r="T1080" s="5" t="s">
        <v>34</v>
      </c>
      <c r="U1080" s="5">
        <v>2</v>
      </c>
      <c r="V1080" s="5" t="s">
        <v>45</v>
      </c>
    </row>
    <row r="1081" spans="1:22" x14ac:dyDescent="0.3">
      <c r="A1081" s="5" t="s">
        <v>1633</v>
      </c>
      <c r="B1081" s="6">
        <v>46092</v>
      </c>
      <c r="C1081" s="5" t="s">
        <v>540</v>
      </c>
      <c r="D1081" s="5" t="s">
        <v>58</v>
      </c>
      <c r="E1081" s="5" t="s">
        <v>25</v>
      </c>
      <c r="F1081" s="5" t="s">
        <v>26</v>
      </c>
      <c r="G1081" s="5" t="s">
        <v>27</v>
      </c>
      <c r="H1081" s="5" t="s">
        <v>316</v>
      </c>
      <c r="I1081" s="5" t="s">
        <v>317</v>
      </c>
      <c r="J1081" s="5" t="s">
        <v>54</v>
      </c>
      <c r="K1081" s="5" t="s">
        <v>55</v>
      </c>
      <c r="L1081" s="5">
        <v>2</v>
      </c>
      <c r="M1081" s="5">
        <v>17915</v>
      </c>
      <c r="N1081" s="5">
        <v>0</v>
      </c>
      <c r="O1081" s="5">
        <v>35830</v>
      </c>
      <c r="P1081" s="5">
        <v>20722.68</v>
      </c>
      <c r="Q1081" s="5">
        <v>15107.32</v>
      </c>
      <c r="R1081" s="5" t="s">
        <v>64</v>
      </c>
      <c r="S1081" s="5" t="s">
        <v>33</v>
      </c>
      <c r="T1081" s="5" t="s">
        <v>34</v>
      </c>
      <c r="U1081" s="5">
        <v>2</v>
      </c>
      <c r="V1081" s="5" t="s">
        <v>35</v>
      </c>
    </row>
    <row r="1082" spans="1:22" x14ac:dyDescent="0.3">
      <c r="A1082" s="5" t="s">
        <v>1634</v>
      </c>
      <c r="B1082" s="6">
        <v>46045</v>
      </c>
      <c r="C1082" s="5" t="s">
        <v>607</v>
      </c>
      <c r="D1082" s="5" t="s">
        <v>76</v>
      </c>
      <c r="E1082" s="5" t="s">
        <v>94</v>
      </c>
      <c r="F1082" s="5" t="s">
        <v>26</v>
      </c>
      <c r="G1082" s="5" t="s">
        <v>27</v>
      </c>
      <c r="H1082" s="5" t="s">
        <v>1365</v>
      </c>
      <c r="I1082" s="5" t="s">
        <v>1366</v>
      </c>
      <c r="J1082" s="5" t="s">
        <v>54</v>
      </c>
      <c r="K1082" s="5" t="s">
        <v>97</v>
      </c>
      <c r="L1082" s="5">
        <v>4</v>
      </c>
      <c r="M1082" s="5">
        <v>30863</v>
      </c>
      <c r="N1082" s="5">
        <v>15</v>
      </c>
      <c r="O1082" s="5">
        <v>104934.2</v>
      </c>
      <c r="P1082" s="5">
        <v>93241.1</v>
      </c>
      <c r="Q1082" s="5">
        <v>11693.1</v>
      </c>
      <c r="R1082" s="5" t="s">
        <v>64</v>
      </c>
      <c r="S1082" s="5" t="s">
        <v>33</v>
      </c>
      <c r="T1082" s="5" t="s">
        <v>34</v>
      </c>
      <c r="U1082" s="5">
        <v>4</v>
      </c>
      <c r="V1082" s="5" t="s">
        <v>35</v>
      </c>
    </row>
    <row r="1083" spans="1:22" x14ac:dyDescent="0.3">
      <c r="A1083" s="5" t="s">
        <v>1635</v>
      </c>
      <c r="B1083" s="6">
        <v>46189</v>
      </c>
      <c r="C1083" s="5" t="s">
        <v>1064</v>
      </c>
      <c r="D1083" s="5" t="s">
        <v>68</v>
      </c>
      <c r="E1083" s="5" t="s">
        <v>25</v>
      </c>
      <c r="F1083" s="5" t="s">
        <v>26</v>
      </c>
      <c r="G1083" s="5" t="s">
        <v>27</v>
      </c>
      <c r="H1083" s="5" t="s">
        <v>762</v>
      </c>
      <c r="I1083" s="5" t="s">
        <v>763</v>
      </c>
      <c r="J1083" s="5" t="s">
        <v>54</v>
      </c>
      <c r="K1083" s="5" t="s">
        <v>55</v>
      </c>
      <c r="L1083" s="5">
        <v>4</v>
      </c>
      <c r="M1083" s="5">
        <v>73613</v>
      </c>
      <c r="N1083" s="5">
        <v>5</v>
      </c>
      <c r="O1083" s="5">
        <v>279729.40000000002</v>
      </c>
      <c r="P1083" s="5">
        <v>187374.17</v>
      </c>
      <c r="Q1083" s="5">
        <v>92355.23</v>
      </c>
      <c r="R1083" s="5" t="s">
        <v>32</v>
      </c>
      <c r="S1083" s="5" t="s">
        <v>82</v>
      </c>
      <c r="T1083" s="5" t="s">
        <v>65</v>
      </c>
      <c r="U1083" s="5">
        <v>4</v>
      </c>
      <c r="V1083" s="5" t="s">
        <v>35</v>
      </c>
    </row>
    <row r="1084" spans="1:22" x14ac:dyDescent="0.3">
      <c r="A1084" s="5" t="s">
        <v>1636</v>
      </c>
      <c r="B1084" s="6">
        <v>46055</v>
      </c>
      <c r="C1084" s="5" t="s">
        <v>390</v>
      </c>
      <c r="D1084" s="5" t="s">
        <v>76</v>
      </c>
      <c r="E1084" s="5" t="s">
        <v>94</v>
      </c>
      <c r="F1084" s="5" t="s">
        <v>26</v>
      </c>
      <c r="G1084" s="5" t="s">
        <v>27</v>
      </c>
      <c r="H1084" s="5" t="s">
        <v>678</v>
      </c>
      <c r="I1084" s="5" t="s">
        <v>679</v>
      </c>
      <c r="J1084" s="5" t="s">
        <v>54</v>
      </c>
      <c r="K1084" s="5" t="s">
        <v>55</v>
      </c>
      <c r="L1084" s="5">
        <v>4</v>
      </c>
      <c r="M1084" s="5">
        <v>13447</v>
      </c>
      <c r="N1084" s="5">
        <v>0</v>
      </c>
      <c r="O1084" s="5">
        <v>53788</v>
      </c>
      <c r="P1084" s="5">
        <v>41131.269999999997</v>
      </c>
      <c r="Q1084" s="5">
        <v>12656.73</v>
      </c>
      <c r="R1084" s="5" t="s">
        <v>44</v>
      </c>
      <c r="S1084" s="5" t="s">
        <v>33</v>
      </c>
      <c r="T1084" s="5" t="s">
        <v>73</v>
      </c>
      <c r="U1084" s="5">
        <v>4</v>
      </c>
      <c r="V1084" s="5" t="s">
        <v>45</v>
      </c>
    </row>
    <row r="1085" spans="1:22" x14ac:dyDescent="0.3">
      <c r="A1085" s="5" t="s">
        <v>1637</v>
      </c>
      <c r="B1085" s="6">
        <v>46038</v>
      </c>
      <c r="C1085" s="5" t="s">
        <v>252</v>
      </c>
      <c r="D1085" s="5" t="s">
        <v>89</v>
      </c>
      <c r="E1085" s="5" t="s">
        <v>126</v>
      </c>
      <c r="F1085" s="5" t="s">
        <v>126</v>
      </c>
      <c r="G1085" s="5" t="s">
        <v>51</v>
      </c>
      <c r="H1085" s="5" t="s">
        <v>106</v>
      </c>
      <c r="I1085" s="5" t="s">
        <v>107</v>
      </c>
      <c r="J1085" s="5" t="s">
        <v>30</v>
      </c>
      <c r="K1085" s="5" t="s">
        <v>31</v>
      </c>
      <c r="L1085" s="5">
        <v>1</v>
      </c>
      <c r="M1085" s="5">
        <v>78800</v>
      </c>
      <c r="N1085" s="5">
        <v>15</v>
      </c>
      <c r="O1085" s="5">
        <v>66980</v>
      </c>
      <c r="P1085" s="5">
        <v>66515.899999999994</v>
      </c>
      <c r="Q1085" s="5">
        <v>464.1</v>
      </c>
      <c r="R1085" s="5" t="s">
        <v>64</v>
      </c>
      <c r="S1085" s="5" t="s">
        <v>33</v>
      </c>
      <c r="T1085" s="5" t="s">
        <v>34</v>
      </c>
      <c r="U1085" s="5">
        <v>4</v>
      </c>
      <c r="V1085" s="5" t="s">
        <v>45</v>
      </c>
    </row>
    <row r="1086" spans="1:22" x14ac:dyDescent="0.3">
      <c r="A1086" s="5" t="s">
        <v>1638</v>
      </c>
      <c r="B1086" s="6">
        <v>46194</v>
      </c>
      <c r="C1086" s="5" t="s">
        <v>577</v>
      </c>
      <c r="D1086" s="5" t="s">
        <v>24</v>
      </c>
      <c r="E1086" s="5" t="s">
        <v>49</v>
      </c>
      <c r="F1086" s="5" t="s">
        <v>50</v>
      </c>
      <c r="G1086" s="5" t="s">
        <v>51</v>
      </c>
      <c r="H1086" s="5" t="s">
        <v>135</v>
      </c>
      <c r="I1086" s="5" t="s">
        <v>136</v>
      </c>
      <c r="J1086" s="5" t="s">
        <v>30</v>
      </c>
      <c r="K1086" s="5" t="s">
        <v>31</v>
      </c>
      <c r="L1086" s="5">
        <v>1</v>
      </c>
      <c r="M1086" s="5">
        <v>35370</v>
      </c>
      <c r="N1086" s="5">
        <v>10</v>
      </c>
      <c r="O1086" s="5">
        <v>31833</v>
      </c>
      <c r="P1086" s="5">
        <v>21744.959999999999</v>
      </c>
      <c r="Q1086" s="5">
        <v>10088.040000000001</v>
      </c>
      <c r="R1086" s="5" t="s">
        <v>32</v>
      </c>
      <c r="S1086" s="5" t="s">
        <v>82</v>
      </c>
      <c r="T1086" s="5" t="s">
        <v>34</v>
      </c>
      <c r="U1086" s="5">
        <v>3</v>
      </c>
      <c r="V1086" s="5" t="s">
        <v>35</v>
      </c>
    </row>
    <row r="1087" spans="1:22" x14ac:dyDescent="0.3">
      <c r="A1087" s="5" t="s">
        <v>1639</v>
      </c>
      <c r="B1087" s="6">
        <v>46045</v>
      </c>
      <c r="C1087" s="5" t="s">
        <v>552</v>
      </c>
      <c r="D1087" s="5" t="s">
        <v>48</v>
      </c>
      <c r="E1087" s="5" t="s">
        <v>39</v>
      </c>
      <c r="F1087" s="5" t="s">
        <v>40</v>
      </c>
      <c r="G1087" s="5" t="s">
        <v>41</v>
      </c>
      <c r="H1087" s="5" t="s">
        <v>461</v>
      </c>
      <c r="I1087" s="5" t="s">
        <v>462</v>
      </c>
      <c r="J1087" s="5" t="s">
        <v>71</v>
      </c>
      <c r="K1087" s="5" t="s">
        <v>72</v>
      </c>
      <c r="L1087" s="5">
        <v>3</v>
      </c>
      <c r="M1087" s="5">
        <v>75371</v>
      </c>
      <c r="N1087" s="5">
        <v>10</v>
      </c>
      <c r="O1087" s="5">
        <v>203501.7</v>
      </c>
      <c r="P1087" s="5">
        <v>180423.29</v>
      </c>
      <c r="Q1087" s="5">
        <v>23078.41</v>
      </c>
      <c r="R1087" s="5" t="s">
        <v>32</v>
      </c>
      <c r="S1087" s="5" t="s">
        <v>82</v>
      </c>
      <c r="T1087" s="5" t="s">
        <v>34</v>
      </c>
      <c r="U1087" s="5">
        <v>1</v>
      </c>
      <c r="V1087" s="5" t="s">
        <v>45</v>
      </c>
    </row>
    <row r="1088" spans="1:22" x14ac:dyDescent="0.3">
      <c r="A1088" s="5" t="s">
        <v>1640</v>
      </c>
      <c r="B1088" s="6">
        <v>46195</v>
      </c>
      <c r="C1088" s="5" t="s">
        <v>399</v>
      </c>
      <c r="D1088" s="5" t="s">
        <v>117</v>
      </c>
      <c r="E1088" s="5" t="s">
        <v>94</v>
      </c>
      <c r="F1088" s="5" t="s">
        <v>26</v>
      </c>
      <c r="G1088" s="5" t="s">
        <v>27</v>
      </c>
      <c r="H1088" s="5" t="s">
        <v>269</v>
      </c>
      <c r="I1088" s="5" t="s">
        <v>270</v>
      </c>
      <c r="J1088" s="5" t="s">
        <v>71</v>
      </c>
      <c r="K1088" s="5" t="s">
        <v>72</v>
      </c>
      <c r="L1088" s="5">
        <v>3</v>
      </c>
      <c r="M1088" s="5">
        <v>48582</v>
      </c>
      <c r="N1088" s="5">
        <v>0</v>
      </c>
      <c r="O1088" s="5">
        <v>145746</v>
      </c>
      <c r="P1088" s="5">
        <v>106696.82</v>
      </c>
      <c r="Q1088" s="5">
        <v>39049.18</v>
      </c>
      <c r="R1088" s="5" t="s">
        <v>32</v>
      </c>
      <c r="S1088" s="5" t="s">
        <v>33</v>
      </c>
      <c r="T1088" s="5" t="s">
        <v>65</v>
      </c>
      <c r="U1088" s="5">
        <v>3</v>
      </c>
      <c r="V1088" s="5" t="s">
        <v>35</v>
      </c>
    </row>
    <row r="1089" spans="1:22" x14ac:dyDescent="0.3">
      <c r="A1089" s="5" t="s">
        <v>1641</v>
      </c>
      <c r="B1089" s="6">
        <v>46056</v>
      </c>
      <c r="C1089" s="5" t="s">
        <v>643</v>
      </c>
      <c r="D1089" s="5" t="s">
        <v>48</v>
      </c>
      <c r="E1089" s="5" t="s">
        <v>94</v>
      </c>
      <c r="F1089" s="5" t="s">
        <v>26</v>
      </c>
      <c r="G1089" s="5" t="s">
        <v>27</v>
      </c>
      <c r="H1089" s="5" t="s">
        <v>189</v>
      </c>
      <c r="I1089" s="5" t="s">
        <v>190</v>
      </c>
      <c r="J1089" s="5" t="s">
        <v>102</v>
      </c>
      <c r="K1089" s="5" t="s">
        <v>103</v>
      </c>
      <c r="L1089" s="5">
        <v>2</v>
      </c>
      <c r="M1089" s="5">
        <v>37023</v>
      </c>
      <c r="N1089" s="5">
        <v>20</v>
      </c>
      <c r="O1089" s="5">
        <v>59236.800000000003</v>
      </c>
      <c r="P1089" s="5">
        <v>43833.95</v>
      </c>
      <c r="Q1089" s="5">
        <v>15402.85</v>
      </c>
      <c r="R1089" s="5" t="s">
        <v>44</v>
      </c>
      <c r="S1089" s="5" t="s">
        <v>82</v>
      </c>
      <c r="T1089" s="5" t="s">
        <v>73</v>
      </c>
      <c r="U1089" s="5">
        <v>2</v>
      </c>
      <c r="V1089" s="5" t="s">
        <v>35</v>
      </c>
    </row>
    <row r="1090" spans="1:22" x14ac:dyDescent="0.3">
      <c r="A1090" s="5" t="s">
        <v>1642</v>
      </c>
      <c r="B1090" s="6">
        <v>46203</v>
      </c>
      <c r="C1090" s="5" t="s">
        <v>690</v>
      </c>
      <c r="D1090" s="5" t="s">
        <v>151</v>
      </c>
      <c r="E1090" s="5" t="s">
        <v>49</v>
      </c>
      <c r="F1090" s="5" t="s">
        <v>50</v>
      </c>
      <c r="G1090" s="5" t="s">
        <v>51</v>
      </c>
      <c r="H1090" s="5" t="s">
        <v>193</v>
      </c>
      <c r="I1090" s="5" t="s">
        <v>194</v>
      </c>
      <c r="J1090" s="5" t="s">
        <v>71</v>
      </c>
      <c r="K1090" s="5" t="s">
        <v>72</v>
      </c>
      <c r="L1090" s="5">
        <v>5</v>
      </c>
      <c r="M1090" s="5">
        <v>20688</v>
      </c>
      <c r="N1090" s="5">
        <v>10</v>
      </c>
      <c r="O1090" s="5">
        <v>93096</v>
      </c>
      <c r="P1090" s="5">
        <v>60361</v>
      </c>
      <c r="Q1090" s="5">
        <v>32735</v>
      </c>
      <c r="R1090" s="5" t="s">
        <v>44</v>
      </c>
      <c r="S1090" s="5" t="s">
        <v>82</v>
      </c>
      <c r="T1090" s="5" t="s">
        <v>73</v>
      </c>
      <c r="U1090" s="5">
        <v>4</v>
      </c>
      <c r="V1090" s="5" t="s">
        <v>45</v>
      </c>
    </row>
    <row r="1091" spans="1:22" x14ac:dyDescent="0.3">
      <c r="A1091" s="5" t="s">
        <v>1643</v>
      </c>
      <c r="B1091" s="6">
        <v>46026</v>
      </c>
      <c r="C1091" s="5" t="s">
        <v>438</v>
      </c>
      <c r="D1091" s="5" t="s">
        <v>24</v>
      </c>
      <c r="E1091" s="5" t="s">
        <v>59</v>
      </c>
      <c r="F1091" s="5" t="s">
        <v>60</v>
      </c>
      <c r="G1091" s="5" t="s">
        <v>61</v>
      </c>
      <c r="H1091" s="5" t="s">
        <v>401</v>
      </c>
      <c r="I1091" s="5" t="s">
        <v>402</v>
      </c>
      <c r="J1091" s="5" t="s">
        <v>102</v>
      </c>
      <c r="K1091" s="5" t="s">
        <v>103</v>
      </c>
      <c r="L1091" s="5">
        <v>1</v>
      </c>
      <c r="M1091" s="5">
        <v>44089</v>
      </c>
      <c r="N1091" s="5">
        <v>10</v>
      </c>
      <c r="O1091" s="5">
        <v>39680.1</v>
      </c>
      <c r="P1091" s="5">
        <v>33138.89</v>
      </c>
      <c r="Q1091" s="5">
        <v>6541.21</v>
      </c>
      <c r="R1091" s="5" t="s">
        <v>64</v>
      </c>
      <c r="S1091" s="5" t="s">
        <v>82</v>
      </c>
      <c r="T1091" s="5" t="s">
        <v>34</v>
      </c>
      <c r="U1091" s="5">
        <v>2</v>
      </c>
      <c r="V1091" s="5" t="s">
        <v>45</v>
      </c>
    </row>
    <row r="1092" spans="1:22" x14ac:dyDescent="0.3">
      <c r="A1092" s="5" t="s">
        <v>1644</v>
      </c>
      <c r="B1092" s="6">
        <v>46043</v>
      </c>
      <c r="C1092" s="5" t="s">
        <v>159</v>
      </c>
      <c r="D1092" s="5" t="s">
        <v>117</v>
      </c>
      <c r="E1092" s="5" t="s">
        <v>39</v>
      </c>
      <c r="F1092" s="5" t="s">
        <v>40</v>
      </c>
      <c r="G1092" s="5" t="s">
        <v>41</v>
      </c>
      <c r="H1092" s="5" t="s">
        <v>574</v>
      </c>
      <c r="I1092" s="5" t="s">
        <v>575</v>
      </c>
      <c r="J1092" s="5" t="s">
        <v>30</v>
      </c>
      <c r="K1092" s="5" t="s">
        <v>31</v>
      </c>
      <c r="L1092" s="5">
        <v>4</v>
      </c>
      <c r="M1092" s="5">
        <v>52206</v>
      </c>
      <c r="N1092" s="5">
        <v>10</v>
      </c>
      <c r="O1092" s="5">
        <v>187941.6</v>
      </c>
      <c r="P1092" s="5">
        <v>168533.97</v>
      </c>
      <c r="Q1092" s="5">
        <v>19407.63</v>
      </c>
      <c r="R1092" s="5" t="s">
        <v>32</v>
      </c>
      <c r="S1092" s="5" t="s">
        <v>33</v>
      </c>
      <c r="T1092" s="5" t="s">
        <v>65</v>
      </c>
      <c r="U1092" s="5">
        <v>3</v>
      </c>
      <c r="V1092" s="5" t="s">
        <v>45</v>
      </c>
    </row>
    <row r="1093" spans="1:22" x14ac:dyDescent="0.3">
      <c r="A1093" s="5" t="s">
        <v>1645</v>
      </c>
      <c r="B1093" s="6">
        <v>46026</v>
      </c>
      <c r="C1093" s="5" t="s">
        <v>1158</v>
      </c>
      <c r="D1093" s="5" t="s">
        <v>110</v>
      </c>
      <c r="E1093" s="5" t="s">
        <v>39</v>
      </c>
      <c r="F1093" s="5" t="s">
        <v>40</v>
      </c>
      <c r="G1093" s="5" t="s">
        <v>41</v>
      </c>
      <c r="H1093" s="5" t="s">
        <v>131</v>
      </c>
      <c r="I1093" s="5" t="s">
        <v>132</v>
      </c>
      <c r="J1093" s="5" t="s">
        <v>71</v>
      </c>
      <c r="K1093" s="5" t="s">
        <v>81</v>
      </c>
      <c r="L1093" s="5">
        <v>2</v>
      </c>
      <c r="M1093" s="5">
        <v>15902</v>
      </c>
      <c r="N1093" s="5">
        <v>0</v>
      </c>
      <c r="O1093" s="5">
        <v>31804</v>
      </c>
      <c r="P1093" s="5">
        <v>25847.88</v>
      </c>
      <c r="Q1093" s="5">
        <v>5956.12</v>
      </c>
      <c r="R1093" s="5" t="s">
        <v>44</v>
      </c>
      <c r="S1093" s="5" t="s">
        <v>82</v>
      </c>
      <c r="T1093" s="5" t="s">
        <v>73</v>
      </c>
      <c r="U1093" s="5">
        <v>2</v>
      </c>
      <c r="V1093" s="5" t="s">
        <v>45</v>
      </c>
    </row>
    <row r="1094" spans="1:22" x14ac:dyDescent="0.3">
      <c r="A1094" s="5" t="s">
        <v>1646</v>
      </c>
      <c r="B1094" s="6">
        <v>46138</v>
      </c>
      <c r="C1094" s="5" t="s">
        <v>725</v>
      </c>
      <c r="D1094" s="5" t="s">
        <v>76</v>
      </c>
      <c r="E1094" s="5" t="s">
        <v>25</v>
      </c>
      <c r="F1094" s="5" t="s">
        <v>26</v>
      </c>
      <c r="G1094" s="5" t="s">
        <v>27</v>
      </c>
      <c r="H1094" s="5" t="s">
        <v>284</v>
      </c>
      <c r="I1094" s="5" t="s">
        <v>285</v>
      </c>
      <c r="J1094" s="5" t="s">
        <v>54</v>
      </c>
      <c r="K1094" s="5" t="s">
        <v>55</v>
      </c>
      <c r="L1094" s="5">
        <v>4</v>
      </c>
      <c r="M1094" s="5">
        <v>25202</v>
      </c>
      <c r="N1094" s="5">
        <v>20</v>
      </c>
      <c r="O1094" s="5">
        <v>80646.399999999994</v>
      </c>
      <c r="P1094" s="5">
        <v>62315.32</v>
      </c>
      <c r="Q1094" s="5">
        <v>18331.080000000002</v>
      </c>
      <c r="R1094" s="5" t="s">
        <v>32</v>
      </c>
      <c r="S1094" s="5" t="s">
        <v>82</v>
      </c>
      <c r="T1094" s="5" t="s">
        <v>73</v>
      </c>
      <c r="U1094" s="5">
        <v>4</v>
      </c>
      <c r="V1094" s="5" t="s">
        <v>35</v>
      </c>
    </row>
    <row r="1095" spans="1:22" x14ac:dyDescent="0.3">
      <c r="A1095" s="5" t="s">
        <v>1647</v>
      </c>
      <c r="B1095" s="6">
        <v>46151</v>
      </c>
      <c r="C1095" s="5" t="s">
        <v>112</v>
      </c>
      <c r="D1095" s="5" t="s">
        <v>76</v>
      </c>
      <c r="E1095" s="5" t="s">
        <v>59</v>
      </c>
      <c r="F1095" s="5" t="s">
        <v>60</v>
      </c>
      <c r="G1095" s="5" t="s">
        <v>61</v>
      </c>
      <c r="H1095" s="5" t="s">
        <v>824</v>
      </c>
      <c r="I1095" s="5" t="s">
        <v>825</v>
      </c>
      <c r="J1095" s="5" t="s">
        <v>71</v>
      </c>
      <c r="K1095" s="5" t="s">
        <v>81</v>
      </c>
      <c r="L1095" s="5">
        <v>2</v>
      </c>
      <c r="M1095" s="5">
        <v>29356</v>
      </c>
      <c r="N1095" s="5">
        <v>0</v>
      </c>
      <c r="O1095" s="5">
        <v>58712</v>
      </c>
      <c r="P1095" s="5">
        <v>39955.129999999997</v>
      </c>
      <c r="Q1095" s="5">
        <v>18756.87</v>
      </c>
      <c r="R1095" s="5" t="s">
        <v>44</v>
      </c>
      <c r="S1095" s="5" t="s">
        <v>82</v>
      </c>
      <c r="T1095" s="5" t="s">
        <v>65</v>
      </c>
      <c r="U1095" s="5">
        <v>5</v>
      </c>
      <c r="V1095" s="5" t="s">
        <v>45</v>
      </c>
    </row>
    <row r="1096" spans="1:22" x14ac:dyDescent="0.3">
      <c r="A1096" s="5" t="s">
        <v>1648</v>
      </c>
      <c r="B1096" s="6">
        <v>46143</v>
      </c>
      <c r="C1096" s="5" t="s">
        <v>607</v>
      </c>
      <c r="D1096" s="5" t="s">
        <v>48</v>
      </c>
      <c r="E1096" s="5" t="s">
        <v>39</v>
      </c>
      <c r="F1096" s="5" t="s">
        <v>40</v>
      </c>
      <c r="G1096" s="5" t="s">
        <v>41</v>
      </c>
      <c r="H1096" s="5" t="s">
        <v>184</v>
      </c>
      <c r="I1096" s="5" t="s">
        <v>185</v>
      </c>
      <c r="J1096" s="5" t="s">
        <v>102</v>
      </c>
      <c r="K1096" s="5" t="s">
        <v>103</v>
      </c>
      <c r="L1096" s="5">
        <v>4</v>
      </c>
      <c r="M1096" s="5">
        <v>63663</v>
      </c>
      <c r="N1096" s="5">
        <v>15</v>
      </c>
      <c r="O1096" s="5">
        <v>216454.2</v>
      </c>
      <c r="P1096" s="5">
        <v>165166.45000000001</v>
      </c>
      <c r="Q1096" s="5">
        <v>51287.75</v>
      </c>
      <c r="R1096" s="5" t="s">
        <v>32</v>
      </c>
      <c r="S1096" s="5" t="s">
        <v>33</v>
      </c>
      <c r="T1096" s="5" t="s">
        <v>34</v>
      </c>
      <c r="U1096" s="5">
        <v>2</v>
      </c>
      <c r="V1096" s="5" t="s">
        <v>45</v>
      </c>
    </row>
    <row r="1097" spans="1:22" x14ac:dyDescent="0.3">
      <c r="A1097" s="5" t="s">
        <v>1649</v>
      </c>
      <c r="B1097" s="6">
        <v>46190</v>
      </c>
      <c r="C1097" s="5" t="s">
        <v>577</v>
      </c>
      <c r="D1097" s="5" t="s">
        <v>117</v>
      </c>
      <c r="E1097" s="5" t="s">
        <v>126</v>
      </c>
      <c r="F1097" s="5" t="s">
        <v>126</v>
      </c>
      <c r="G1097" s="5" t="s">
        <v>51</v>
      </c>
      <c r="H1097" s="5" t="s">
        <v>28</v>
      </c>
      <c r="I1097" s="5" t="s">
        <v>29</v>
      </c>
      <c r="J1097" s="5" t="s">
        <v>30</v>
      </c>
      <c r="K1097" s="5" t="s">
        <v>31</v>
      </c>
      <c r="L1097" s="5">
        <v>5</v>
      </c>
      <c r="M1097" s="5">
        <v>17743</v>
      </c>
      <c r="N1097" s="5">
        <v>10</v>
      </c>
      <c r="O1097" s="5">
        <v>79843.5</v>
      </c>
      <c r="P1097" s="5">
        <v>61853.01</v>
      </c>
      <c r="Q1097" s="5">
        <v>17990.490000000002</v>
      </c>
      <c r="R1097" s="5" t="s">
        <v>64</v>
      </c>
      <c r="S1097" s="5" t="s">
        <v>33</v>
      </c>
      <c r="T1097" s="5" t="s">
        <v>73</v>
      </c>
      <c r="U1097" s="5">
        <v>4</v>
      </c>
      <c r="V1097" s="5" t="s">
        <v>35</v>
      </c>
    </row>
    <row r="1098" spans="1:22" x14ac:dyDescent="0.3">
      <c r="A1098" s="5" t="s">
        <v>1650</v>
      </c>
      <c r="B1098" s="6">
        <v>46051</v>
      </c>
      <c r="C1098" s="5" t="s">
        <v>280</v>
      </c>
      <c r="D1098" s="5" t="s">
        <v>76</v>
      </c>
      <c r="E1098" s="5" t="s">
        <v>49</v>
      </c>
      <c r="F1098" s="5" t="s">
        <v>50</v>
      </c>
      <c r="G1098" s="5" t="s">
        <v>51</v>
      </c>
      <c r="H1098" s="5" t="s">
        <v>224</v>
      </c>
      <c r="I1098" s="5" t="s">
        <v>225</v>
      </c>
      <c r="J1098" s="5" t="s">
        <v>102</v>
      </c>
      <c r="K1098" s="5" t="s">
        <v>103</v>
      </c>
      <c r="L1098" s="5">
        <v>1</v>
      </c>
      <c r="M1098" s="5">
        <v>9418</v>
      </c>
      <c r="N1098" s="5">
        <v>15</v>
      </c>
      <c r="O1098" s="5">
        <v>8005.3</v>
      </c>
      <c r="P1098" s="5">
        <v>7385.09</v>
      </c>
      <c r="Q1098" s="5">
        <v>620.21</v>
      </c>
      <c r="R1098" s="5" t="s">
        <v>32</v>
      </c>
      <c r="S1098" s="5" t="s">
        <v>33</v>
      </c>
      <c r="T1098" s="5" t="s">
        <v>73</v>
      </c>
      <c r="U1098" s="5">
        <v>4</v>
      </c>
      <c r="V1098" s="5" t="s">
        <v>35</v>
      </c>
    </row>
    <row r="1099" spans="1:22" x14ac:dyDescent="0.3">
      <c r="A1099" s="5" t="s">
        <v>1651</v>
      </c>
      <c r="B1099" s="6">
        <v>46036</v>
      </c>
      <c r="C1099" s="5" t="s">
        <v>656</v>
      </c>
      <c r="D1099" s="5" t="s">
        <v>110</v>
      </c>
      <c r="E1099" s="5" t="s">
        <v>126</v>
      </c>
      <c r="F1099" s="5" t="s">
        <v>126</v>
      </c>
      <c r="G1099" s="5" t="s">
        <v>51</v>
      </c>
      <c r="H1099" s="5" t="s">
        <v>127</v>
      </c>
      <c r="I1099" s="5" t="s">
        <v>128</v>
      </c>
      <c r="J1099" s="5" t="s">
        <v>102</v>
      </c>
      <c r="K1099" s="5" t="s">
        <v>103</v>
      </c>
      <c r="L1099" s="5">
        <v>1</v>
      </c>
      <c r="M1099" s="5">
        <v>46002</v>
      </c>
      <c r="N1099" s="5">
        <v>0</v>
      </c>
      <c r="O1099" s="5">
        <v>46002</v>
      </c>
      <c r="P1099" s="5">
        <v>34848.480000000003</v>
      </c>
      <c r="Q1099" s="5">
        <v>11153.52</v>
      </c>
      <c r="R1099" s="5" t="s">
        <v>32</v>
      </c>
      <c r="S1099" s="5" t="s">
        <v>82</v>
      </c>
      <c r="T1099" s="5" t="s">
        <v>73</v>
      </c>
      <c r="U1099" s="5">
        <v>5</v>
      </c>
      <c r="V1099" s="5" t="s">
        <v>45</v>
      </c>
    </row>
    <row r="1100" spans="1:22" x14ac:dyDescent="0.3">
      <c r="A1100" s="5" t="s">
        <v>1652</v>
      </c>
      <c r="B1100" s="6">
        <v>46058</v>
      </c>
      <c r="C1100" s="5" t="s">
        <v>628</v>
      </c>
      <c r="D1100" s="5" t="s">
        <v>58</v>
      </c>
      <c r="E1100" s="5" t="s">
        <v>77</v>
      </c>
      <c r="F1100" s="5" t="s">
        <v>78</v>
      </c>
      <c r="G1100" s="5" t="s">
        <v>41</v>
      </c>
      <c r="H1100" s="5" t="s">
        <v>342</v>
      </c>
      <c r="I1100" s="5" t="s">
        <v>343</v>
      </c>
      <c r="J1100" s="5" t="s">
        <v>54</v>
      </c>
      <c r="K1100" s="5" t="s">
        <v>97</v>
      </c>
      <c r="L1100" s="5">
        <v>3</v>
      </c>
      <c r="M1100" s="5">
        <v>48556</v>
      </c>
      <c r="N1100" s="5">
        <v>0</v>
      </c>
      <c r="O1100" s="5">
        <v>145668</v>
      </c>
      <c r="P1100" s="5">
        <v>89805.68</v>
      </c>
      <c r="Q1100" s="5">
        <v>55862.32</v>
      </c>
      <c r="R1100" s="5" t="s">
        <v>44</v>
      </c>
      <c r="S1100" s="5" t="s">
        <v>33</v>
      </c>
      <c r="T1100" s="5" t="s">
        <v>65</v>
      </c>
      <c r="U1100" s="5">
        <v>2</v>
      </c>
      <c r="V1100" s="5" t="s">
        <v>45</v>
      </c>
    </row>
    <row r="1101" spans="1:22" x14ac:dyDescent="0.3">
      <c r="A1101" s="5" t="s">
        <v>1653</v>
      </c>
      <c r="B1101" s="6">
        <v>46161</v>
      </c>
      <c r="C1101" s="5" t="s">
        <v>289</v>
      </c>
      <c r="D1101" s="5" t="s">
        <v>76</v>
      </c>
      <c r="E1101" s="5" t="s">
        <v>49</v>
      </c>
      <c r="F1101" s="5" t="s">
        <v>50</v>
      </c>
      <c r="G1101" s="5" t="s">
        <v>51</v>
      </c>
      <c r="H1101" s="5" t="s">
        <v>210</v>
      </c>
      <c r="I1101" s="5" t="s">
        <v>211</v>
      </c>
      <c r="J1101" s="5" t="s">
        <v>102</v>
      </c>
      <c r="K1101" s="5" t="s">
        <v>103</v>
      </c>
      <c r="L1101" s="5">
        <v>1</v>
      </c>
      <c r="M1101" s="5">
        <v>55642</v>
      </c>
      <c r="N1101" s="5">
        <v>15</v>
      </c>
      <c r="O1101" s="5">
        <v>47295.7</v>
      </c>
      <c r="P1101" s="5">
        <v>44067.09</v>
      </c>
      <c r="Q1101" s="5">
        <v>3228.61</v>
      </c>
      <c r="R1101" s="5" t="s">
        <v>32</v>
      </c>
      <c r="S1101" s="5" t="s">
        <v>82</v>
      </c>
      <c r="T1101" s="5" t="s">
        <v>65</v>
      </c>
      <c r="U1101" s="5">
        <v>4</v>
      </c>
      <c r="V1101" s="5" t="s">
        <v>45</v>
      </c>
    </row>
    <row r="1102" spans="1:22" x14ac:dyDescent="0.3">
      <c r="A1102" s="5" t="s">
        <v>1654</v>
      </c>
      <c r="B1102" s="6">
        <v>46081</v>
      </c>
      <c r="C1102" s="5" t="s">
        <v>209</v>
      </c>
      <c r="D1102" s="5" t="s">
        <v>48</v>
      </c>
      <c r="E1102" s="5" t="s">
        <v>94</v>
      </c>
      <c r="F1102" s="5" t="s">
        <v>26</v>
      </c>
      <c r="G1102" s="5" t="s">
        <v>27</v>
      </c>
      <c r="H1102" s="5" t="s">
        <v>241</v>
      </c>
      <c r="I1102" s="5" t="s">
        <v>242</v>
      </c>
      <c r="J1102" s="5" t="s">
        <v>54</v>
      </c>
      <c r="K1102" s="5" t="s">
        <v>55</v>
      </c>
      <c r="L1102" s="5">
        <v>2</v>
      </c>
      <c r="M1102" s="5">
        <v>62372</v>
      </c>
      <c r="N1102" s="5">
        <v>15</v>
      </c>
      <c r="O1102" s="5">
        <v>106032.4</v>
      </c>
      <c r="P1102" s="5">
        <v>72972.03</v>
      </c>
      <c r="Q1102" s="5">
        <v>33060.370000000003</v>
      </c>
      <c r="R1102" s="5" t="s">
        <v>32</v>
      </c>
      <c r="S1102" s="5" t="s">
        <v>33</v>
      </c>
      <c r="T1102" s="5" t="s">
        <v>73</v>
      </c>
      <c r="U1102" s="5">
        <v>3</v>
      </c>
      <c r="V1102" s="5" t="s">
        <v>35</v>
      </c>
    </row>
    <row r="1103" spans="1:22" x14ac:dyDescent="0.3">
      <c r="A1103" s="5" t="s">
        <v>1655</v>
      </c>
      <c r="B1103" s="6">
        <v>46169</v>
      </c>
      <c r="C1103" s="5" t="s">
        <v>332</v>
      </c>
      <c r="D1103" s="5" t="s">
        <v>110</v>
      </c>
      <c r="E1103" s="5" t="s">
        <v>94</v>
      </c>
      <c r="F1103" s="5" t="s">
        <v>26</v>
      </c>
      <c r="G1103" s="5" t="s">
        <v>27</v>
      </c>
      <c r="H1103" s="5" t="s">
        <v>574</v>
      </c>
      <c r="I1103" s="5" t="s">
        <v>575</v>
      </c>
      <c r="J1103" s="5" t="s">
        <v>30</v>
      </c>
      <c r="K1103" s="5" t="s">
        <v>31</v>
      </c>
      <c r="L1103" s="5">
        <v>1</v>
      </c>
      <c r="M1103" s="5">
        <v>14670</v>
      </c>
      <c r="N1103" s="5">
        <v>5</v>
      </c>
      <c r="O1103" s="5">
        <v>13936.5</v>
      </c>
      <c r="P1103" s="5">
        <v>10558.57</v>
      </c>
      <c r="Q1103" s="5">
        <v>3377.93</v>
      </c>
      <c r="R1103" s="5" t="s">
        <v>44</v>
      </c>
      <c r="S1103" s="5" t="s">
        <v>33</v>
      </c>
      <c r="T1103" s="5" t="s">
        <v>73</v>
      </c>
      <c r="U1103" s="5">
        <v>5</v>
      </c>
      <c r="V1103" s="5" t="s">
        <v>45</v>
      </c>
    </row>
    <row r="1104" spans="1:22" x14ac:dyDescent="0.3">
      <c r="A1104" s="5" t="s">
        <v>1656</v>
      </c>
      <c r="B1104" s="6">
        <v>46171</v>
      </c>
      <c r="C1104" s="5" t="s">
        <v>639</v>
      </c>
      <c r="D1104" s="5" t="s">
        <v>89</v>
      </c>
      <c r="E1104" s="5" t="s">
        <v>126</v>
      </c>
      <c r="F1104" s="5" t="s">
        <v>126</v>
      </c>
      <c r="G1104" s="5" t="s">
        <v>51</v>
      </c>
      <c r="H1104" s="5" t="s">
        <v>396</v>
      </c>
      <c r="I1104" s="5" t="s">
        <v>397</v>
      </c>
      <c r="J1104" s="5" t="s">
        <v>54</v>
      </c>
      <c r="K1104" s="5" t="s">
        <v>55</v>
      </c>
      <c r="L1104" s="5">
        <v>3</v>
      </c>
      <c r="M1104" s="5">
        <v>54835</v>
      </c>
      <c r="N1104" s="5">
        <v>10</v>
      </c>
      <c r="O1104" s="5">
        <v>148054.5</v>
      </c>
      <c r="P1104" s="5">
        <v>90510.38</v>
      </c>
      <c r="Q1104" s="5">
        <v>57544.12</v>
      </c>
      <c r="R1104" s="5" t="s">
        <v>32</v>
      </c>
      <c r="S1104" s="5" t="s">
        <v>82</v>
      </c>
      <c r="T1104" s="5" t="s">
        <v>65</v>
      </c>
      <c r="U1104" s="5">
        <v>3</v>
      </c>
      <c r="V1104" s="5" t="s">
        <v>35</v>
      </c>
    </row>
    <row r="1105" spans="1:22" x14ac:dyDescent="0.3">
      <c r="A1105" s="5" t="s">
        <v>1657</v>
      </c>
      <c r="B1105" s="6">
        <v>46110</v>
      </c>
      <c r="C1105" s="5" t="s">
        <v>1432</v>
      </c>
      <c r="D1105" s="5" t="s">
        <v>38</v>
      </c>
      <c r="E1105" s="5" t="s">
        <v>77</v>
      </c>
      <c r="F1105" s="5" t="s">
        <v>78</v>
      </c>
      <c r="G1105" s="5" t="s">
        <v>41</v>
      </c>
      <c r="H1105" s="5" t="s">
        <v>176</v>
      </c>
      <c r="I1105" s="5" t="s">
        <v>177</v>
      </c>
      <c r="J1105" s="5" t="s">
        <v>54</v>
      </c>
      <c r="K1105" s="5" t="s">
        <v>97</v>
      </c>
      <c r="L1105" s="5">
        <v>5</v>
      </c>
      <c r="M1105" s="5">
        <v>53717</v>
      </c>
      <c r="N1105" s="5">
        <v>20</v>
      </c>
      <c r="O1105" s="5">
        <v>214868</v>
      </c>
      <c r="P1105" s="5">
        <v>189678.28</v>
      </c>
      <c r="Q1105" s="5">
        <v>25189.72</v>
      </c>
      <c r="R1105" s="5" t="s">
        <v>64</v>
      </c>
      <c r="S1105" s="5" t="s">
        <v>82</v>
      </c>
      <c r="T1105" s="5" t="s">
        <v>65</v>
      </c>
      <c r="U1105" s="5">
        <v>2</v>
      </c>
      <c r="V1105" s="5" t="s">
        <v>35</v>
      </c>
    </row>
    <row r="1106" spans="1:22" x14ac:dyDescent="0.3">
      <c r="A1106" s="5" t="s">
        <v>1658</v>
      </c>
      <c r="B1106" s="6">
        <v>46199</v>
      </c>
      <c r="C1106" s="5" t="s">
        <v>883</v>
      </c>
      <c r="D1106" s="5" t="s">
        <v>24</v>
      </c>
      <c r="E1106" s="5" t="s">
        <v>49</v>
      </c>
      <c r="F1106" s="5" t="s">
        <v>50</v>
      </c>
      <c r="G1106" s="5" t="s">
        <v>51</v>
      </c>
      <c r="H1106" s="5" t="s">
        <v>553</v>
      </c>
      <c r="I1106" s="5" t="s">
        <v>554</v>
      </c>
      <c r="J1106" s="5" t="s">
        <v>54</v>
      </c>
      <c r="K1106" s="5" t="s">
        <v>55</v>
      </c>
      <c r="L1106" s="5">
        <v>1</v>
      </c>
      <c r="M1106" s="5">
        <v>63762</v>
      </c>
      <c r="N1106" s="5">
        <v>0</v>
      </c>
      <c r="O1106" s="5">
        <v>63762</v>
      </c>
      <c r="P1106" s="5">
        <v>38255.800000000003</v>
      </c>
      <c r="Q1106" s="5">
        <v>25506.2</v>
      </c>
      <c r="R1106" s="5" t="s">
        <v>32</v>
      </c>
      <c r="S1106" s="5" t="s">
        <v>82</v>
      </c>
      <c r="T1106" s="5" t="s">
        <v>73</v>
      </c>
      <c r="U1106" s="5">
        <v>4</v>
      </c>
      <c r="V1106" s="5" t="s">
        <v>35</v>
      </c>
    </row>
    <row r="1107" spans="1:22" x14ac:dyDescent="0.3">
      <c r="A1107" s="5" t="s">
        <v>1659</v>
      </c>
      <c r="B1107" s="6">
        <v>46058</v>
      </c>
      <c r="C1107" s="5" t="s">
        <v>571</v>
      </c>
      <c r="D1107" s="5" t="s">
        <v>76</v>
      </c>
      <c r="E1107" s="5" t="s">
        <v>39</v>
      </c>
      <c r="F1107" s="5" t="s">
        <v>40</v>
      </c>
      <c r="G1107" s="5" t="s">
        <v>41</v>
      </c>
      <c r="H1107" s="5" t="s">
        <v>180</v>
      </c>
      <c r="I1107" s="5" t="s">
        <v>181</v>
      </c>
      <c r="J1107" s="5" t="s">
        <v>54</v>
      </c>
      <c r="K1107" s="5" t="s">
        <v>55</v>
      </c>
      <c r="L1107" s="5">
        <v>2</v>
      </c>
      <c r="M1107" s="5">
        <v>12295</v>
      </c>
      <c r="N1107" s="5">
        <v>10</v>
      </c>
      <c r="O1107" s="5">
        <v>22131</v>
      </c>
      <c r="P1107" s="5">
        <v>18293.099999999999</v>
      </c>
      <c r="Q1107" s="5">
        <v>3837.9</v>
      </c>
      <c r="R1107" s="5" t="s">
        <v>44</v>
      </c>
      <c r="S1107" s="5" t="s">
        <v>82</v>
      </c>
      <c r="T1107" s="5" t="s">
        <v>73</v>
      </c>
      <c r="U1107" s="5">
        <v>3</v>
      </c>
      <c r="V1107" s="5" t="s">
        <v>45</v>
      </c>
    </row>
    <row r="1108" spans="1:22" x14ac:dyDescent="0.3">
      <c r="A1108" s="5" t="s">
        <v>1660</v>
      </c>
      <c r="B1108" s="6">
        <v>46028</v>
      </c>
      <c r="C1108" s="5" t="s">
        <v>492</v>
      </c>
      <c r="D1108" s="5" t="s">
        <v>58</v>
      </c>
      <c r="E1108" s="5" t="s">
        <v>77</v>
      </c>
      <c r="F1108" s="5" t="s">
        <v>78</v>
      </c>
      <c r="G1108" s="5" t="s">
        <v>41</v>
      </c>
      <c r="H1108" s="5" t="s">
        <v>284</v>
      </c>
      <c r="I1108" s="5" t="s">
        <v>285</v>
      </c>
      <c r="J1108" s="5" t="s">
        <v>54</v>
      </c>
      <c r="K1108" s="5" t="s">
        <v>55</v>
      </c>
      <c r="L1108" s="5">
        <v>4</v>
      </c>
      <c r="M1108" s="5">
        <v>5264</v>
      </c>
      <c r="N1108" s="5">
        <v>0</v>
      </c>
      <c r="O1108" s="5">
        <v>21056</v>
      </c>
      <c r="P1108" s="5">
        <v>13780.89</v>
      </c>
      <c r="Q1108" s="5">
        <v>7275.11</v>
      </c>
      <c r="R1108" s="5" t="s">
        <v>64</v>
      </c>
      <c r="S1108" s="5" t="s">
        <v>33</v>
      </c>
      <c r="T1108" s="5" t="s">
        <v>34</v>
      </c>
      <c r="U1108" s="5">
        <v>3</v>
      </c>
      <c r="V1108" s="5" t="s">
        <v>45</v>
      </c>
    </row>
    <row r="1109" spans="1:22" x14ac:dyDescent="0.3">
      <c r="A1109" s="5" t="s">
        <v>1661</v>
      </c>
      <c r="B1109" s="6">
        <v>46081</v>
      </c>
      <c r="C1109" s="5" t="s">
        <v>1662</v>
      </c>
      <c r="D1109" s="5" t="s">
        <v>89</v>
      </c>
      <c r="E1109" s="5" t="s">
        <v>25</v>
      </c>
      <c r="F1109" s="5" t="s">
        <v>26</v>
      </c>
      <c r="G1109" s="5" t="s">
        <v>27</v>
      </c>
      <c r="H1109" s="5" t="s">
        <v>717</v>
      </c>
      <c r="I1109" s="5" t="s">
        <v>718</v>
      </c>
      <c r="J1109" s="5" t="s">
        <v>102</v>
      </c>
      <c r="K1109" s="5" t="s">
        <v>103</v>
      </c>
      <c r="L1109" s="5">
        <v>4</v>
      </c>
      <c r="M1109" s="5">
        <v>50651</v>
      </c>
      <c r="N1109" s="5">
        <v>20</v>
      </c>
      <c r="O1109" s="5">
        <v>162083.20000000001</v>
      </c>
      <c r="P1109" s="5">
        <v>136419.20000000001</v>
      </c>
      <c r="Q1109" s="5">
        <v>25664</v>
      </c>
      <c r="R1109" s="5" t="s">
        <v>44</v>
      </c>
      <c r="S1109" s="5" t="s">
        <v>82</v>
      </c>
      <c r="T1109" s="5" t="s">
        <v>73</v>
      </c>
      <c r="U1109" s="5">
        <v>5</v>
      </c>
      <c r="V1109" s="5" t="s">
        <v>45</v>
      </c>
    </row>
    <row r="1110" spans="1:22" x14ac:dyDescent="0.3">
      <c r="A1110" s="5" t="s">
        <v>1663</v>
      </c>
      <c r="B1110" s="6">
        <v>46097</v>
      </c>
      <c r="C1110" s="5" t="s">
        <v>1664</v>
      </c>
      <c r="D1110" s="5" t="s">
        <v>58</v>
      </c>
      <c r="E1110" s="5" t="s">
        <v>25</v>
      </c>
      <c r="F1110" s="5" t="s">
        <v>26</v>
      </c>
      <c r="G1110" s="5" t="s">
        <v>27</v>
      </c>
      <c r="H1110" s="5" t="s">
        <v>203</v>
      </c>
      <c r="I1110" s="5" t="s">
        <v>204</v>
      </c>
      <c r="J1110" s="5" t="s">
        <v>71</v>
      </c>
      <c r="K1110" s="5" t="s">
        <v>81</v>
      </c>
      <c r="L1110" s="5">
        <v>2</v>
      </c>
      <c r="M1110" s="5">
        <v>72587</v>
      </c>
      <c r="N1110" s="5">
        <v>10</v>
      </c>
      <c r="O1110" s="5">
        <v>130656.6</v>
      </c>
      <c r="P1110" s="5">
        <v>120367.32</v>
      </c>
      <c r="Q1110" s="5">
        <v>10289.280000000001</v>
      </c>
      <c r="R1110" s="5" t="s">
        <v>64</v>
      </c>
      <c r="S1110" s="5" t="s">
        <v>33</v>
      </c>
      <c r="T1110" s="5" t="s">
        <v>34</v>
      </c>
      <c r="U1110" s="5">
        <v>1</v>
      </c>
      <c r="V1110" s="5" t="s">
        <v>35</v>
      </c>
    </row>
    <row r="1111" spans="1:22" x14ac:dyDescent="0.3">
      <c r="A1111" s="5" t="s">
        <v>1665</v>
      </c>
      <c r="B1111" s="6">
        <v>46181</v>
      </c>
      <c r="C1111" s="5" t="s">
        <v>917</v>
      </c>
      <c r="D1111" s="5" t="s">
        <v>24</v>
      </c>
      <c r="E1111" s="5" t="s">
        <v>39</v>
      </c>
      <c r="F1111" s="5" t="s">
        <v>40</v>
      </c>
      <c r="G1111" s="5" t="s">
        <v>41</v>
      </c>
      <c r="H1111" s="5" t="s">
        <v>759</v>
      </c>
      <c r="I1111" s="5" t="s">
        <v>760</v>
      </c>
      <c r="J1111" s="5" t="s">
        <v>71</v>
      </c>
      <c r="K1111" s="5" t="s">
        <v>72</v>
      </c>
      <c r="L1111" s="5">
        <v>5</v>
      </c>
      <c r="M1111" s="5">
        <v>56331</v>
      </c>
      <c r="N1111" s="5">
        <v>20</v>
      </c>
      <c r="O1111" s="5">
        <v>225324</v>
      </c>
      <c r="P1111" s="5">
        <v>172818.66</v>
      </c>
      <c r="Q1111" s="5">
        <v>52505.34</v>
      </c>
      <c r="R1111" s="5" t="s">
        <v>32</v>
      </c>
      <c r="S1111" s="5" t="s">
        <v>82</v>
      </c>
      <c r="T1111" s="5" t="s">
        <v>73</v>
      </c>
      <c r="U1111" s="5">
        <v>1</v>
      </c>
      <c r="V1111" s="5" t="s">
        <v>45</v>
      </c>
    </row>
    <row r="1112" spans="1:22" x14ac:dyDescent="0.3">
      <c r="A1112" s="5" t="s">
        <v>1666</v>
      </c>
      <c r="B1112" s="6">
        <v>46059</v>
      </c>
      <c r="C1112" s="5" t="s">
        <v>914</v>
      </c>
      <c r="D1112" s="5" t="s">
        <v>117</v>
      </c>
      <c r="E1112" s="5" t="s">
        <v>59</v>
      </c>
      <c r="F1112" s="5" t="s">
        <v>60</v>
      </c>
      <c r="G1112" s="5" t="s">
        <v>61</v>
      </c>
      <c r="H1112" s="5" t="s">
        <v>164</v>
      </c>
      <c r="I1112" s="5" t="s">
        <v>165</v>
      </c>
      <c r="J1112" s="5" t="s">
        <v>102</v>
      </c>
      <c r="K1112" s="5" t="s">
        <v>103</v>
      </c>
      <c r="L1112" s="5">
        <v>2</v>
      </c>
      <c r="M1112" s="5">
        <v>42781</v>
      </c>
      <c r="N1112" s="5">
        <v>10</v>
      </c>
      <c r="O1112" s="5">
        <v>77005.8</v>
      </c>
      <c r="P1112" s="5">
        <v>60613.31</v>
      </c>
      <c r="Q1112" s="5">
        <v>16392.490000000002</v>
      </c>
      <c r="R1112" s="5" t="s">
        <v>64</v>
      </c>
      <c r="S1112" s="5" t="s">
        <v>33</v>
      </c>
      <c r="T1112" s="5" t="s">
        <v>73</v>
      </c>
      <c r="U1112" s="5">
        <v>2</v>
      </c>
      <c r="V1112" s="5" t="s">
        <v>45</v>
      </c>
    </row>
    <row r="1113" spans="1:22" x14ac:dyDescent="0.3">
      <c r="A1113" s="5" t="s">
        <v>1667</v>
      </c>
      <c r="B1113" s="6">
        <v>46049</v>
      </c>
      <c r="C1113" s="5" t="s">
        <v>516</v>
      </c>
      <c r="D1113" s="5" t="s">
        <v>68</v>
      </c>
      <c r="E1113" s="5" t="s">
        <v>25</v>
      </c>
      <c r="F1113" s="5" t="s">
        <v>26</v>
      </c>
      <c r="G1113" s="5" t="s">
        <v>27</v>
      </c>
      <c r="H1113" s="5" t="s">
        <v>762</v>
      </c>
      <c r="I1113" s="5" t="s">
        <v>763</v>
      </c>
      <c r="J1113" s="5" t="s">
        <v>54</v>
      </c>
      <c r="K1113" s="5" t="s">
        <v>55</v>
      </c>
      <c r="L1113" s="5">
        <v>5</v>
      </c>
      <c r="M1113" s="5">
        <v>7894</v>
      </c>
      <c r="N1113" s="5">
        <v>10</v>
      </c>
      <c r="O1113" s="5">
        <v>35523</v>
      </c>
      <c r="P1113" s="5">
        <v>28423.360000000001</v>
      </c>
      <c r="Q1113" s="5">
        <v>7099.64</v>
      </c>
      <c r="R1113" s="5" t="s">
        <v>44</v>
      </c>
      <c r="S1113" s="5" t="s">
        <v>33</v>
      </c>
      <c r="T1113" s="5" t="s">
        <v>73</v>
      </c>
      <c r="U1113" s="5">
        <v>4</v>
      </c>
      <c r="V1113" s="5" t="s">
        <v>35</v>
      </c>
    </row>
    <row r="1114" spans="1:22" x14ac:dyDescent="0.3">
      <c r="A1114" s="5" t="s">
        <v>1668</v>
      </c>
      <c r="B1114" s="6">
        <v>46090</v>
      </c>
      <c r="C1114" s="5" t="s">
        <v>1195</v>
      </c>
      <c r="D1114" s="5" t="s">
        <v>110</v>
      </c>
      <c r="E1114" s="5" t="s">
        <v>49</v>
      </c>
      <c r="F1114" s="5" t="s">
        <v>50</v>
      </c>
      <c r="G1114" s="5" t="s">
        <v>51</v>
      </c>
      <c r="H1114" s="5" t="s">
        <v>241</v>
      </c>
      <c r="I1114" s="5" t="s">
        <v>242</v>
      </c>
      <c r="J1114" s="5" t="s">
        <v>54</v>
      </c>
      <c r="K1114" s="5" t="s">
        <v>55</v>
      </c>
      <c r="L1114" s="5">
        <v>2</v>
      </c>
      <c r="M1114" s="5">
        <v>22819</v>
      </c>
      <c r="N1114" s="5">
        <v>5</v>
      </c>
      <c r="O1114" s="5">
        <v>43356.1</v>
      </c>
      <c r="P1114" s="5">
        <v>29285.25</v>
      </c>
      <c r="Q1114" s="5">
        <v>14070.85</v>
      </c>
      <c r="R1114" s="5" t="s">
        <v>32</v>
      </c>
      <c r="S1114" s="5" t="s">
        <v>82</v>
      </c>
      <c r="T1114" s="5" t="s">
        <v>65</v>
      </c>
      <c r="U1114" s="5">
        <v>2</v>
      </c>
      <c r="V1114" s="5" t="s">
        <v>35</v>
      </c>
    </row>
    <row r="1115" spans="1:22" x14ac:dyDescent="0.3">
      <c r="A1115" s="5" t="s">
        <v>1669</v>
      </c>
      <c r="B1115" s="6">
        <v>46064</v>
      </c>
      <c r="C1115" s="5" t="s">
        <v>57</v>
      </c>
      <c r="D1115" s="5" t="s">
        <v>48</v>
      </c>
      <c r="E1115" s="5" t="s">
        <v>77</v>
      </c>
      <c r="F1115" s="5" t="s">
        <v>78</v>
      </c>
      <c r="G1115" s="5" t="s">
        <v>41</v>
      </c>
      <c r="H1115" s="5" t="s">
        <v>816</v>
      </c>
      <c r="I1115" s="5" t="s">
        <v>817</v>
      </c>
      <c r="J1115" s="5" t="s">
        <v>54</v>
      </c>
      <c r="K1115" s="5" t="s">
        <v>97</v>
      </c>
      <c r="L1115" s="5">
        <v>2</v>
      </c>
      <c r="M1115" s="5">
        <v>8241</v>
      </c>
      <c r="N1115" s="5">
        <v>20</v>
      </c>
      <c r="O1115" s="5">
        <v>13185.6</v>
      </c>
      <c r="P1115" s="5">
        <v>11322.8</v>
      </c>
      <c r="Q1115" s="5">
        <v>1862.8</v>
      </c>
      <c r="R1115" s="5" t="s">
        <v>32</v>
      </c>
      <c r="S1115" s="5" t="s">
        <v>33</v>
      </c>
      <c r="T1115" s="5" t="s">
        <v>65</v>
      </c>
      <c r="U1115" s="5">
        <v>2</v>
      </c>
      <c r="V1115" s="5" t="s">
        <v>45</v>
      </c>
    </row>
    <row r="1116" spans="1:22" x14ac:dyDescent="0.3">
      <c r="A1116" s="5" t="s">
        <v>1670</v>
      </c>
      <c r="B1116" s="6">
        <v>46032</v>
      </c>
      <c r="C1116" s="5" t="s">
        <v>477</v>
      </c>
      <c r="D1116" s="5" t="s">
        <v>117</v>
      </c>
      <c r="E1116" s="5" t="s">
        <v>94</v>
      </c>
      <c r="F1116" s="5" t="s">
        <v>26</v>
      </c>
      <c r="G1116" s="5" t="s">
        <v>27</v>
      </c>
      <c r="H1116" s="5" t="s">
        <v>210</v>
      </c>
      <c r="I1116" s="5" t="s">
        <v>211</v>
      </c>
      <c r="J1116" s="5" t="s">
        <v>102</v>
      </c>
      <c r="K1116" s="5" t="s">
        <v>103</v>
      </c>
      <c r="L1116" s="5">
        <v>3</v>
      </c>
      <c r="M1116" s="5">
        <v>56506</v>
      </c>
      <c r="N1116" s="5">
        <v>5</v>
      </c>
      <c r="O1116" s="5">
        <v>161042.1</v>
      </c>
      <c r="P1116" s="5">
        <v>103615.13</v>
      </c>
      <c r="Q1116" s="5">
        <v>57426.97</v>
      </c>
      <c r="R1116" s="5" t="s">
        <v>44</v>
      </c>
      <c r="S1116" s="5" t="s">
        <v>33</v>
      </c>
      <c r="T1116" s="5" t="s">
        <v>34</v>
      </c>
      <c r="U1116" s="5">
        <v>5</v>
      </c>
      <c r="V1116" s="5" t="s">
        <v>45</v>
      </c>
    </row>
    <row r="1117" spans="1:22" x14ac:dyDescent="0.3">
      <c r="A1117" s="5" t="s">
        <v>1671</v>
      </c>
      <c r="B1117" s="6">
        <v>46144</v>
      </c>
      <c r="C1117" s="5" t="s">
        <v>740</v>
      </c>
      <c r="D1117" s="5" t="s">
        <v>68</v>
      </c>
      <c r="E1117" s="5" t="s">
        <v>59</v>
      </c>
      <c r="F1117" s="5" t="s">
        <v>60</v>
      </c>
      <c r="G1117" s="5" t="s">
        <v>61</v>
      </c>
      <c r="H1117" s="5" t="s">
        <v>217</v>
      </c>
      <c r="I1117" s="5" t="s">
        <v>218</v>
      </c>
      <c r="J1117" s="5" t="s">
        <v>54</v>
      </c>
      <c r="K1117" s="5" t="s">
        <v>97</v>
      </c>
      <c r="L1117" s="5">
        <v>3</v>
      </c>
      <c r="M1117" s="5">
        <v>761</v>
      </c>
      <c r="N1117" s="5">
        <v>0</v>
      </c>
      <c r="O1117" s="5">
        <v>2283</v>
      </c>
      <c r="P1117" s="5">
        <v>1477.16</v>
      </c>
      <c r="Q1117" s="5">
        <v>805.84</v>
      </c>
      <c r="R1117" s="5" t="s">
        <v>44</v>
      </c>
      <c r="S1117" s="5" t="s">
        <v>33</v>
      </c>
      <c r="T1117" s="5" t="s">
        <v>65</v>
      </c>
      <c r="U1117" s="5">
        <v>2</v>
      </c>
      <c r="V1117" s="5" t="s">
        <v>35</v>
      </c>
    </row>
    <row r="1118" spans="1:22" x14ac:dyDescent="0.3">
      <c r="A1118" s="5" t="s">
        <v>1672</v>
      </c>
      <c r="B1118" s="6">
        <v>46037</v>
      </c>
      <c r="C1118" s="5" t="s">
        <v>1070</v>
      </c>
      <c r="D1118" s="5" t="s">
        <v>38</v>
      </c>
      <c r="E1118" s="5" t="s">
        <v>59</v>
      </c>
      <c r="F1118" s="5" t="s">
        <v>60</v>
      </c>
      <c r="G1118" s="5" t="s">
        <v>61</v>
      </c>
      <c r="H1118" s="5" t="s">
        <v>69</v>
      </c>
      <c r="I1118" s="5" t="s">
        <v>70</v>
      </c>
      <c r="J1118" s="5" t="s">
        <v>71</v>
      </c>
      <c r="K1118" s="5" t="s">
        <v>72</v>
      </c>
      <c r="L1118" s="5">
        <v>3</v>
      </c>
      <c r="M1118" s="5">
        <v>6124</v>
      </c>
      <c r="N1118" s="5">
        <v>0</v>
      </c>
      <c r="O1118" s="5">
        <v>18372</v>
      </c>
      <c r="P1118" s="5">
        <v>12829.86</v>
      </c>
      <c r="Q1118" s="5">
        <v>5542.14</v>
      </c>
      <c r="R1118" s="5" t="s">
        <v>32</v>
      </c>
      <c r="S1118" s="5" t="s">
        <v>82</v>
      </c>
      <c r="T1118" s="5" t="s">
        <v>65</v>
      </c>
      <c r="U1118" s="5">
        <v>2</v>
      </c>
      <c r="V1118" s="5" t="s">
        <v>45</v>
      </c>
    </row>
    <row r="1119" spans="1:22" x14ac:dyDescent="0.3">
      <c r="A1119" s="5" t="s">
        <v>1673</v>
      </c>
      <c r="B1119" s="6">
        <v>46154</v>
      </c>
      <c r="C1119" s="5" t="s">
        <v>130</v>
      </c>
      <c r="D1119" s="5" t="s">
        <v>89</v>
      </c>
      <c r="E1119" s="5" t="s">
        <v>94</v>
      </c>
      <c r="F1119" s="5" t="s">
        <v>26</v>
      </c>
      <c r="G1119" s="5" t="s">
        <v>27</v>
      </c>
      <c r="H1119" s="5" t="s">
        <v>640</v>
      </c>
      <c r="I1119" s="5" t="s">
        <v>641</v>
      </c>
      <c r="J1119" s="5" t="s">
        <v>54</v>
      </c>
      <c r="K1119" s="5" t="s">
        <v>97</v>
      </c>
      <c r="L1119" s="5">
        <v>5</v>
      </c>
      <c r="M1119" s="5">
        <v>45636</v>
      </c>
      <c r="N1119" s="5">
        <v>20</v>
      </c>
      <c r="O1119" s="5">
        <v>182544</v>
      </c>
      <c r="P1119" s="5">
        <v>135351.4</v>
      </c>
      <c r="Q1119" s="5">
        <v>47192.6</v>
      </c>
      <c r="R1119" s="5" t="s">
        <v>64</v>
      </c>
      <c r="S1119" s="5" t="s">
        <v>33</v>
      </c>
      <c r="T1119" s="5" t="s">
        <v>34</v>
      </c>
      <c r="U1119" s="5">
        <v>5</v>
      </c>
      <c r="V1119" s="5" t="s">
        <v>35</v>
      </c>
    </row>
    <row r="1120" spans="1:22" x14ac:dyDescent="0.3">
      <c r="A1120" s="5" t="s">
        <v>1674</v>
      </c>
      <c r="B1120" s="6">
        <v>46095</v>
      </c>
      <c r="C1120" s="5" t="s">
        <v>347</v>
      </c>
      <c r="D1120" s="5" t="s">
        <v>48</v>
      </c>
      <c r="E1120" s="5" t="s">
        <v>59</v>
      </c>
      <c r="F1120" s="5" t="s">
        <v>60</v>
      </c>
      <c r="G1120" s="5" t="s">
        <v>61</v>
      </c>
      <c r="H1120" s="5" t="s">
        <v>52</v>
      </c>
      <c r="I1120" s="5" t="s">
        <v>53</v>
      </c>
      <c r="J1120" s="5" t="s">
        <v>54</v>
      </c>
      <c r="K1120" s="5" t="s">
        <v>55</v>
      </c>
      <c r="L1120" s="5">
        <v>1</v>
      </c>
      <c r="M1120" s="5">
        <v>45118</v>
      </c>
      <c r="N1120" s="5">
        <v>20</v>
      </c>
      <c r="O1120" s="5">
        <v>36094.400000000001</v>
      </c>
      <c r="P1120" s="5">
        <v>37587.699999999997</v>
      </c>
      <c r="Q1120" s="5">
        <v>-1493.3</v>
      </c>
      <c r="R1120" s="5" t="s">
        <v>64</v>
      </c>
      <c r="S1120" s="5" t="s">
        <v>33</v>
      </c>
      <c r="T1120" s="5" t="s">
        <v>73</v>
      </c>
      <c r="U1120" s="5">
        <v>1</v>
      </c>
      <c r="V1120" s="5" t="s">
        <v>45</v>
      </c>
    </row>
    <row r="1121" spans="1:22" x14ac:dyDescent="0.3">
      <c r="A1121" s="5" t="s">
        <v>1675</v>
      </c>
      <c r="B1121" s="6">
        <v>46151</v>
      </c>
      <c r="C1121" s="5" t="s">
        <v>250</v>
      </c>
      <c r="D1121" s="5" t="s">
        <v>89</v>
      </c>
      <c r="E1121" s="5" t="s">
        <v>59</v>
      </c>
      <c r="F1121" s="5" t="s">
        <v>60</v>
      </c>
      <c r="G1121" s="5" t="s">
        <v>61</v>
      </c>
      <c r="H1121" s="5" t="s">
        <v>90</v>
      </c>
      <c r="I1121" s="5" t="s">
        <v>91</v>
      </c>
      <c r="J1121" s="5" t="s">
        <v>71</v>
      </c>
      <c r="K1121" s="5" t="s">
        <v>81</v>
      </c>
      <c r="L1121" s="5">
        <v>2</v>
      </c>
      <c r="M1121" s="5">
        <v>18384</v>
      </c>
      <c r="N1121" s="5">
        <v>5</v>
      </c>
      <c r="O1121" s="5">
        <v>34929.599999999999</v>
      </c>
      <c r="P1121" s="5">
        <v>28812.560000000001</v>
      </c>
      <c r="Q1121" s="5">
        <v>6117.04</v>
      </c>
      <c r="R1121" s="5" t="s">
        <v>44</v>
      </c>
      <c r="S1121" s="5" t="s">
        <v>82</v>
      </c>
      <c r="T1121" s="5" t="s">
        <v>65</v>
      </c>
      <c r="U1121" s="5">
        <v>5</v>
      </c>
      <c r="V1121" s="5" t="s">
        <v>45</v>
      </c>
    </row>
    <row r="1122" spans="1:22" x14ac:dyDescent="0.3">
      <c r="A1122" s="5" t="s">
        <v>1676</v>
      </c>
      <c r="B1122" s="6">
        <v>46079</v>
      </c>
      <c r="C1122" s="5" t="s">
        <v>244</v>
      </c>
      <c r="D1122" s="5" t="s">
        <v>24</v>
      </c>
      <c r="E1122" s="5" t="s">
        <v>25</v>
      </c>
      <c r="F1122" s="5" t="s">
        <v>26</v>
      </c>
      <c r="G1122" s="5" t="s">
        <v>27</v>
      </c>
      <c r="H1122" s="5" t="s">
        <v>735</v>
      </c>
      <c r="I1122" s="5" t="s">
        <v>736</v>
      </c>
      <c r="J1122" s="5" t="s">
        <v>54</v>
      </c>
      <c r="K1122" s="5" t="s">
        <v>97</v>
      </c>
      <c r="L1122" s="5">
        <v>2</v>
      </c>
      <c r="M1122" s="5">
        <v>18050</v>
      </c>
      <c r="N1122" s="5">
        <v>15</v>
      </c>
      <c r="O1122" s="5">
        <v>30685</v>
      </c>
      <c r="P1122" s="5">
        <v>25267.53</v>
      </c>
      <c r="Q1122" s="5">
        <v>5417.47</v>
      </c>
      <c r="R1122" s="5" t="s">
        <v>44</v>
      </c>
      <c r="S1122" s="5" t="s">
        <v>82</v>
      </c>
      <c r="T1122" s="5" t="s">
        <v>34</v>
      </c>
      <c r="U1122" s="5">
        <v>1</v>
      </c>
      <c r="V1122" s="5" t="s">
        <v>35</v>
      </c>
    </row>
    <row r="1123" spans="1:22" x14ac:dyDescent="0.3">
      <c r="A1123" s="5" t="s">
        <v>1677</v>
      </c>
      <c r="B1123" s="6">
        <v>46133</v>
      </c>
      <c r="C1123" s="5" t="s">
        <v>1070</v>
      </c>
      <c r="D1123" s="5" t="s">
        <v>38</v>
      </c>
      <c r="E1123" s="5" t="s">
        <v>49</v>
      </c>
      <c r="F1123" s="5" t="s">
        <v>50</v>
      </c>
      <c r="G1123" s="5" t="s">
        <v>51</v>
      </c>
      <c r="H1123" s="5" t="s">
        <v>42</v>
      </c>
      <c r="I1123" s="5" t="s">
        <v>43</v>
      </c>
      <c r="J1123" s="5" t="s">
        <v>30</v>
      </c>
      <c r="K1123" s="5" t="s">
        <v>31</v>
      </c>
      <c r="L1123" s="5">
        <v>4</v>
      </c>
      <c r="M1123" s="5">
        <v>25551</v>
      </c>
      <c r="N1123" s="5">
        <v>5</v>
      </c>
      <c r="O1123" s="5">
        <v>97093.8</v>
      </c>
      <c r="P1123" s="5">
        <v>76701.73</v>
      </c>
      <c r="Q1123" s="5">
        <v>20392.07</v>
      </c>
      <c r="R1123" s="5" t="s">
        <v>32</v>
      </c>
      <c r="S1123" s="5" t="s">
        <v>33</v>
      </c>
      <c r="T1123" s="5" t="s">
        <v>73</v>
      </c>
      <c r="U1123" s="5">
        <v>4</v>
      </c>
      <c r="V1123" s="5" t="s">
        <v>45</v>
      </c>
    </row>
    <row r="1124" spans="1:22" x14ac:dyDescent="0.3">
      <c r="A1124" s="5" t="s">
        <v>1678</v>
      </c>
      <c r="B1124" s="6">
        <v>46142</v>
      </c>
      <c r="C1124" s="5" t="s">
        <v>562</v>
      </c>
      <c r="D1124" s="5" t="s">
        <v>89</v>
      </c>
      <c r="E1124" s="5" t="s">
        <v>94</v>
      </c>
      <c r="F1124" s="5" t="s">
        <v>26</v>
      </c>
      <c r="G1124" s="5" t="s">
        <v>27</v>
      </c>
      <c r="H1124" s="5" t="s">
        <v>762</v>
      </c>
      <c r="I1124" s="5" t="s">
        <v>763</v>
      </c>
      <c r="J1124" s="5" t="s">
        <v>54</v>
      </c>
      <c r="K1124" s="5" t="s">
        <v>55</v>
      </c>
      <c r="L1124" s="5">
        <v>3</v>
      </c>
      <c r="M1124" s="5">
        <v>77849</v>
      </c>
      <c r="N1124" s="5">
        <v>20</v>
      </c>
      <c r="O1124" s="5">
        <v>186837.6</v>
      </c>
      <c r="P1124" s="5">
        <v>196163.83</v>
      </c>
      <c r="Q1124" s="5">
        <v>-9326.23</v>
      </c>
      <c r="R1124" s="5" t="s">
        <v>32</v>
      </c>
      <c r="S1124" s="5" t="s">
        <v>33</v>
      </c>
      <c r="T1124" s="5" t="s">
        <v>73</v>
      </c>
      <c r="U1124" s="5">
        <v>2</v>
      </c>
      <c r="V1124" s="5" t="s">
        <v>35</v>
      </c>
    </row>
    <row r="1125" spans="1:22" x14ac:dyDescent="0.3">
      <c r="A1125" s="5" t="s">
        <v>1679</v>
      </c>
      <c r="B1125" s="6">
        <v>46026</v>
      </c>
      <c r="C1125" s="5" t="s">
        <v>216</v>
      </c>
      <c r="D1125" s="5" t="s">
        <v>110</v>
      </c>
      <c r="E1125" s="5" t="s">
        <v>49</v>
      </c>
      <c r="F1125" s="5" t="s">
        <v>50</v>
      </c>
      <c r="G1125" s="5" t="s">
        <v>51</v>
      </c>
      <c r="H1125" s="5" t="s">
        <v>253</v>
      </c>
      <c r="I1125" s="5" t="s">
        <v>254</v>
      </c>
      <c r="J1125" s="5" t="s">
        <v>54</v>
      </c>
      <c r="K1125" s="5" t="s">
        <v>55</v>
      </c>
      <c r="L1125" s="5">
        <v>4</v>
      </c>
      <c r="M1125" s="5">
        <v>19561</v>
      </c>
      <c r="N1125" s="5">
        <v>20</v>
      </c>
      <c r="O1125" s="5">
        <v>62595.199999999997</v>
      </c>
      <c r="P1125" s="5">
        <v>51404.61</v>
      </c>
      <c r="Q1125" s="5">
        <v>11190.59</v>
      </c>
      <c r="R1125" s="5" t="s">
        <v>44</v>
      </c>
      <c r="S1125" s="5" t="s">
        <v>33</v>
      </c>
      <c r="T1125" s="5" t="s">
        <v>73</v>
      </c>
      <c r="U1125" s="5">
        <v>3</v>
      </c>
      <c r="V1125" s="5" t="s">
        <v>45</v>
      </c>
    </row>
    <row r="1126" spans="1:22" x14ac:dyDescent="0.3">
      <c r="A1126" s="5" t="s">
        <v>1680</v>
      </c>
      <c r="B1126" s="6">
        <v>46178</v>
      </c>
      <c r="C1126" s="5" t="s">
        <v>1066</v>
      </c>
      <c r="D1126" s="5" t="s">
        <v>76</v>
      </c>
      <c r="E1126" s="5" t="s">
        <v>25</v>
      </c>
      <c r="F1126" s="5" t="s">
        <v>26</v>
      </c>
      <c r="G1126" s="5" t="s">
        <v>27</v>
      </c>
      <c r="H1126" s="5" t="s">
        <v>164</v>
      </c>
      <c r="I1126" s="5" t="s">
        <v>165</v>
      </c>
      <c r="J1126" s="5" t="s">
        <v>102</v>
      </c>
      <c r="K1126" s="5" t="s">
        <v>103</v>
      </c>
      <c r="L1126" s="5">
        <v>5</v>
      </c>
      <c r="M1126" s="5">
        <v>16165</v>
      </c>
      <c r="N1126" s="5">
        <v>0</v>
      </c>
      <c r="O1126" s="5">
        <v>80825</v>
      </c>
      <c r="P1126" s="5">
        <v>47312.53</v>
      </c>
      <c r="Q1126" s="5">
        <v>33512.47</v>
      </c>
      <c r="R1126" s="5" t="s">
        <v>44</v>
      </c>
      <c r="S1126" s="5" t="s">
        <v>82</v>
      </c>
      <c r="T1126" s="5" t="s">
        <v>34</v>
      </c>
      <c r="U1126" s="5">
        <v>2</v>
      </c>
      <c r="V1126" s="5" t="s">
        <v>45</v>
      </c>
    </row>
    <row r="1127" spans="1:22" x14ac:dyDescent="0.3">
      <c r="A1127" s="5" t="s">
        <v>1681</v>
      </c>
      <c r="B1127" s="6">
        <v>46137</v>
      </c>
      <c r="C1127" s="5" t="s">
        <v>1184</v>
      </c>
      <c r="D1127" s="5" t="s">
        <v>68</v>
      </c>
      <c r="E1127" s="5" t="s">
        <v>94</v>
      </c>
      <c r="F1127" s="5" t="s">
        <v>26</v>
      </c>
      <c r="G1127" s="5" t="s">
        <v>27</v>
      </c>
      <c r="H1127" s="5" t="s">
        <v>640</v>
      </c>
      <c r="I1127" s="5" t="s">
        <v>641</v>
      </c>
      <c r="J1127" s="5" t="s">
        <v>54</v>
      </c>
      <c r="K1127" s="5" t="s">
        <v>97</v>
      </c>
      <c r="L1127" s="5">
        <v>4</v>
      </c>
      <c r="M1127" s="5">
        <v>34167</v>
      </c>
      <c r="N1127" s="5">
        <v>5</v>
      </c>
      <c r="O1127" s="5">
        <v>129834.6</v>
      </c>
      <c r="P1127" s="5">
        <v>75971.820000000007</v>
      </c>
      <c r="Q1127" s="5">
        <v>53862.78</v>
      </c>
      <c r="R1127" s="5" t="s">
        <v>32</v>
      </c>
      <c r="S1127" s="5" t="s">
        <v>33</v>
      </c>
      <c r="T1127" s="5" t="s">
        <v>34</v>
      </c>
      <c r="U1127" s="5">
        <v>4</v>
      </c>
      <c r="V1127" s="5" t="s">
        <v>35</v>
      </c>
    </row>
    <row r="1128" spans="1:22" x14ac:dyDescent="0.3">
      <c r="A1128" s="5" t="s">
        <v>1682</v>
      </c>
      <c r="B1128" s="6">
        <v>46179</v>
      </c>
      <c r="C1128" s="5" t="s">
        <v>1285</v>
      </c>
      <c r="D1128" s="5" t="s">
        <v>89</v>
      </c>
      <c r="E1128" s="5" t="s">
        <v>25</v>
      </c>
      <c r="F1128" s="5" t="s">
        <v>26</v>
      </c>
      <c r="G1128" s="5" t="s">
        <v>27</v>
      </c>
      <c r="H1128" s="5" t="s">
        <v>28</v>
      </c>
      <c r="I1128" s="5" t="s">
        <v>29</v>
      </c>
      <c r="J1128" s="5" t="s">
        <v>30</v>
      </c>
      <c r="K1128" s="5" t="s">
        <v>31</v>
      </c>
      <c r="L1128" s="5">
        <v>5</v>
      </c>
      <c r="M1128" s="5">
        <v>13630</v>
      </c>
      <c r="N1128" s="5">
        <v>0</v>
      </c>
      <c r="O1128" s="5">
        <v>68150</v>
      </c>
      <c r="P1128" s="5">
        <v>47220.83</v>
      </c>
      <c r="Q1128" s="5">
        <v>20929.169999999998</v>
      </c>
      <c r="R1128" s="5" t="s">
        <v>32</v>
      </c>
      <c r="S1128" s="5" t="s">
        <v>82</v>
      </c>
      <c r="T1128" s="5" t="s">
        <v>73</v>
      </c>
      <c r="U1128" s="5">
        <v>4</v>
      </c>
      <c r="V1128" s="5" t="s">
        <v>35</v>
      </c>
    </row>
    <row r="1129" spans="1:22" x14ac:dyDescent="0.3">
      <c r="A1129" s="5" t="s">
        <v>1683</v>
      </c>
      <c r="B1129" s="6">
        <v>46146</v>
      </c>
      <c r="C1129" s="5" t="s">
        <v>140</v>
      </c>
      <c r="D1129" s="5" t="s">
        <v>117</v>
      </c>
      <c r="E1129" s="5" t="s">
        <v>77</v>
      </c>
      <c r="F1129" s="5" t="s">
        <v>78</v>
      </c>
      <c r="G1129" s="5" t="s">
        <v>41</v>
      </c>
      <c r="H1129" s="5" t="s">
        <v>479</v>
      </c>
      <c r="I1129" s="5" t="s">
        <v>480</v>
      </c>
      <c r="J1129" s="5" t="s">
        <v>71</v>
      </c>
      <c r="K1129" s="5" t="s">
        <v>72</v>
      </c>
      <c r="L1129" s="5">
        <v>3</v>
      </c>
      <c r="M1129" s="5">
        <v>11526</v>
      </c>
      <c r="N1129" s="5">
        <v>20</v>
      </c>
      <c r="O1129" s="5">
        <v>27662.400000000001</v>
      </c>
      <c r="P1129" s="5">
        <v>29107.98</v>
      </c>
      <c r="Q1129" s="5">
        <v>-1445.58</v>
      </c>
      <c r="R1129" s="5" t="s">
        <v>32</v>
      </c>
      <c r="S1129" s="5" t="s">
        <v>33</v>
      </c>
      <c r="T1129" s="5" t="s">
        <v>65</v>
      </c>
      <c r="U1129" s="5">
        <v>2</v>
      </c>
      <c r="V1129" s="5" t="s">
        <v>35</v>
      </c>
    </row>
    <row r="1130" spans="1:22" x14ac:dyDescent="0.3">
      <c r="A1130" s="5" t="s">
        <v>1684</v>
      </c>
      <c r="B1130" s="6">
        <v>46092</v>
      </c>
      <c r="C1130" s="5" t="s">
        <v>628</v>
      </c>
      <c r="D1130" s="5" t="s">
        <v>151</v>
      </c>
      <c r="E1130" s="5" t="s">
        <v>94</v>
      </c>
      <c r="F1130" s="5" t="s">
        <v>26</v>
      </c>
      <c r="G1130" s="5" t="s">
        <v>27</v>
      </c>
      <c r="H1130" s="5" t="s">
        <v>245</v>
      </c>
      <c r="I1130" s="5" t="s">
        <v>246</v>
      </c>
      <c r="J1130" s="5" t="s">
        <v>54</v>
      </c>
      <c r="K1130" s="5" t="s">
        <v>97</v>
      </c>
      <c r="L1130" s="5">
        <v>2</v>
      </c>
      <c r="M1130" s="5">
        <v>11741</v>
      </c>
      <c r="N1130" s="5">
        <v>20</v>
      </c>
      <c r="O1130" s="5">
        <v>18785.599999999999</v>
      </c>
      <c r="P1130" s="5">
        <v>15692.15</v>
      </c>
      <c r="Q1130" s="5">
        <v>3093.45</v>
      </c>
      <c r="R1130" s="5" t="s">
        <v>44</v>
      </c>
      <c r="S1130" s="5" t="s">
        <v>82</v>
      </c>
      <c r="T1130" s="5" t="s">
        <v>73</v>
      </c>
      <c r="U1130" s="5">
        <v>1</v>
      </c>
      <c r="V1130" s="5" t="s">
        <v>45</v>
      </c>
    </row>
    <row r="1131" spans="1:22" x14ac:dyDescent="0.3">
      <c r="A1131" s="5" t="s">
        <v>1685</v>
      </c>
      <c r="B1131" s="6">
        <v>46030</v>
      </c>
      <c r="C1131" s="5" t="s">
        <v>623</v>
      </c>
      <c r="D1131" s="5" t="s">
        <v>38</v>
      </c>
      <c r="E1131" s="5" t="s">
        <v>49</v>
      </c>
      <c r="F1131" s="5" t="s">
        <v>50</v>
      </c>
      <c r="G1131" s="5" t="s">
        <v>51</v>
      </c>
      <c r="H1131" s="5" t="s">
        <v>253</v>
      </c>
      <c r="I1131" s="5" t="s">
        <v>254</v>
      </c>
      <c r="J1131" s="5" t="s">
        <v>54</v>
      </c>
      <c r="K1131" s="5" t="s">
        <v>55</v>
      </c>
      <c r="L1131" s="5">
        <v>5</v>
      </c>
      <c r="M1131" s="5">
        <v>74642</v>
      </c>
      <c r="N1131" s="5">
        <v>0</v>
      </c>
      <c r="O1131" s="5">
        <v>373210</v>
      </c>
      <c r="P1131" s="5">
        <v>247606.73</v>
      </c>
      <c r="Q1131" s="5">
        <v>125603.27</v>
      </c>
      <c r="R1131" s="5" t="s">
        <v>44</v>
      </c>
      <c r="S1131" s="5" t="s">
        <v>82</v>
      </c>
      <c r="T1131" s="5" t="s">
        <v>34</v>
      </c>
      <c r="U1131" s="5">
        <v>2</v>
      </c>
      <c r="V1131" s="5" t="s">
        <v>35</v>
      </c>
    </row>
    <row r="1132" spans="1:22" x14ac:dyDescent="0.3">
      <c r="A1132" s="5" t="s">
        <v>1686</v>
      </c>
      <c r="B1132" s="6">
        <v>46096</v>
      </c>
      <c r="C1132" s="5" t="s">
        <v>105</v>
      </c>
      <c r="D1132" s="5" t="s">
        <v>151</v>
      </c>
      <c r="E1132" s="5" t="s">
        <v>39</v>
      </c>
      <c r="F1132" s="5" t="s">
        <v>40</v>
      </c>
      <c r="G1132" s="5" t="s">
        <v>41</v>
      </c>
      <c r="H1132" s="5" t="s">
        <v>371</v>
      </c>
      <c r="I1132" s="5" t="s">
        <v>372</v>
      </c>
      <c r="J1132" s="5" t="s">
        <v>71</v>
      </c>
      <c r="K1132" s="5" t="s">
        <v>72</v>
      </c>
      <c r="L1132" s="5">
        <v>1</v>
      </c>
      <c r="M1132" s="5">
        <v>47027</v>
      </c>
      <c r="N1132" s="5">
        <v>10</v>
      </c>
      <c r="O1132" s="5">
        <v>42324.3</v>
      </c>
      <c r="P1132" s="5">
        <v>28106</v>
      </c>
      <c r="Q1132" s="5">
        <v>14218.3</v>
      </c>
      <c r="R1132" s="5" t="s">
        <v>32</v>
      </c>
      <c r="S1132" s="5" t="s">
        <v>82</v>
      </c>
      <c r="T1132" s="5" t="s">
        <v>73</v>
      </c>
      <c r="U1132" s="5">
        <v>2</v>
      </c>
      <c r="V1132" s="5" t="s">
        <v>35</v>
      </c>
    </row>
    <row r="1133" spans="1:22" x14ac:dyDescent="0.3">
      <c r="A1133" s="5" t="s">
        <v>1687</v>
      </c>
      <c r="B1133" s="6">
        <v>46167</v>
      </c>
      <c r="C1133" s="5" t="s">
        <v>1282</v>
      </c>
      <c r="D1133" s="5" t="s">
        <v>38</v>
      </c>
      <c r="E1133" s="5" t="s">
        <v>39</v>
      </c>
      <c r="F1133" s="5" t="s">
        <v>40</v>
      </c>
      <c r="G1133" s="5" t="s">
        <v>41</v>
      </c>
      <c r="H1133" s="5" t="s">
        <v>42</v>
      </c>
      <c r="I1133" s="5" t="s">
        <v>43</v>
      </c>
      <c r="J1133" s="5" t="s">
        <v>30</v>
      </c>
      <c r="K1133" s="5" t="s">
        <v>31</v>
      </c>
      <c r="L1133" s="5">
        <v>5</v>
      </c>
      <c r="M1133" s="5">
        <v>16168</v>
      </c>
      <c r="N1133" s="5">
        <v>5</v>
      </c>
      <c r="O1133" s="5">
        <v>76798</v>
      </c>
      <c r="P1133" s="5">
        <v>50774.55</v>
      </c>
      <c r="Q1133" s="5">
        <v>26023.45</v>
      </c>
      <c r="R1133" s="5" t="s">
        <v>44</v>
      </c>
      <c r="S1133" s="5" t="s">
        <v>33</v>
      </c>
      <c r="T1133" s="5" t="s">
        <v>34</v>
      </c>
      <c r="U1133" s="5">
        <v>5</v>
      </c>
      <c r="V1133" s="5" t="s">
        <v>35</v>
      </c>
    </row>
    <row r="1134" spans="1:22" x14ac:dyDescent="0.3">
      <c r="A1134" s="5" t="s">
        <v>1688</v>
      </c>
      <c r="B1134" s="6">
        <v>46053</v>
      </c>
      <c r="C1134" s="5" t="s">
        <v>237</v>
      </c>
      <c r="D1134" s="5" t="s">
        <v>89</v>
      </c>
      <c r="E1134" s="5" t="s">
        <v>77</v>
      </c>
      <c r="F1134" s="5" t="s">
        <v>78</v>
      </c>
      <c r="G1134" s="5" t="s">
        <v>41</v>
      </c>
      <c r="H1134" s="5" t="s">
        <v>193</v>
      </c>
      <c r="I1134" s="5" t="s">
        <v>194</v>
      </c>
      <c r="J1134" s="5" t="s">
        <v>71</v>
      </c>
      <c r="K1134" s="5" t="s">
        <v>72</v>
      </c>
      <c r="L1134" s="5">
        <v>1</v>
      </c>
      <c r="M1134" s="5">
        <v>13169</v>
      </c>
      <c r="N1134" s="5">
        <v>20</v>
      </c>
      <c r="O1134" s="5">
        <v>10535.2</v>
      </c>
      <c r="P1134" s="5">
        <v>7943.25</v>
      </c>
      <c r="Q1134" s="5">
        <v>2591.9499999999998</v>
      </c>
      <c r="R1134" s="5" t="s">
        <v>32</v>
      </c>
      <c r="S1134" s="5" t="s">
        <v>82</v>
      </c>
      <c r="T1134" s="5" t="s">
        <v>73</v>
      </c>
      <c r="U1134" s="5">
        <v>2</v>
      </c>
      <c r="V1134" s="5" t="s">
        <v>45</v>
      </c>
    </row>
    <row r="1135" spans="1:22" x14ac:dyDescent="0.3">
      <c r="A1135" s="5" t="s">
        <v>1689</v>
      </c>
      <c r="B1135" s="6">
        <v>46077</v>
      </c>
      <c r="C1135" s="5" t="s">
        <v>643</v>
      </c>
      <c r="D1135" s="5" t="s">
        <v>89</v>
      </c>
      <c r="E1135" s="5" t="s">
        <v>39</v>
      </c>
      <c r="F1135" s="5" t="s">
        <v>40</v>
      </c>
      <c r="G1135" s="5" t="s">
        <v>41</v>
      </c>
      <c r="H1135" s="5" t="s">
        <v>299</v>
      </c>
      <c r="I1135" s="5" t="s">
        <v>300</v>
      </c>
      <c r="J1135" s="5" t="s">
        <v>71</v>
      </c>
      <c r="K1135" s="5" t="s">
        <v>72</v>
      </c>
      <c r="L1135" s="5">
        <v>1</v>
      </c>
      <c r="M1135" s="5">
        <v>23948</v>
      </c>
      <c r="N1135" s="5">
        <v>0</v>
      </c>
      <c r="O1135" s="5">
        <v>23948</v>
      </c>
      <c r="P1135" s="5">
        <v>18868.189999999999</v>
      </c>
      <c r="Q1135" s="5">
        <v>5079.8100000000004</v>
      </c>
      <c r="R1135" s="5" t="s">
        <v>32</v>
      </c>
      <c r="S1135" s="5" t="s">
        <v>82</v>
      </c>
      <c r="T1135" s="5" t="s">
        <v>73</v>
      </c>
      <c r="U1135" s="5">
        <v>3</v>
      </c>
      <c r="V1135" s="5" t="s">
        <v>45</v>
      </c>
    </row>
    <row r="1136" spans="1:22" x14ac:dyDescent="0.3">
      <c r="A1136" s="5" t="s">
        <v>1690</v>
      </c>
      <c r="B1136" s="6">
        <v>46057</v>
      </c>
      <c r="C1136" s="5" t="s">
        <v>1432</v>
      </c>
      <c r="D1136" s="5" t="s">
        <v>38</v>
      </c>
      <c r="E1136" s="5" t="s">
        <v>126</v>
      </c>
      <c r="F1136" s="5" t="s">
        <v>126</v>
      </c>
      <c r="G1136" s="5" t="s">
        <v>51</v>
      </c>
      <c r="H1136" s="5" t="s">
        <v>479</v>
      </c>
      <c r="I1136" s="5" t="s">
        <v>480</v>
      </c>
      <c r="J1136" s="5" t="s">
        <v>71</v>
      </c>
      <c r="K1136" s="5" t="s">
        <v>72</v>
      </c>
      <c r="L1136" s="5">
        <v>4</v>
      </c>
      <c r="M1136" s="5">
        <v>66221</v>
      </c>
      <c r="N1136" s="5">
        <v>20</v>
      </c>
      <c r="O1136" s="5">
        <v>211907.20000000001</v>
      </c>
      <c r="P1136" s="5">
        <v>161810.63</v>
      </c>
      <c r="Q1136" s="5">
        <v>50096.57</v>
      </c>
      <c r="R1136" s="5" t="s">
        <v>32</v>
      </c>
      <c r="S1136" s="5" t="s">
        <v>33</v>
      </c>
      <c r="T1136" s="5" t="s">
        <v>34</v>
      </c>
      <c r="U1136" s="5">
        <v>3</v>
      </c>
      <c r="V1136" s="5" t="s">
        <v>45</v>
      </c>
    </row>
    <row r="1137" spans="1:22" x14ac:dyDescent="0.3">
      <c r="A1137" s="5" t="s">
        <v>1691</v>
      </c>
      <c r="B1137" s="6">
        <v>46114</v>
      </c>
      <c r="C1137" s="5" t="s">
        <v>809</v>
      </c>
      <c r="D1137" s="5" t="s">
        <v>151</v>
      </c>
      <c r="E1137" s="5" t="s">
        <v>94</v>
      </c>
      <c r="F1137" s="5" t="s">
        <v>26</v>
      </c>
      <c r="G1137" s="5" t="s">
        <v>27</v>
      </c>
      <c r="H1137" s="5" t="s">
        <v>678</v>
      </c>
      <c r="I1137" s="5" t="s">
        <v>679</v>
      </c>
      <c r="J1137" s="5" t="s">
        <v>54</v>
      </c>
      <c r="K1137" s="5" t="s">
        <v>55</v>
      </c>
      <c r="L1137" s="5">
        <v>5</v>
      </c>
      <c r="M1137" s="5">
        <v>2987</v>
      </c>
      <c r="N1137" s="5">
        <v>20</v>
      </c>
      <c r="O1137" s="5">
        <v>11948</v>
      </c>
      <c r="P1137" s="5">
        <v>9034.8799999999992</v>
      </c>
      <c r="Q1137" s="5">
        <v>2913.12</v>
      </c>
      <c r="R1137" s="5" t="s">
        <v>64</v>
      </c>
      <c r="S1137" s="5" t="s">
        <v>33</v>
      </c>
      <c r="T1137" s="5" t="s">
        <v>73</v>
      </c>
      <c r="U1137" s="5">
        <v>3</v>
      </c>
      <c r="V1137" s="5" t="s">
        <v>45</v>
      </c>
    </row>
    <row r="1138" spans="1:22" x14ac:dyDescent="0.3">
      <c r="A1138" s="5" t="s">
        <v>1692</v>
      </c>
      <c r="B1138" s="6">
        <v>46044</v>
      </c>
      <c r="C1138" s="5" t="s">
        <v>507</v>
      </c>
      <c r="D1138" s="5" t="s">
        <v>151</v>
      </c>
      <c r="E1138" s="5" t="s">
        <v>25</v>
      </c>
      <c r="F1138" s="5" t="s">
        <v>26</v>
      </c>
      <c r="G1138" s="5" t="s">
        <v>27</v>
      </c>
      <c r="H1138" s="5" t="s">
        <v>557</v>
      </c>
      <c r="I1138" s="5" t="s">
        <v>558</v>
      </c>
      <c r="J1138" s="5" t="s">
        <v>54</v>
      </c>
      <c r="K1138" s="5" t="s">
        <v>97</v>
      </c>
      <c r="L1138" s="5">
        <v>3</v>
      </c>
      <c r="M1138" s="5">
        <v>74527</v>
      </c>
      <c r="N1138" s="5">
        <v>0</v>
      </c>
      <c r="O1138" s="5">
        <v>223581</v>
      </c>
      <c r="P1138" s="5">
        <v>160105.72</v>
      </c>
      <c r="Q1138" s="5">
        <v>63475.28</v>
      </c>
      <c r="R1138" s="5" t="s">
        <v>44</v>
      </c>
      <c r="S1138" s="5" t="s">
        <v>33</v>
      </c>
      <c r="T1138" s="5" t="s">
        <v>73</v>
      </c>
      <c r="U1138" s="5">
        <v>4</v>
      </c>
      <c r="V1138" s="5" t="s">
        <v>35</v>
      </c>
    </row>
    <row r="1139" spans="1:22" x14ac:dyDescent="0.3">
      <c r="A1139" s="5" t="s">
        <v>1693</v>
      </c>
      <c r="B1139" s="6">
        <v>46096</v>
      </c>
      <c r="C1139" s="5" t="s">
        <v>846</v>
      </c>
      <c r="D1139" s="5" t="s">
        <v>151</v>
      </c>
      <c r="E1139" s="5" t="s">
        <v>25</v>
      </c>
      <c r="F1139" s="5" t="s">
        <v>26</v>
      </c>
      <c r="G1139" s="5" t="s">
        <v>27</v>
      </c>
      <c r="H1139" s="5" t="s">
        <v>342</v>
      </c>
      <c r="I1139" s="5" t="s">
        <v>343</v>
      </c>
      <c r="J1139" s="5" t="s">
        <v>54</v>
      </c>
      <c r="K1139" s="5" t="s">
        <v>97</v>
      </c>
      <c r="L1139" s="5">
        <v>4</v>
      </c>
      <c r="M1139" s="5">
        <v>74208</v>
      </c>
      <c r="N1139" s="5">
        <v>20</v>
      </c>
      <c r="O1139" s="5">
        <v>237465.60000000001</v>
      </c>
      <c r="P1139" s="5">
        <v>210479.65</v>
      </c>
      <c r="Q1139" s="5">
        <v>26985.95</v>
      </c>
      <c r="R1139" s="5" t="s">
        <v>32</v>
      </c>
      <c r="S1139" s="5" t="s">
        <v>33</v>
      </c>
      <c r="T1139" s="5" t="s">
        <v>65</v>
      </c>
      <c r="U1139" s="5">
        <v>4</v>
      </c>
      <c r="V1139" s="5" t="s">
        <v>45</v>
      </c>
    </row>
    <row r="1140" spans="1:22" x14ac:dyDescent="0.3">
      <c r="A1140" s="5" t="s">
        <v>1694</v>
      </c>
      <c r="B1140" s="6">
        <v>46106</v>
      </c>
      <c r="C1140" s="5" t="s">
        <v>1082</v>
      </c>
      <c r="D1140" s="5" t="s">
        <v>24</v>
      </c>
      <c r="E1140" s="5" t="s">
        <v>94</v>
      </c>
      <c r="F1140" s="5" t="s">
        <v>26</v>
      </c>
      <c r="G1140" s="5" t="s">
        <v>27</v>
      </c>
      <c r="H1140" s="5" t="s">
        <v>640</v>
      </c>
      <c r="I1140" s="5" t="s">
        <v>641</v>
      </c>
      <c r="J1140" s="5" t="s">
        <v>54</v>
      </c>
      <c r="K1140" s="5" t="s">
        <v>97</v>
      </c>
      <c r="L1140" s="5">
        <v>3</v>
      </c>
      <c r="M1140" s="5">
        <v>18378</v>
      </c>
      <c r="N1140" s="5">
        <v>5</v>
      </c>
      <c r="O1140" s="5">
        <v>52377.3</v>
      </c>
      <c r="P1140" s="5">
        <v>33682.33</v>
      </c>
      <c r="Q1140" s="5">
        <v>18694.97</v>
      </c>
      <c r="R1140" s="5" t="s">
        <v>32</v>
      </c>
      <c r="S1140" s="5" t="s">
        <v>82</v>
      </c>
      <c r="T1140" s="5" t="s">
        <v>34</v>
      </c>
      <c r="U1140" s="5">
        <v>5</v>
      </c>
      <c r="V1140" s="5" t="s">
        <v>45</v>
      </c>
    </row>
    <row r="1141" spans="1:22" x14ac:dyDescent="0.3">
      <c r="A1141" s="5" t="s">
        <v>1695</v>
      </c>
      <c r="B1141" s="6">
        <v>46027</v>
      </c>
      <c r="C1141" s="5" t="s">
        <v>501</v>
      </c>
      <c r="D1141" s="5" t="s">
        <v>24</v>
      </c>
      <c r="E1141" s="5" t="s">
        <v>126</v>
      </c>
      <c r="F1141" s="5" t="s">
        <v>126</v>
      </c>
      <c r="G1141" s="5" t="s">
        <v>51</v>
      </c>
      <c r="H1141" s="5" t="s">
        <v>203</v>
      </c>
      <c r="I1141" s="5" t="s">
        <v>204</v>
      </c>
      <c r="J1141" s="5" t="s">
        <v>71</v>
      </c>
      <c r="K1141" s="5" t="s">
        <v>81</v>
      </c>
      <c r="L1141" s="5">
        <v>4</v>
      </c>
      <c r="M1141" s="5">
        <v>10198</v>
      </c>
      <c r="N1141" s="5">
        <v>10</v>
      </c>
      <c r="O1141" s="5">
        <v>36712.800000000003</v>
      </c>
      <c r="P1141" s="5">
        <v>28780.6</v>
      </c>
      <c r="Q1141" s="5">
        <v>7932.2</v>
      </c>
      <c r="R1141" s="5" t="s">
        <v>44</v>
      </c>
      <c r="S1141" s="5" t="s">
        <v>33</v>
      </c>
      <c r="T1141" s="5" t="s">
        <v>34</v>
      </c>
      <c r="U1141" s="5">
        <v>3</v>
      </c>
      <c r="V1141" s="5" t="s">
        <v>35</v>
      </c>
    </row>
    <row r="1142" spans="1:22" x14ac:dyDescent="0.3">
      <c r="A1142" s="5" t="s">
        <v>1696</v>
      </c>
      <c r="B1142" s="6">
        <v>46105</v>
      </c>
      <c r="C1142" s="5" t="s">
        <v>272</v>
      </c>
      <c r="D1142" s="5" t="s">
        <v>110</v>
      </c>
      <c r="E1142" s="5" t="s">
        <v>39</v>
      </c>
      <c r="F1142" s="5" t="s">
        <v>40</v>
      </c>
      <c r="G1142" s="5" t="s">
        <v>41</v>
      </c>
      <c r="H1142" s="5" t="s">
        <v>106</v>
      </c>
      <c r="I1142" s="5" t="s">
        <v>107</v>
      </c>
      <c r="J1142" s="5" t="s">
        <v>30</v>
      </c>
      <c r="K1142" s="5" t="s">
        <v>31</v>
      </c>
      <c r="L1142" s="5">
        <v>5</v>
      </c>
      <c r="M1142" s="5">
        <v>6012</v>
      </c>
      <c r="N1142" s="5">
        <v>0</v>
      </c>
      <c r="O1142" s="5">
        <v>30060</v>
      </c>
      <c r="P1142" s="5">
        <v>17464.72</v>
      </c>
      <c r="Q1142" s="5">
        <v>12595.28</v>
      </c>
      <c r="R1142" s="5" t="s">
        <v>64</v>
      </c>
      <c r="S1142" s="5" t="s">
        <v>33</v>
      </c>
      <c r="T1142" s="5" t="s">
        <v>65</v>
      </c>
      <c r="U1142" s="5">
        <v>2</v>
      </c>
      <c r="V1142" s="5" t="s">
        <v>35</v>
      </c>
    </row>
    <row r="1143" spans="1:22" x14ac:dyDescent="0.3">
      <c r="A1143" s="5" t="s">
        <v>1697</v>
      </c>
      <c r="B1143" s="6">
        <v>46062</v>
      </c>
      <c r="C1143" s="5" t="s">
        <v>941</v>
      </c>
      <c r="D1143" s="5" t="s">
        <v>48</v>
      </c>
      <c r="E1143" s="5" t="s">
        <v>94</v>
      </c>
      <c r="F1143" s="5" t="s">
        <v>26</v>
      </c>
      <c r="G1143" s="5" t="s">
        <v>27</v>
      </c>
      <c r="H1143" s="5" t="s">
        <v>406</v>
      </c>
      <c r="I1143" s="5" t="s">
        <v>407</v>
      </c>
      <c r="J1143" s="5" t="s">
        <v>30</v>
      </c>
      <c r="K1143" s="5" t="s">
        <v>31</v>
      </c>
      <c r="L1143" s="5">
        <v>4</v>
      </c>
      <c r="M1143" s="5">
        <v>44487</v>
      </c>
      <c r="N1143" s="5">
        <v>20</v>
      </c>
      <c r="O1143" s="5">
        <v>142358.39999999999</v>
      </c>
      <c r="P1143" s="5">
        <v>137499.14000000001</v>
      </c>
      <c r="Q1143" s="5">
        <v>4859.26</v>
      </c>
      <c r="R1143" s="5" t="s">
        <v>32</v>
      </c>
      <c r="S1143" s="5" t="s">
        <v>82</v>
      </c>
      <c r="T1143" s="5" t="s">
        <v>65</v>
      </c>
      <c r="U1143" s="5">
        <v>3</v>
      </c>
      <c r="V1143" s="5" t="s">
        <v>45</v>
      </c>
    </row>
    <row r="1144" spans="1:22" x14ac:dyDescent="0.3">
      <c r="A1144" s="5" t="s">
        <v>1698</v>
      </c>
      <c r="B1144" s="6">
        <v>46130</v>
      </c>
      <c r="C1144" s="5" t="s">
        <v>573</v>
      </c>
      <c r="D1144" s="5" t="s">
        <v>68</v>
      </c>
      <c r="E1144" s="5" t="s">
        <v>39</v>
      </c>
      <c r="F1144" s="5" t="s">
        <v>40</v>
      </c>
      <c r="G1144" s="5" t="s">
        <v>41</v>
      </c>
      <c r="H1144" s="5" t="s">
        <v>156</v>
      </c>
      <c r="I1144" s="5" t="s">
        <v>157</v>
      </c>
      <c r="J1144" s="5" t="s">
        <v>30</v>
      </c>
      <c r="K1144" s="5" t="s">
        <v>31</v>
      </c>
      <c r="L1144" s="5">
        <v>5</v>
      </c>
      <c r="M1144" s="5">
        <v>64235</v>
      </c>
      <c r="N1144" s="5">
        <v>20</v>
      </c>
      <c r="O1144" s="5">
        <v>256940</v>
      </c>
      <c r="P1144" s="5">
        <v>250634.37</v>
      </c>
      <c r="Q1144" s="5">
        <v>6305.63</v>
      </c>
      <c r="R1144" s="5" t="s">
        <v>44</v>
      </c>
      <c r="S1144" s="5" t="s">
        <v>33</v>
      </c>
      <c r="T1144" s="5" t="s">
        <v>34</v>
      </c>
      <c r="U1144" s="5">
        <v>4</v>
      </c>
      <c r="V1144" s="5" t="s">
        <v>35</v>
      </c>
    </row>
    <row r="1145" spans="1:22" x14ac:dyDescent="0.3">
      <c r="A1145" s="5" t="s">
        <v>1699</v>
      </c>
      <c r="B1145" s="6">
        <v>46144</v>
      </c>
      <c r="C1145" s="5" t="s">
        <v>690</v>
      </c>
      <c r="D1145" s="5" t="s">
        <v>38</v>
      </c>
      <c r="E1145" s="5" t="s">
        <v>39</v>
      </c>
      <c r="F1145" s="5" t="s">
        <v>40</v>
      </c>
      <c r="G1145" s="5" t="s">
        <v>41</v>
      </c>
      <c r="H1145" s="5" t="s">
        <v>384</v>
      </c>
      <c r="I1145" s="5" t="s">
        <v>385</v>
      </c>
      <c r="J1145" s="5" t="s">
        <v>102</v>
      </c>
      <c r="K1145" s="5" t="s">
        <v>103</v>
      </c>
      <c r="L1145" s="5">
        <v>2</v>
      </c>
      <c r="M1145" s="5">
        <v>8455</v>
      </c>
      <c r="N1145" s="5">
        <v>20</v>
      </c>
      <c r="O1145" s="5">
        <v>13528</v>
      </c>
      <c r="P1145" s="5">
        <v>10213.530000000001</v>
      </c>
      <c r="Q1145" s="5">
        <v>3314.47</v>
      </c>
      <c r="R1145" s="5" t="s">
        <v>44</v>
      </c>
      <c r="S1145" s="5" t="s">
        <v>33</v>
      </c>
      <c r="T1145" s="5" t="s">
        <v>34</v>
      </c>
      <c r="U1145" s="5">
        <v>4</v>
      </c>
      <c r="V1145" s="5" t="s">
        <v>35</v>
      </c>
    </row>
    <row r="1146" spans="1:22" x14ac:dyDescent="0.3">
      <c r="A1146" s="5" t="s">
        <v>1700</v>
      </c>
      <c r="B1146" s="6">
        <v>46072</v>
      </c>
      <c r="C1146" s="5" t="s">
        <v>351</v>
      </c>
      <c r="D1146" s="5" t="s">
        <v>38</v>
      </c>
      <c r="E1146" s="5" t="s">
        <v>39</v>
      </c>
      <c r="F1146" s="5" t="s">
        <v>40</v>
      </c>
      <c r="G1146" s="5" t="s">
        <v>41</v>
      </c>
      <c r="H1146" s="5" t="s">
        <v>574</v>
      </c>
      <c r="I1146" s="5" t="s">
        <v>575</v>
      </c>
      <c r="J1146" s="5" t="s">
        <v>30</v>
      </c>
      <c r="K1146" s="5" t="s">
        <v>31</v>
      </c>
      <c r="L1146" s="5">
        <v>2</v>
      </c>
      <c r="M1146" s="5">
        <v>34120</v>
      </c>
      <c r="N1146" s="5">
        <v>15</v>
      </c>
      <c r="O1146" s="5">
        <v>58004</v>
      </c>
      <c r="P1146" s="5">
        <v>50927.66</v>
      </c>
      <c r="Q1146" s="5">
        <v>7076.34</v>
      </c>
      <c r="R1146" s="5" t="s">
        <v>32</v>
      </c>
      <c r="S1146" s="5" t="s">
        <v>33</v>
      </c>
      <c r="T1146" s="5" t="s">
        <v>34</v>
      </c>
      <c r="U1146" s="5">
        <v>5</v>
      </c>
      <c r="V1146" s="5" t="s">
        <v>45</v>
      </c>
    </row>
    <row r="1147" spans="1:22" x14ac:dyDescent="0.3">
      <c r="A1147" s="5" t="s">
        <v>1701</v>
      </c>
      <c r="B1147" s="6">
        <v>46032</v>
      </c>
      <c r="C1147" s="5" t="s">
        <v>1702</v>
      </c>
      <c r="D1147" s="5" t="s">
        <v>89</v>
      </c>
      <c r="E1147" s="5" t="s">
        <v>126</v>
      </c>
      <c r="F1147" s="5" t="s">
        <v>126</v>
      </c>
      <c r="G1147" s="5" t="s">
        <v>51</v>
      </c>
      <c r="H1147" s="5" t="s">
        <v>245</v>
      </c>
      <c r="I1147" s="5" t="s">
        <v>246</v>
      </c>
      <c r="J1147" s="5" t="s">
        <v>54</v>
      </c>
      <c r="K1147" s="5" t="s">
        <v>97</v>
      </c>
      <c r="L1147" s="5">
        <v>5</v>
      </c>
      <c r="M1147" s="5">
        <v>64633</v>
      </c>
      <c r="N1147" s="5">
        <v>15</v>
      </c>
      <c r="O1147" s="5">
        <v>274690.25</v>
      </c>
      <c r="P1147" s="5">
        <v>252428.17</v>
      </c>
      <c r="Q1147" s="5">
        <v>22262.080000000002</v>
      </c>
      <c r="R1147" s="5" t="s">
        <v>44</v>
      </c>
      <c r="S1147" s="5" t="s">
        <v>82</v>
      </c>
      <c r="T1147" s="5" t="s">
        <v>34</v>
      </c>
      <c r="U1147" s="5">
        <v>3</v>
      </c>
      <c r="V1147" s="5" t="s">
        <v>45</v>
      </c>
    </row>
    <row r="1148" spans="1:22" x14ac:dyDescent="0.3">
      <c r="A1148" s="5" t="s">
        <v>1703</v>
      </c>
      <c r="B1148" s="6">
        <v>46097</v>
      </c>
      <c r="C1148" s="5" t="s">
        <v>75</v>
      </c>
      <c r="D1148" s="5" t="s">
        <v>76</v>
      </c>
      <c r="E1148" s="5" t="s">
        <v>59</v>
      </c>
      <c r="F1148" s="5" t="s">
        <v>60</v>
      </c>
      <c r="G1148" s="5" t="s">
        <v>61</v>
      </c>
      <c r="H1148" s="5" t="s">
        <v>193</v>
      </c>
      <c r="I1148" s="5" t="s">
        <v>194</v>
      </c>
      <c r="J1148" s="5" t="s">
        <v>71</v>
      </c>
      <c r="K1148" s="5" t="s">
        <v>72</v>
      </c>
      <c r="L1148" s="5">
        <v>4</v>
      </c>
      <c r="M1148" s="5">
        <v>32290</v>
      </c>
      <c r="N1148" s="5">
        <v>0</v>
      </c>
      <c r="O1148" s="5">
        <v>129160</v>
      </c>
      <c r="P1148" s="5">
        <v>89552.19</v>
      </c>
      <c r="Q1148" s="5">
        <v>39607.81</v>
      </c>
      <c r="R1148" s="5" t="s">
        <v>44</v>
      </c>
      <c r="S1148" s="5" t="s">
        <v>33</v>
      </c>
      <c r="T1148" s="5" t="s">
        <v>73</v>
      </c>
      <c r="U1148" s="5">
        <v>1</v>
      </c>
      <c r="V1148" s="5" t="s">
        <v>35</v>
      </c>
    </row>
    <row r="1149" spans="1:22" x14ac:dyDescent="0.3">
      <c r="A1149" s="5" t="s">
        <v>1704</v>
      </c>
      <c r="B1149" s="6">
        <v>46042</v>
      </c>
      <c r="C1149" s="5" t="s">
        <v>714</v>
      </c>
      <c r="D1149" s="5" t="s">
        <v>68</v>
      </c>
      <c r="E1149" s="5" t="s">
        <v>126</v>
      </c>
      <c r="F1149" s="5" t="s">
        <v>126</v>
      </c>
      <c r="G1149" s="5" t="s">
        <v>51</v>
      </c>
      <c r="H1149" s="5" t="s">
        <v>640</v>
      </c>
      <c r="I1149" s="5" t="s">
        <v>641</v>
      </c>
      <c r="J1149" s="5" t="s">
        <v>54</v>
      </c>
      <c r="K1149" s="5" t="s">
        <v>97</v>
      </c>
      <c r="L1149" s="5">
        <v>2</v>
      </c>
      <c r="M1149" s="5">
        <v>33433</v>
      </c>
      <c r="N1149" s="5">
        <v>10</v>
      </c>
      <c r="O1149" s="5">
        <v>60179.4</v>
      </c>
      <c r="P1149" s="5">
        <v>47187.97</v>
      </c>
      <c r="Q1149" s="5">
        <v>12991.43</v>
      </c>
      <c r="R1149" s="5" t="s">
        <v>44</v>
      </c>
      <c r="S1149" s="5" t="s">
        <v>82</v>
      </c>
      <c r="T1149" s="5" t="s">
        <v>65</v>
      </c>
      <c r="U1149" s="5">
        <v>1</v>
      </c>
      <c r="V1149" s="5" t="s">
        <v>45</v>
      </c>
    </row>
    <row r="1150" spans="1:22" x14ac:dyDescent="0.3">
      <c r="A1150" s="5" t="s">
        <v>1705</v>
      </c>
      <c r="B1150" s="6">
        <v>46096</v>
      </c>
      <c r="C1150" s="5" t="s">
        <v>1188</v>
      </c>
      <c r="D1150" s="5" t="s">
        <v>110</v>
      </c>
      <c r="E1150" s="5" t="s">
        <v>49</v>
      </c>
      <c r="F1150" s="5" t="s">
        <v>50</v>
      </c>
      <c r="G1150" s="5" t="s">
        <v>51</v>
      </c>
      <c r="H1150" s="5" t="s">
        <v>197</v>
      </c>
      <c r="I1150" s="5" t="s">
        <v>198</v>
      </c>
      <c r="J1150" s="5" t="s">
        <v>30</v>
      </c>
      <c r="K1150" s="5" t="s">
        <v>31</v>
      </c>
      <c r="L1150" s="5">
        <v>4</v>
      </c>
      <c r="M1150" s="5">
        <v>3446</v>
      </c>
      <c r="N1150" s="5">
        <v>5</v>
      </c>
      <c r="O1150" s="5">
        <v>13094.8</v>
      </c>
      <c r="P1150" s="5">
        <v>8844.2000000000007</v>
      </c>
      <c r="Q1150" s="5">
        <v>4250.6000000000004</v>
      </c>
      <c r="R1150" s="5" t="s">
        <v>64</v>
      </c>
      <c r="S1150" s="5" t="s">
        <v>33</v>
      </c>
      <c r="T1150" s="5" t="s">
        <v>65</v>
      </c>
      <c r="U1150" s="5">
        <v>5</v>
      </c>
      <c r="V1150" s="5" t="s">
        <v>45</v>
      </c>
    </row>
    <row r="1151" spans="1:22" x14ac:dyDescent="0.3">
      <c r="A1151" s="5" t="s">
        <v>1706</v>
      </c>
      <c r="B1151" s="6">
        <v>46144</v>
      </c>
      <c r="C1151" s="5" t="s">
        <v>341</v>
      </c>
      <c r="D1151" s="5" t="s">
        <v>24</v>
      </c>
      <c r="E1151" s="5" t="s">
        <v>77</v>
      </c>
      <c r="F1151" s="5" t="s">
        <v>78</v>
      </c>
      <c r="G1151" s="5" t="s">
        <v>41</v>
      </c>
      <c r="H1151" s="5" t="s">
        <v>257</v>
      </c>
      <c r="I1151" s="5" t="s">
        <v>258</v>
      </c>
      <c r="J1151" s="5" t="s">
        <v>71</v>
      </c>
      <c r="K1151" s="5" t="s">
        <v>81</v>
      </c>
      <c r="L1151" s="5">
        <v>2</v>
      </c>
      <c r="M1151" s="5">
        <v>1206</v>
      </c>
      <c r="N1151" s="5">
        <v>15</v>
      </c>
      <c r="O1151" s="5">
        <v>2050.1999999999998</v>
      </c>
      <c r="P1151" s="5">
        <v>1613.47</v>
      </c>
      <c r="Q1151" s="5">
        <v>436.73</v>
      </c>
      <c r="R1151" s="5" t="s">
        <v>32</v>
      </c>
      <c r="S1151" s="5" t="s">
        <v>82</v>
      </c>
      <c r="T1151" s="5" t="s">
        <v>65</v>
      </c>
      <c r="U1151" s="5">
        <v>5</v>
      </c>
      <c r="V1151" s="5" t="s">
        <v>45</v>
      </c>
    </row>
    <row r="1152" spans="1:22" x14ac:dyDescent="0.3">
      <c r="A1152" s="5" t="s">
        <v>1707</v>
      </c>
      <c r="B1152" s="6">
        <v>46142</v>
      </c>
      <c r="C1152" s="5" t="s">
        <v>414</v>
      </c>
      <c r="D1152" s="5" t="s">
        <v>76</v>
      </c>
      <c r="E1152" s="5" t="s">
        <v>94</v>
      </c>
      <c r="F1152" s="5" t="s">
        <v>26</v>
      </c>
      <c r="G1152" s="5" t="s">
        <v>27</v>
      </c>
      <c r="H1152" s="5" t="s">
        <v>203</v>
      </c>
      <c r="I1152" s="5" t="s">
        <v>204</v>
      </c>
      <c r="J1152" s="5" t="s">
        <v>71</v>
      </c>
      <c r="K1152" s="5" t="s">
        <v>81</v>
      </c>
      <c r="L1152" s="5">
        <v>1</v>
      </c>
      <c r="M1152" s="5">
        <v>44394</v>
      </c>
      <c r="N1152" s="5">
        <v>15</v>
      </c>
      <c r="O1152" s="5">
        <v>37734.9</v>
      </c>
      <c r="P1152" s="5">
        <v>33878.06</v>
      </c>
      <c r="Q1152" s="5">
        <v>3856.84</v>
      </c>
      <c r="R1152" s="5" t="s">
        <v>44</v>
      </c>
      <c r="S1152" s="5" t="s">
        <v>82</v>
      </c>
      <c r="T1152" s="5" t="s">
        <v>34</v>
      </c>
      <c r="U1152" s="5">
        <v>2</v>
      </c>
      <c r="V1152" s="5" t="s">
        <v>35</v>
      </c>
    </row>
    <row r="1153" spans="1:22" x14ac:dyDescent="0.3">
      <c r="A1153" s="5" t="s">
        <v>1708</v>
      </c>
      <c r="B1153" s="6">
        <v>46184</v>
      </c>
      <c r="C1153" s="5" t="s">
        <v>866</v>
      </c>
      <c r="D1153" s="5" t="s">
        <v>117</v>
      </c>
      <c r="E1153" s="5" t="s">
        <v>59</v>
      </c>
      <c r="F1153" s="5" t="s">
        <v>60</v>
      </c>
      <c r="G1153" s="5" t="s">
        <v>61</v>
      </c>
      <c r="H1153" s="5" t="s">
        <v>557</v>
      </c>
      <c r="I1153" s="5" t="s">
        <v>558</v>
      </c>
      <c r="J1153" s="5" t="s">
        <v>54</v>
      </c>
      <c r="K1153" s="5" t="s">
        <v>97</v>
      </c>
      <c r="L1153" s="5">
        <v>3</v>
      </c>
      <c r="M1153" s="5">
        <v>68743</v>
      </c>
      <c r="N1153" s="5">
        <v>15</v>
      </c>
      <c r="O1153" s="5">
        <v>175294.65</v>
      </c>
      <c r="P1153" s="5">
        <v>169487.85</v>
      </c>
      <c r="Q1153" s="5">
        <v>5806.8</v>
      </c>
      <c r="R1153" s="5" t="s">
        <v>32</v>
      </c>
      <c r="S1153" s="5" t="s">
        <v>82</v>
      </c>
      <c r="T1153" s="5" t="s">
        <v>65</v>
      </c>
      <c r="U1153" s="5">
        <v>1</v>
      </c>
      <c r="V1153" s="5" t="s">
        <v>35</v>
      </c>
    </row>
    <row r="1154" spans="1:22" x14ac:dyDescent="0.3">
      <c r="A1154" s="5" t="s">
        <v>1709</v>
      </c>
      <c r="B1154" s="6">
        <v>46065</v>
      </c>
      <c r="C1154" s="5" t="s">
        <v>410</v>
      </c>
      <c r="D1154" s="5" t="s">
        <v>117</v>
      </c>
      <c r="E1154" s="5" t="s">
        <v>94</v>
      </c>
      <c r="F1154" s="5" t="s">
        <v>26</v>
      </c>
      <c r="G1154" s="5" t="s">
        <v>27</v>
      </c>
      <c r="H1154" s="5" t="s">
        <v>193</v>
      </c>
      <c r="I1154" s="5" t="s">
        <v>194</v>
      </c>
      <c r="J1154" s="5" t="s">
        <v>71</v>
      </c>
      <c r="K1154" s="5" t="s">
        <v>72</v>
      </c>
      <c r="L1154" s="5">
        <v>5</v>
      </c>
      <c r="M1154" s="5">
        <v>79634</v>
      </c>
      <c r="N1154" s="5">
        <v>15</v>
      </c>
      <c r="O1154" s="5">
        <v>338444.5</v>
      </c>
      <c r="P1154" s="5">
        <v>334899.27</v>
      </c>
      <c r="Q1154" s="5">
        <v>3545.23</v>
      </c>
      <c r="R1154" s="5" t="s">
        <v>44</v>
      </c>
      <c r="S1154" s="5" t="s">
        <v>33</v>
      </c>
      <c r="T1154" s="5" t="s">
        <v>73</v>
      </c>
      <c r="U1154" s="5">
        <v>3</v>
      </c>
      <c r="V1154" s="5" t="s">
        <v>45</v>
      </c>
    </row>
    <row r="1155" spans="1:22" x14ac:dyDescent="0.3">
      <c r="A1155" s="5" t="s">
        <v>1710</v>
      </c>
      <c r="B1155" s="6">
        <v>46037</v>
      </c>
      <c r="C1155" s="5" t="s">
        <v>140</v>
      </c>
      <c r="D1155" s="5" t="s">
        <v>68</v>
      </c>
      <c r="E1155" s="5" t="s">
        <v>49</v>
      </c>
      <c r="F1155" s="5" t="s">
        <v>50</v>
      </c>
      <c r="G1155" s="5" t="s">
        <v>51</v>
      </c>
      <c r="H1155" s="5" t="s">
        <v>141</v>
      </c>
      <c r="I1155" s="5" t="s">
        <v>142</v>
      </c>
      <c r="J1155" s="5" t="s">
        <v>71</v>
      </c>
      <c r="K1155" s="5" t="s">
        <v>81</v>
      </c>
      <c r="L1155" s="5">
        <v>1</v>
      </c>
      <c r="M1155" s="5">
        <v>59607</v>
      </c>
      <c r="N1155" s="5">
        <v>5</v>
      </c>
      <c r="O1155" s="5">
        <v>56626.65</v>
      </c>
      <c r="P1155" s="5">
        <v>43949.97</v>
      </c>
      <c r="Q1155" s="5">
        <v>12676.68</v>
      </c>
      <c r="R1155" s="5" t="s">
        <v>44</v>
      </c>
      <c r="S1155" s="5" t="s">
        <v>82</v>
      </c>
      <c r="T1155" s="5" t="s">
        <v>65</v>
      </c>
      <c r="U1155" s="5">
        <v>3</v>
      </c>
      <c r="V1155" s="5" t="s">
        <v>35</v>
      </c>
    </row>
    <row r="1156" spans="1:22" x14ac:dyDescent="0.3">
      <c r="A1156" s="5" t="s">
        <v>1711</v>
      </c>
      <c r="B1156" s="6">
        <v>46165</v>
      </c>
      <c r="C1156" s="5" t="s">
        <v>955</v>
      </c>
      <c r="D1156" s="5" t="s">
        <v>89</v>
      </c>
      <c r="E1156" s="5" t="s">
        <v>49</v>
      </c>
      <c r="F1156" s="5" t="s">
        <v>50</v>
      </c>
      <c r="G1156" s="5" t="s">
        <v>51</v>
      </c>
      <c r="H1156" s="5" t="s">
        <v>384</v>
      </c>
      <c r="I1156" s="5" t="s">
        <v>385</v>
      </c>
      <c r="J1156" s="5" t="s">
        <v>102</v>
      </c>
      <c r="K1156" s="5" t="s">
        <v>103</v>
      </c>
      <c r="L1156" s="5">
        <v>2</v>
      </c>
      <c r="M1156" s="5">
        <v>18175</v>
      </c>
      <c r="N1156" s="5">
        <v>5</v>
      </c>
      <c r="O1156" s="5">
        <v>34532.5</v>
      </c>
      <c r="P1156" s="5">
        <v>24274.67</v>
      </c>
      <c r="Q1156" s="5">
        <v>10257.83</v>
      </c>
      <c r="R1156" s="5" t="s">
        <v>64</v>
      </c>
      <c r="S1156" s="5" t="s">
        <v>82</v>
      </c>
      <c r="T1156" s="5" t="s">
        <v>34</v>
      </c>
      <c r="U1156" s="5">
        <v>4</v>
      </c>
      <c r="V1156" s="5" t="s">
        <v>35</v>
      </c>
    </row>
    <row r="1157" spans="1:22" x14ac:dyDescent="0.3">
      <c r="A1157" s="5" t="s">
        <v>1712</v>
      </c>
      <c r="B1157" s="6">
        <v>46165</v>
      </c>
      <c r="C1157" s="5" t="s">
        <v>138</v>
      </c>
      <c r="D1157" s="5" t="s">
        <v>110</v>
      </c>
      <c r="E1157" s="5" t="s">
        <v>39</v>
      </c>
      <c r="F1157" s="5" t="s">
        <v>40</v>
      </c>
      <c r="G1157" s="5" t="s">
        <v>41</v>
      </c>
      <c r="H1157" s="5" t="s">
        <v>553</v>
      </c>
      <c r="I1157" s="5" t="s">
        <v>554</v>
      </c>
      <c r="J1157" s="5" t="s">
        <v>54</v>
      </c>
      <c r="K1157" s="5" t="s">
        <v>55</v>
      </c>
      <c r="L1157" s="5">
        <v>2</v>
      </c>
      <c r="M1157" s="5">
        <v>63033</v>
      </c>
      <c r="N1157" s="5">
        <v>15</v>
      </c>
      <c r="O1157" s="5">
        <v>107156.1</v>
      </c>
      <c r="P1157" s="5">
        <v>95281.76</v>
      </c>
      <c r="Q1157" s="5">
        <v>11874.34</v>
      </c>
      <c r="R1157" s="5" t="s">
        <v>32</v>
      </c>
      <c r="S1157" s="5" t="s">
        <v>82</v>
      </c>
      <c r="T1157" s="5" t="s">
        <v>73</v>
      </c>
      <c r="U1157" s="5">
        <v>1</v>
      </c>
      <c r="V1157" s="5" t="s">
        <v>45</v>
      </c>
    </row>
    <row r="1158" spans="1:22" x14ac:dyDescent="0.3">
      <c r="A1158" s="5" t="s">
        <v>1713</v>
      </c>
      <c r="B1158" s="6">
        <v>46178</v>
      </c>
      <c r="C1158" s="5" t="s">
        <v>670</v>
      </c>
      <c r="D1158" s="5" t="s">
        <v>89</v>
      </c>
      <c r="E1158" s="5" t="s">
        <v>94</v>
      </c>
      <c r="F1158" s="5" t="s">
        <v>26</v>
      </c>
      <c r="G1158" s="5" t="s">
        <v>27</v>
      </c>
      <c r="H1158" s="5" t="s">
        <v>168</v>
      </c>
      <c r="I1158" s="5" t="s">
        <v>169</v>
      </c>
      <c r="J1158" s="5" t="s">
        <v>102</v>
      </c>
      <c r="K1158" s="5" t="s">
        <v>103</v>
      </c>
      <c r="L1158" s="5">
        <v>5</v>
      </c>
      <c r="M1158" s="5">
        <v>68112</v>
      </c>
      <c r="N1158" s="5">
        <v>15</v>
      </c>
      <c r="O1158" s="5">
        <v>289476</v>
      </c>
      <c r="P1158" s="5">
        <v>235308.56</v>
      </c>
      <c r="Q1158" s="5">
        <v>54167.44</v>
      </c>
      <c r="R1158" s="5" t="s">
        <v>64</v>
      </c>
      <c r="S1158" s="5" t="s">
        <v>82</v>
      </c>
      <c r="T1158" s="5" t="s">
        <v>73</v>
      </c>
      <c r="U1158" s="5">
        <v>5</v>
      </c>
      <c r="V1158" s="5" t="s">
        <v>45</v>
      </c>
    </row>
    <row r="1159" spans="1:22" x14ac:dyDescent="0.3">
      <c r="A1159" s="5" t="s">
        <v>1714</v>
      </c>
      <c r="B1159" s="6">
        <v>46156</v>
      </c>
      <c r="C1159" s="5" t="s">
        <v>1179</v>
      </c>
      <c r="D1159" s="5" t="s">
        <v>38</v>
      </c>
      <c r="E1159" s="5" t="s">
        <v>126</v>
      </c>
      <c r="F1159" s="5" t="s">
        <v>126</v>
      </c>
      <c r="G1159" s="5" t="s">
        <v>51</v>
      </c>
      <c r="H1159" s="5" t="s">
        <v>28</v>
      </c>
      <c r="I1159" s="5" t="s">
        <v>29</v>
      </c>
      <c r="J1159" s="5" t="s">
        <v>30</v>
      </c>
      <c r="K1159" s="5" t="s">
        <v>31</v>
      </c>
      <c r="L1159" s="5">
        <v>5</v>
      </c>
      <c r="M1159" s="5">
        <v>42875</v>
      </c>
      <c r="N1159" s="5">
        <v>15</v>
      </c>
      <c r="O1159" s="5">
        <v>182218.75</v>
      </c>
      <c r="P1159" s="5">
        <v>157649.88</v>
      </c>
      <c r="Q1159" s="5">
        <v>24568.87</v>
      </c>
      <c r="R1159" s="5" t="s">
        <v>32</v>
      </c>
      <c r="S1159" s="5" t="s">
        <v>33</v>
      </c>
      <c r="T1159" s="5" t="s">
        <v>65</v>
      </c>
      <c r="U1159" s="5">
        <v>1</v>
      </c>
      <c r="V1159" s="5" t="s">
        <v>45</v>
      </c>
    </row>
    <row r="1160" spans="1:22" x14ac:dyDescent="0.3">
      <c r="A1160" s="5" t="s">
        <v>1715</v>
      </c>
      <c r="B1160" s="6">
        <v>46065</v>
      </c>
      <c r="C1160" s="5" t="s">
        <v>477</v>
      </c>
      <c r="D1160" s="5" t="s">
        <v>151</v>
      </c>
      <c r="E1160" s="5" t="s">
        <v>49</v>
      </c>
      <c r="F1160" s="5" t="s">
        <v>50</v>
      </c>
      <c r="G1160" s="5" t="s">
        <v>51</v>
      </c>
      <c r="H1160" s="5" t="s">
        <v>180</v>
      </c>
      <c r="I1160" s="5" t="s">
        <v>181</v>
      </c>
      <c r="J1160" s="5" t="s">
        <v>54</v>
      </c>
      <c r="K1160" s="5" t="s">
        <v>55</v>
      </c>
      <c r="L1160" s="5">
        <v>5</v>
      </c>
      <c r="M1160" s="5">
        <v>65345</v>
      </c>
      <c r="N1160" s="5">
        <v>0</v>
      </c>
      <c r="O1160" s="5">
        <v>326725</v>
      </c>
      <c r="P1160" s="5">
        <v>270612.17</v>
      </c>
      <c r="Q1160" s="5">
        <v>56112.83</v>
      </c>
      <c r="R1160" s="5" t="s">
        <v>64</v>
      </c>
      <c r="S1160" s="5" t="s">
        <v>82</v>
      </c>
      <c r="T1160" s="5" t="s">
        <v>73</v>
      </c>
      <c r="U1160" s="5">
        <v>2</v>
      </c>
      <c r="V1160" s="5" t="s">
        <v>45</v>
      </c>
    </row>
    <row r="1161" spans="1:22" x14ac:dyDescent="0.3">
      <c r="A1161" s="5" t="s">
        <v>1716</v>
      </c>
      <c r="B1161" s="6">
        <v>46117</v>
      </c>
      <c r="C1161" s="5" t="s">
        <v>714</v>
      </c>
      <c r="D1161" s="5" t="s">
        <v>151</v>
      </c>
      <c r="E1161" s="5" t="s">
        <v>25</v>
      </c>
      <c r="F1161" s="5" t="s">
        <v>26</v>
      </c>
      <c r="G1161" s="5" t="s">
        <v>27</v>
      </c>
      <c r="H1161" s="5" t="s">
        <v>100</v>
      </c>
      <c r="I1161" s="5" t="s">
        <v>101</v>
      </c>
      <c r="J1161" s="5" t="s">
        <v>102</v>
      </c>
      <c r="K1161" s="5" t="s">
        <v>103</v>
      </c>
      <c r="L1161" s="5">
        <v>4</v>
      </c>
      <c r="M1161" s="5">
        <v>32257</v>
      </c>
      <c r="N1161" s="5">
        <v>0</v>
      </c>
      <c r="O1161" s="5">
        <v>129028</v>
      </c>
      <c r="P1161" s="5">
        <v>71133.08</v>
      </c>
      <c r="Q1161" s="5">
        <v>57894.92</v>
      </c>
      <c r="R1161" s="5" t="s">
        <v>44</v>
      </c>
      <c r="S1161" s="5" t="s">
        <v>82</v>
      </c>
      <c r="T1161" s="5" t="s">
        <v>65</v>
      </c>
      <c r="U1161" s="5">
        <v>2</v>
      </c>
      <c r="V1161" s="5" t="s">
        <v>35</v>
      </c>
    </row>
    <row r="1162" spans="1:22" x14ac:dyDescent="0.3">
      <c r="A1162" s="5" t="s">
        <v>1717</v>
      </c>
      <c r="B1162" s="6">
        <v>46056</v>
      </c>
      <c r="C1162" s="5" t="s">
        <v>1271</v>
      </c>
      <c r="D1162" s="5" t="s">
        <v>76</v>
      </c>
      <c r="E1162" s="5" t="s">
        <v>77</v>
      </c>
      <c r="F1162" s="5" t="s">
        <v>78</v>
      </c>
      <c r="G1162" s="5" t="s">
        <v>41</v>
      </c>
      <c r="H1162" s="5" t="s">
        <v>295</v>
      </c>
      <c r="I1162" s="5" t="s">
        <v>296</v>
      </c>
      <c r="J1162" s="5" t="s">
        <v>30</v>
      </c>
      <c r="K1162" s="5" t="s">
        <v>31</v>
      </c>
      <c r="L1162" s="5">
        <v>3</v>
      </c>
      <c r="M1162" s="5">
        <v>50263</v>
      </c>
      <c r="N1162" s="5">
        <v>10</v>
      </c>
      <c r="O1162" s="5">
        <v>135710.1</v>
      </c>
      <c r="P1162" s="5">
        <v>89271.62</v>
      </c>
      <c r="Q1162" s="5">
        <v>46438.48</v>
      </c>
      <c r="R1162" s="5" t="s">
        <v>44</v>
      </c>
      <c r="S1162" s="5" t="s">
        <v>33</v>
      </c>
      <c r="T1162" s="5" t="s">
        <v>73</v>
      </c>
      <c r="U1162" s="5">
        <v>3</v>
      </c>
      <c r="V1162" s="5" t="s">
        <v>35</v>
      </c>
    </row>
    <row r="1163" spans="1:22" x14ac:dyDescent="0.3">
      <c r="A1163" s="5" t="s">
        <v>1718</v>
      </c>
      <c r="B1163" s="6">
        <v>46144</v>
      </c>
      <c r="C1163" s="5" t="s">
        <v>699</v>
      </c>
      <c r="D1163" s="5" t="s">
        <v>110</v>
      </c>
      <c r="E1163" s="5" t="s">
        <v>49</v>
      </c>
      <c r="F1163" s="5" t="s">
        <v>50</v>
      </c>
      <c r="G1163" s="5" t="s">
        <v>51</v>
      </c>
      <c r="H1163" s="5" t="s">
        <v>184</v>
      </c>
      <c r="I1163" s="5" t="s">
        <v>185</v>
      </c>
      <c r="J1163" s="5" t="s">
        <v>102</v>
      </c>
      <c r="K1163" s="5" t="s">
        <v>103</v>
      </c>
      <c r="L1163" s="5">
        <v>4</v>
      </c>
      <c r="M1163" s="5">
        <v>59972</v>
      </c>
      <c r="N1163" s="5">
        <v>15</v>
      </c>
      <c r="O1163" s="5">
        <v>203904.8</v>
      </c>
      <c r="P1163" s="5">
        <v>157249.4</v>
      </c>
      <c r="Q1163" s="5">
        <v>46655.4</v>
      </c>
      <c r="R1163" s="5" t="s">
        <v>32</v>
      </c>
      <c r="S1163" s="5" t="s">
        <v>33</v>
      </c>
      <c r="T1163" s="5" t="s">
        <v>34</v>
      </c>
      <c r="U1163" s="5">
        <v>5</v>
      </c>
      <c r="V1163" s="5" t="s">
        <v>35</v>
      </c>
    </row>
    <row r="1164" spans="1:22" x14ac:dyDescent="0.3">
      <c r="A1164" s="5" t="s">
        <v>1719</v>
      </c>
      <c r="B1164" s="6">
        <v>46110</v>
      </c>
      <c r="C1164" s="5" t="s">
        <v>477</v>
      </c>
      <c r="D1164" s="5" t="s">
        <v>24</v>
      </c>
      <c r="E1164" s="5" t="s">
        <v>49</v>
      </c>
      <c r="F1164" s="5" t="s">
        <v>50</v>
      </c>
      <c r="G1164" s="5" t="s">
        <v>51</v>
      </c>
      <c r="H1164" s="5" t="s">
        <v>566</v>
      </c>
      <c r="I1164" s="5" t="s">
        <v>567</v>
      </c>
      <c r="J1164" s="5" t="s">
        <v>54</v>
      </c>
      <c r="K1164" s="5" t="s">
        <v>55</v>
      </c>
      <c r="L1164" s="5">
        <v>4</v>
      </c>
      <c r="M1164" s="5">
        <v>45410</v>
      </c>
      <c r="N1164" s="5">
        <v>0</v>
      </c>
      <c r="O1164" s="5">
        <v>181640</v>
      </c>
      <c r="P1164" s="5">
        <v>112973.83</v>
      </c>
      <c r="Q1164" s="5">
        <v>68666.17</v>
      </c>
      <c r="R1164" s="5" t="s">
        <v>44</v>
      </c>
      <c r="S1164" s="5" t="s">
        <v>82</v>
      </c>
      <c r="T1164" s="5" t="s">
        <v>34</v>
      </c>
      <c r="U1164" s="5">
        <v>1</v>
      </c>
      <c r="V1164" s="5" t="s">
        <v>45</v>
      </c>
    </row>
    <row r="1165" spans="1:22" x14ac:dyDescent="0.3">
      <c r="A1165" s="5" t="s">
        <v>1720</v>
      </c>
      <c r="B1165" s="6">
        <v>46157</v>
      </c>
      <c r="C1165" s="5" t="s">
        <v>681</v>
      </c>
      <c r="D1165" s="5" t="s">
        <v>76</v>
      </c>
      <c r="E1165" s="5" t="s">
        <v>25</v>
      </c>
      <c r="F1165" s="5" t="s">
        <v>26</v>
      </c>
      <c r="G1165" s="5" t="s">
        <v>27</v>
      </c>
      <c r="H1165" s="5" t="s">
        <v>168</v>
      </c>
      <c r="I1165" s="5" t="s">
        <v>169</v>
      </c>
      <c r="J1165" s="5" t="s">
        <v>102</v>
      </c>
      <c r="K1165" s="5" t="s">
        <v>103</v>
      </c>
      <c r="L1165" s="5">
        <v>2</v>
      </c>
      <c r="M1165" s="5">
        <v>5025</v>
      </c>
      <c r="N1165" s="5">
        <v>15</v>
      </c>
      <c r="O1165" s="5">
        <v>8542.5</v>
      </c>
      <c r="P1165" s="5">
        <v>8002.76</v>
      </c>
      <c r="Q1165" s="5">
        <v>539.74</v>
      </c>
      <c r="R1165" s="5" t="s">
        <v>64</v>
      </c>
      <c r="S1165" s="5" t="s">
        <v>33</v>
      </c>
      <c r="T1165" s="5" t="s">
        <v>73</v>
      </c>
      <c r="U1165" s="5">
        <v>2</v>
      </c>
      <c r="V1165" s="5" t="s">
        <v>35</v>
      </c>
    </row>
    <row r="1166" spans="1:22" x14ac:dyDescent="0.3">
      <c r="A1166" s="5" t="s">
        <v>1721</v>
      </c>
      <c r="B1166" s="6">
        <v>46151</v>
      </c>
      <c r="C1166" s="5" t="s">
        <v>144</v>
      </c>
      <c r="D1166" s="5" t="s">
        <v>151</v>
      </c>
      <c r="E1166" s="5" t="s">
        <v>25</v>
      </c>
      <c r="F1166" s="5" t="s">
        <v>26</v>
      </c>
      <c r="G1166" s="5" t="s">
        <v>27</v>
      </c>
      <c r="H1166" s="5" t="s">
        <v>312</v>
      </c>
      <c r="I1166" s="5" t="s">
        <v>313</v>
      </c>
      <c r="J1166" s="5" t="s">
        <v>54</v>
      </c>
      <c r="K1166" s="5" t="s">
        <v>97</v>
      </c>
      <c r="L1166" s="5">
        <v>1</v>
      </c>
      <c r="M1166" s="5">
        <v>21520</v>
      </c>
      <c r="N1166" s="5">
        <v>15</v>
      </c>
      <c r="O1166" s="5">
        <v>18292</v>
      </c>
      <c r="P1166" s="5">
        <v>12704.63</v>
      </c>
      <c r="Q1166" s="5">
        <v>5587.37</v>
      </c>
      <c r="R1166" s="5" t="s">
        <v>32</v>
      </c>
      <c r="S1166" s="5" t="s">
        <v>82</v>
      </c>
      <c r="T1166" s="5" t="s">
        <v>73</v>
      </c>
      <c r="U1166" s="5">
        <v>1</v>
      </c>
      <c r="V1166" s="5" t="s">
        <v>35</v>
      </c>
    </row>
    <row r="1167" spans="1:22" x14ac:dyDescent="0.3">
      <c r="A1167" s="5" t="s">
        <v>1722</v>
      </c>
      <c r="B1167" s="6">
        <v>46087</v>
      </c>
      <c r="C1167" s="5" t="s">
        <v>130</v>
      </c>
      <c r="D1167" s="5" t="s">
        <v>117</v>
      </c>
      <c r="E1167" s="5" t="s">
        <v>126</v>
      </c>
      <c r="F1167" s="5" t="s">
        <v>126</v>
      </c>
      <c r="G1167" s="5" t="s">
        <v>51</v>
      </c>
      <c r="H1167" s="5" t="s">
        <v>284</v>
      </c>
      <c r="I1167" s="5" t="s">
        <v>285</v>
      </c>
      <c r="J1167" s="5" t="s">
        <v>54</v>
      </c>
      <c r="K1167" s="5" t="s">
        <v>55</v>
      </c>
      <c r="L1167" s="5">
        <v>1</v>
      </c>
      <c r="M1167" s="5">
        <v>13896</v>
      </c>
      <c r="N1167" s="5">
        <v>15</v>
      </c>
      <c r="O1167" s="5">
        <v>11811.6</v>
      </c>
      <c r="P1167" s="5">
        <v>10969.58</v>
      </c>
      <c r="Q1167" s="5">
        <v>842.02</v>
      </c>
      <c r="R1167" s="5" t="s">
        <v>64</v>
      </c>
      <c r="S1167" s="5" t="s">
        <v>33</v>
      </c>
      <c r="T1167" s="5" t="s">
        <v>73</v>
      </c>
      <c r="U1167" s="5">
        <v>1</v>
      </c>
      <c r="V1167" s="5" t="s">
        <v>35</v>
      </c>
    </row>
    <row r="1168" spans="1:22" x14ac:dyDescent="0.3">
      <c r="A1168" s="5" t="s">
        <v>1723</v>
      </c>
      <c r="B1168" s="6">
        <v>46182</v>
      </c>
      <c r="C1168" s="5" t="s">
        <v>837</v>
      </c>
      <c r="D1168" s="5" t="s">
        <v>76</v>
      </c>
      <c r="E1168" s="5" t="s">
        <v>126</v>
      </c>
      <c r="F1168" s="5" t="s">
        <v>126</v>
      </c>
      <c r="G1168" s="5" t="s">
        <v>51</v>
      </c>
      <c r="H1168" s="5" t="s">
        <v>526</v>
      </c>
      <c r="I1168" s="5" t="s">
        <v>527</v>
      </c>
      <c r="J1168" s="5" t="s">
        <v>71</v>
      </c>
      <c r="K1168" s="5" t="s">
        <v>81</v>
      </c>
      <c r="L1168" s="5">
        <v>3</v>
      </c>
      <c r="M1168" s="5">
        <v>57106</v>
      </c>
      <c r="N1168" s="5">
        <v>20</v>
      </c>
      <c r="O1168" s="5">
        <v>137054.39999999999</v>
      </c>
      <c r="P1168" s="5">
        <v>107154.12</v>
      </c>
      <c r="Q1168" s="5">
        <v>29900.28</v>
      </c>
      <c r="R1168" s="5" t="s">
        <v>64</v>
      </c>
      <c r="S1168" s="5" t="s">
        <v>82</v>
      </c>
      <c r="T1168" s="5" t="s">
        <v>65</v>
      </c>
      <c r="U1168" s="5">
        <v>1</v>
      </c>
      <c r="V1168" s="5" t="s">
        <v>45</v>
      </c>
    </row>
    <row r="1169" spans="1:22" x14ac:dyDescent="0.3">
      <c r="A1169" s="5" t="s">
        <v>1724</v>
      </c>
      <c r="B1169" s="6">
        <v>46113</v>
      </c>
      <c r="C1169" s="5" t="s">
        <v>749</v>
      </c>
      <c r="D1169" s="5" t="s">
        <v>58</v>
      </c>
      <c r="E1169" s="5" t="s">
        <v>59</v>
      </c>
      <c r="F1169" s="5" t="s">
        <v>60</v>
      </c>
      <c r="G1169" s="5" t="s">
        <v>61</v>
      </c>
      <c r="H1169" s="5" t="s">
        <v>513</v>
      </c>
      <c r="I1169" s="5" t="s">
        <v>514</v>
      </c>
      <c r="J1169" s="5" t="s">
        <v>71</v>
      </c>
      <c r="K1169" s="5" t="s">
        <v>72</v>
      </c>
      <c r="L1169" s="5">
        <v>1</v>
      </c>
      <c r="M1169" s="5">
        <v>60864</v>
      </c>
      <c r="N1169" s="5">
        <v>15</v>
      </c>
      <c r="O1169" s="5">
        <v>51734.400000000001</v>
      </c>
      <c r="P1169" s="5">
        <v>41273.21</v>
      </c>
      <c r="Q1169" s="5">
        <v>10461.19</v>
      </c>
      <c r="R1169" s="5" t="s">
        <v>44</v>
      </c>
      <c r="S1169" s="5" t="s">
        <v>33</v>
      </c>
      <c r="T1169" s="5" t="s">
        <v>73</v>
      </c>
      <c r="U1169" s="5">
        <v>3</v>
      </c>
      <c r="V1169" s="5" t="s">
        <v>45</v>
      </c>
    </row>
    <row r="1170" spans="1:22" x14ac:dyDescent="0.3">
      <c r="A1170" s="5" t="s">
        <v>1725</v>
      </c>
      <c r="B1170" s="6">
        <v>46144</v>
      </c>
      <c r="C1170" s="5" t="s">
        <v>390</v>
      </c>
      <c r="D1170" s="5" t="s">
        <v>38</v>
      </c>
      <c r="E1170" s="5" t="s">
        <v>126</v>
      </c>
      <c r="F1170" s="5" t="s">
        <v>126</v>
      </c>
      <c r="G1170" s="5" t="s">
        <v>51</v>
      </c>
      <c r="H1170" s="5" t="s">
        <v>735</v>
      </c>
      <c r="I1170" s="5" t="s">
        <v>736</v>
      </c>
      <c r="J1170" s="5" t="s">
        <v>54</v>
      </c>
      <c r="K1170" s="5" t="s">
        <v>97</v>
      </c>
      <c r="L1170" s="5">
        <v>3</v>
      </c>
      <c r="M1170" s="5">
        <v>57453</v>
      </c>
      <c r="N1170" s="5">
        <v>20</v>
      </c>
      <c r="O1170" s="5">
        <v>137887.20000000001</v>
      </c>
      <c r="P1170" s="5">
        <v>108609.28</v>
      </c>
      <c r="Q1170" s="5">
        <v>29277.919999999998</v>
      </c>
      <c r="R1170" s="5" t="s">
        <v>44</v>
      </c>
      <c r="S1170" s="5" t="s">
        <v>33</v>
      </c>
      <c r="T1170" s="5" t="s">
        <v>34</v>
      </c>
      <c r="U1170" s="5">
        <v>2</v>
      </c>
      <c r="V1170" s="5" t="s">
        <v>35</v>
      </c>
    </row>
    <row r="1171" spans="1:22" x14ac:dyDescent="0.3">
      <c r="A1171" s="5" t="s">
        <v>1726</v>
      </c>
      <c r="B1171" s="6">
        <v>46197</v>
      </c>
      <c r="C1171" s="5" t="s">
        <v>454</v>
      </c>
      <c r="D1171" s="5" t="s">
        <v>48</v>
      </c>
      <c r="E1171" s="5" t="s">
        <v>59</v>
      </c>
      <c r="F1171" s="5" t="s">
        <v>60</v>
      </c>
      <c r="G1171" s="5" t="s">
        <v>61</v>
      </c>
      <c r="H1171" s="5" t="s">
        <v>106</v>
      </c>
      <c r="I1171" s="5" t="s">
        <v>107</v>
      </c>
      <c r="J1171" s="5" t="s">
        <v>30</v>
      </c>
      <c r="K1171" s="5" t="s">
        <v>31</v>
      </c>
      <c r="L1171" s="5">
        <v>3</v>
      </c>
      <c r="M1171" s="5">
        <v>67122</v>
      </c>
      <c r="N1171" s="5">
        <v>5</v>
      </c>
      <c r="O1171" s="5">
        <v>191297.7</v>
      </c>
      <c r="P1171" s="5">
        <v>148709.26</v>
      </c>
      <c r="Q1171" s="5">
        <v>42588.44</v>
      </c>
      <c r="R1171" s="5" t="s">
        <v>44</v>
      </c>
      <c r="S1171" s="5" t="s">
        <v>82</v>
      </c>
      <c r="T1171" s="5" t="s">
        <v>73</v>
      </c>
      <c r="U1171" s="5">
        <v>5</v>
      </c>
      <c r="V1171" s="5" t="s">
        <v>45</v>
      </c>
    </row>
    <row r="1172" spans="1:22" x14ac:dyDescent="0.3">
      <c r="A1172" s="5" t="s">
        <v>1727</v>
      </c>
      <c r="B1172" s="6">
        <v>46114</v>
      </c>
      <c r="C1172" s="5" t="s">
        <v>377</v>
      </c>
      <c r="D1172" s="5" t="s">
        <v>58</v>
      </c>
      <c r="E1172" s="5" t="s">
        <v>77</v>
      </c>
      <c r="F1172" s="5" t="s">
        <v>78</v>
      </c>
      <c r="G1172" s="5" t="s">
        <v>41</v>
      </c>
      <c r="H1172" s="5" t="s">
        <v>147</v>
      </c>
      <c r="I1172" s="5" t="s">
        <v>148</v>
      </c>
      <c r="J1172" s="5" t="s">
        <v>71</v>
      </c>
      <c r="K1172" s="5" t="s">
        <v>81</v>
      </c>
      <c r="L1172" s="5">
        <v>4</v>
      </c>
      <c r="M1172" s="5">
        <v>57377</v>
      </c>
      <c r="N1172" s="5">
        <v>20</v>
      </c>
      <c r="O1172" s="5">
        <v>183606.39999999999</v>
      </c>
      <c r="P1172" s="5">
        <v>163747.04999999999</v>
      </c>
      <c r="Q1172" s="5">
        <v>19859.349999999999</v>
      </c>
      <c r="R1172" s="5" t="s">
        <v>32</v>
      </c>
      <c r="S1172" s="5" t="s">
        <v>82</v>
      </c>
      <c r="T1172" s="5" t="s">
        <v>73</v>
      </c>
      <c r="U1172" s="5">
        <v>3</v>
      </c>
      <c r="V1172" s="5" t="s">
        <v>45</v>
      </c>
    </row>
    <row r="1173" spans="1:22" x14ac:dyDescent="0.3">
      <c r="A1173" s="5" t="s">
        <v>1728</v>
      </c>
      <c r="B1173" s="6">
        <v>46048</v>
      </c>
      <c r="C1173" s="5" t="s">
        <v>625</v>
      </c>
      <c r="D1173" s="5" t="s">
        <v>89</v>
      </c>
      <c r="E1173" s="5" t="s">
        <v>39</v>
      </c>
      <c r="F1173" s="5" t="s">
        <v>40</v>
      </c>
      <c r="G1173" s="5" t="s">
        <v>41</v>
      </c>
      <c r="H1173" s="5" t="s">
        <v>415</v>
      </c>
      <c r="I1173" s="5" t="s">
        <v>416</v>
      </c>
      <c r="J1173" s="5" t="s">
        <v>30</v>
      </c>
      <c r="K1173" s="5" t="s">
        <v>31</v>
      </c>
      <c r="L1173" s="5">
        <v>3</v>
      </c>
      <c r="M1173" s="5">
        <v>14472</v>
      </c>
      <c r="N1173" s="5">
        <v>5</v>
      </c>
      <c r="O1173" s="5">
        <v>41245.199999999997</v>
      </c>
      <c r="P1173" s="5">
        <v>35995.51</v>
      </c>
      <c r="Q1173" s="5">
        <v>5249.69</v>
      </c>
      <c r="R1173" s="5" t="s">
        <v>64</v>
      </c>
      <c r="S1173" s="5" t="s">
        <v>82</v>
      </c>
      <c r="T1173" s="5" t="s">
        <v>73</v>
      </c>
      <c r="U1173" s="5">
        <v>1</v>
      </c>
      <c r="V1173" s="5" t="s">
        <v>45</v>
      </c>
    </row>
    <row r="1174" spans="1:22" x14ac:dyDescent="0.3">
      <c r="A1174" s="5" t="s">
        <v>1729</v>
      </c>
      <c r="B1174" s="6">
        <v>46026</v>
      </c>
      <c r="C1174" s="5" t="s">
        <v>167</v>
      </c>
      <c r="D1174" s="5" t="s">
        <v>38</v>
      </c>
      <c r="E1174" s="5" t="s">
        <v>77</v>
      </c>
      <c r="F1174" s="5" t="s">
        <v>78</v>
      </c>
      <c r="G1174" s="5" t="s">
        <v>41</v>
      </c>
      <c r="H1174" s="5" t="s">
        <v>118</v>
      </c>
      <c r="I1174" s="5" t="s">
        <v>119</v>
      </c>
      <c r="J1174" s="5" t="s">
        <v>54</v>
      </c>
      <c r="K1174" s="5" t="s">
        <v>97</v>
      </c>
      <c r="L1174" s="5">
        <v>4</v>
      </c>
      <c r="M1174" s="5">
        <v>61803</v>
      </c>
      <c r="N1174" s="5">
        <v>0</v>
      </c>
      <c r="O1174" s="5">
        <v>247212</v>
      </c>
      <c r="P1174" s="5">
        <v>170169.39</v>
      </c>
      <c r="Q1174" s="5">
        <v>77042.61</v>
      </c>
      <c r="R1174" s="5" t="s">
        <v>32</v>
      </c>
      <c r="S1174" s="5" t="s">
        <v>82</v>
      </c>
      <c r="T1174" s="5" t="s">
        <v>34</v>
      </c>
      <c r="U1174" s="5">
        <v>2</v>
      </c>
      <c r="V1174" s="5" t="s">
        <v>45</v>
      </c>
    </row>
    <row r="1175" spans="1:22" x14ac:dyDescent="0.3">
      <c r="A1175" s="5" t="s">
        <v>1730</v>
      </c>
      <c r="B1175" s="6">
        <v>46048</v>
      </c>
      <c r="C1175" s="5" t="s">
        <v>1731</v>
      </c>
      <c r="D1175" s="5" t="s">
        <v>76</v>
      </c>
      <c r="E1175" s="5" t="s">
        <v>25</v>
      </c>
      <c r="F1175" s="5" t="s">
        <v>26</v>
      </c>
      <c r="G1175" s="5" t="s">
        <v>27</v>
      </c>
      <c r="H1175" s="5" t="s">
        <v>541</v>
      </c>
      <c r="I1175" s="5" t="s">
        <v>542</v>
      </c>
      <c r="J1175" s="5" t="s">
        <v>54</v>
      </c>
      <c r="K1175" s="5" t="s">
        <v>55</v>
      </c>
      <c r="L1175" s="5">
        <v>5</v>
      </c>
      <c r="M1175" s="5">
        <v>19156</v>
      </c>
      <c r="N1175" s="5">
        <v>20</v>
      </c>
      <c r="O1175" s="5">
        <v>76624</v>
      </c>
      <c r="P1175" s="5">
        <v>66236.649999999994</v>
      </c>
      <c r="Q1175" s="5">
        <v>10387.35</v>
      </c>
      <c r="R1175" s="5" t="s">
        <v>64</v>
      </c>
      <c r="S1175" s="5" t="s">
        <v>33</v>
      </c>
      <c r="T1175" s="5" t="s">
        <v>65</v>
      </c>
      <c r="U1175" s="5">
        <v>1</v>
      </c>
      <c r="V1175" s="5" t="s">
        <v>45</v>
      </c>
    </row>
    <row r="1176" spans="1:22" x14ac:dyDescent="0.3">
      <c r="A1176" s="5" t="s">
        <v>1732</v>
      </c>
      <c r="B1176" s="6">
        <v>46175</v>
      </c>
      <c r="C1176" s="5" t="s">
        <v>581</v>
      </c>
      <c r="D1176" s="5" t="s">
        <v>38</v>
      </c>
      <c r="E1176" s="5" t="s">
        <v>39</v>
      </c>
      <c r="F1176" s="5" t="s">
        <v>40</v>
      </c>
      <c r="G1176" s="5" t="s">
        <v>41</v>
      </c>
      <c r="H1176" s="5" t="s">
        <v>574</v>
      </c>
      <c r="I1176" s="5" t="s">
        <v>575</v>
      </c>
      <c r="J1176" s="5" t="s">
        <v>30</v>
      </c>
      <c r="K1176" s="5" t="s">
        <v>31</v>
      </c>
      <c r="L1176" s="5">
        <v>3</v>
      </c>
      <c r="M1176" s="5">
        <v>22523</v>
      </c>
      <c r="N1176" s="5">
        <v>20</v>
      </c>
      <c r="O1176" s="5">
        <v>54055.199999999997</v>
      </c>
      <c r="P1176" s="5">
        <v>42996.22</v>
      </c>
      <c r="Q1176" s="5">
        <v>11058.98</v>
      </c>
      <c r="R1176" s="5" t="s">
        <v>44</v>
      </c>
      <c r="S1176" s="5" t="s">
        <v>33</v>
      </c>
      <c r="T1176" s="5" t="s">
        <v>65</v>
      </c>
      <c r="U1176" s="5">
        <v>2</v>
      </c>
      <c r="V1176" s="5" t="s">
        <v>35</v>
      </c>
    </row>
    <row r="1177" spans="1:22" x14ac:dyDescent="0.3">
      <c r="A1177" s="5" t="s">
        <v>1733</v>
      </c>
      <c r="B1177" s="6">
        <v>46189</v>
      </c>
      <c r="C1177" s="5" t="s">
        <v>1731</v>
      </c>
      <c r="D1177" s="5" t="s">
        <v>76</v>
      </c>
      <c r="E1177" s="5" t="s">
        <v>25</v>
      </c>
      <c r="F1177" s="5" t="s">
        <v>26</v>
      </c>
      <c r="G1177" s="5" t="s">
        <v>27</v>
      </c>
      <c r="H1177" s="5" t="s">
        <v>387</v>
      </c>
      <c r="I1177" s="5" t="s">
        <v>388</v>
      </c>
      <c r="J1177" s="5" t="s">
        <v>54</v>
      </c>
      <c r="K1177" s="5" t="s">
        <v>97</v>
      </c>
      <c r="L1177" s="5">
        <v>2</v>
      </c>
      <c r="M1177" s="5">
        <v>76644</v>
      </c>
      <c r="N1177" s="5">
        <v>15</v>
      </c>
      <c r="O1177" s="5">
        <v>130294.8</v>
      </c>
      <c r="P1177" s="5">
        <v>126209.95</v>
      </c>
      <c r="Q1177" s="5">
        <v>4084.85</v>
      </c>
      <c r="R1177" s="5" t="s">
        <v>64</v>
      </c>
      <c r="S1177" s="5" t="s">
        <v>33</v>
      </c>
      <c r="T1177" s="5" t="s">
        <v>65</v>
      </c>
      <c r="U1177" s="5">
        <v>4</v>
      </c>
      <c r="V1177" s="5" t="s">
        <v>35</v>
      </c>
    </row>
    <row r="1178" spans="1:22" x14ac:dyDescent="0.3">
      <c r="A1178" s="5" t="s">
        <v>1734</v>
      </c>
      <c r="B1178" s="6">
        <v>46103</v>
      </c>
      <c r="C1178" s="5" t="s">
        <v>607</v>
      </c>
      <c r="D1178" s="5" t="s">
        <v>110</v>
      </c>
      <c r="E1178" s="5" t="s">
        <v>59</v>
      </c>
      <c r="F1178" s="5" t="s">
        <v>60</v>
      </c>
      <c r="G1178" s="5" t="s">
        <v>61</v>
      </c>
      <c r="H1178" s="5" t="s">
        <v>447</v>
      </c>
      <c r="I1178" s="5" t="s">
        <v>448</v>
      </c>
      <c r="J1178" s="5" t="s">
        <v>71</v>
      </c>
      <c r="K1178" s="5" t="s">
        <v>72</v>
      </c>
      <c r="L1178" s="5">
        <v>5</v>
      </c>
      <c r="M1178" s="5">
        <v>39943</v>
      </c>
      <c r="N1178" s="5">
        <v>15</v>
      </c>
      <c r="O1178" s="5">
        <v>169757.75</v>
      </c>
      <c r="P1178" s="5">
        <v>121680.99</v>
      </c>
      <c r="Q1178" s="5">
        <v>48076.76</v>
      </c>
      <c r="R1178" s="5" t="s">
        <v>64</v>
      </c>
      <c r="S1178" s="5" t="s">
        <v>82</v>
      </c>
      <c r="T1178" s="5" t="s">
        <v>65</v>
      </c>
      <c r="U1178" s="5">
        <v>3</v>
      </c>
      <c r="V1178" s="5" t="s">
        <v>45</v>
      </c>
    </row>
    <row r="1179" spans="1:22" x14ac:dyDescent="0.3">
      <c r="A1179" s="5" t="s">
        <v>1735</v>
      </c>
      <c r="B1179" s="6">
        <v>46176</v>
      </c>
      <c r="C1179" s="5" t="s">
        <v>167</v>
      </c>
      <c r="D1179" s="5" t="s">
        <v>58</v>
      </c>
      <c r="E1179" s="5" t="s">
        <v>25</v>
      </c>
      <c r="F1179" s="5" t="s">
        <v>26</v>
      </c>
      <c r="G1179" s="5" t="s">
        <v>27</v>
      </c>
      <c r="H1179" s="5" t="s">
        <v>566</v>
      </c>
      <c r="I1179" s="5" t="s">
        <v>567</v>
      </c>
      <c r="J1179" s="5" t="s">
        <v>54</v>
      </c>
      <c r="K1179" s="5" t="s">
        <v>55</v>
      </c>
      <c r="L1179" s="5">
        <v>1</v>
      </c>
      <c r="M1179" s="5">
        <v>37413</v>
      </c>
      <c r="N1179" s="5">
        <v>0</v>
      </c>
      <c r="O1179" s="5">
        <v>37413</v>
      </c>
      <c r="P1179" s="5">
        <v>25744.17</v>
      </c>
      <c r="Q1179" s="5">
        <v>11668.83</v>
      </c>
      <c r="R1179" s="5" t="s">
        <v>44</v>
      </c>
      <c r="S1179" s="5" t="s">
        <v>33</v>
      </c>
      <c r="T1179" s="5" t="s">
        <v>73</v>
      </c>
      <c r="U1179" s="5">
        <v>5</v>
      </c>
      <c r="V1179" s="5" t="s">
        <v>35</v>
      </c>
    </row>
    <row r="1180" spans="1:22" x14ac:dyDescent="0.3">
      <c r="A1180" s="5" t="s">
        <v>1736</v>
      </c>
      <c r="B1180" s="6">
        <v>46154</v>
      </c>
      <c r="C1180" s="5" t="s">
        <v>565</v>
      </c>
      <c r="D1180" s="5" t="s">
        <v>117</v>
      </c>
      <c r="E1180" s="5" t="s">
        <v>49</v>
      </c>
      <c r="F1180" s="5" t="s">
        <v>50</v>
      </c>
      <c r="G1180" s="5" t="s">
        <v>51</v>
      </c>
      <c r="H1180" s="5" t="s">
        <v>546</v>
      </c>
      <c r="I1180" s="5" t="s">
        <v>547</v>
      </c>
      <c r="J1180" s="5" t="s">
        <v>71</v>
      </c>
      <c r="K1180" s="5" t="s">
        <v>81</v>
      </c>
      <c r="L1180" s="5">
        <v>5</v>
      </c>
      <c r="M1180" s="5">
        <v>65982</v>
      </c>
      <c r="N1180" s="5">
        <v>5</v>
      </c>
      <c r="O1180" s="5">
        <v>313414.5</v>
      </c>
      <c r="P1180" s="5">
        <v>203753.44</v>
      </c>
      <c r="Q1180" s="5">
        <v>109661.06</v>
      </c>
      <c r="R1180" s="5" t="s">
        <v>32</v>
      </c>
      <c r="S1180" s="5" t="s">
        <v>82</v>
      </c>
      <c r="T1180" s="5" t="s">
        <v>34</v>
      </c>
      <c r="U1180" s="5">
        <v>3</v>
      </c>
      <c r="V1180" s="5" t="s">
        <v>35</v>
      </c>
    </row>
    <row r="1181" spans="1:22" x14ac:dyDescent="0.3">
      <c r="A1181" s="5" t="s">
        <v>1737</v>
      </c>
      <c r="B1181" s="6">
        <v>46064</v>
      </c>
      <c r="C1181" s="5" t="s">
        <v>473</v>
      </c>
      <c r="D1181" s="5" t="s">
        <v>117</v>
      </c>
      <c r="E1181" s="5" t="s">
        <v>94</v>
      </c>
      <c r="F1181" s="5" t="s">
        <v>26</v>
      </c>
      <c r="G1181" s="5" t="s">
        <v>27</v>
      </c>
      <c r="H1181" s="5" t="s">
        <v>557</v>
      </c>
      <c r="I1181" s="5" t="s">
        <v>558</v>
      </c>
      <c r="J1181" s="5" t="s">
        <v>54</v>
      </c>
      <c r="K1181" s="5" t="s">
        <v>97</v>
      </c>
      <c r="L1181" s="5">
        <v>4</v>
      </c>
      <c r="M1181" s="5">
        <v>79758</v>
      </c>
      <c r="N1181" s="5">
        <v>10</v>
      </c>
      <c r="O1181" s="5">
        <v>287128.8</v>
      </c>
      <c r="P1181" s="5">
        <v>205344.97</v>
      </c>
      <c r="Q1181" s="5">
        <v>81783.83</v>
      </c>
      <c r="R1181" s="5" t="s">
        <v>64</v>
      </c>
      <c r="S1181" s="5" t="s">
        <v>33</v>
      </c>
      <c r="T1181" s="5" t="s">
        <v>34</v>
      </c>
      <c r="U1181" s="5">
        <v>5</v>
      </c>
      <c r="V1181" s="5" t="s">
        <v>35</v>
      </c>
    </row>
    <row r="1182" spans="1:22" x14ac:dyDescent="0.3">
      <c r="A1182" s="5" t="s">
        <v>1738</v>
      </c>
      <c r="B1182" s="6">
        <v>46146</v>
      </c>
      <c r="C1182" s="5" t="s">
        <v>1143</v>
      </c>
      <c r="D1182" s="5" t="s">
        <v>58</v>
      </c>
      <c r="E1182" s="5" t="s">
        <v>49</v>
      </c>
      <c r="F1182" s="5" t="s">
        <v>50</v>
      </c>
      <c r="G1182" s="5" t="s">
        <v>51</v>
      </c>
      <c r="H1182" s="5" t="s">
        <v>95</v>
      </c>
      <c r="I1182" s="5" t="s">
        <v>96</v>
      </c>
      <c r="J1182" s="5" t="s">
        <v>54</v>
      </c>
      <c r="K1182" s="5" t="s">
        <v>97</v>
      </c>
      <c r="L1182" s="5">
        <v>3</v>
      </c>
      <c r="M1182" s="5">
        <v>51522</v>
      </c>
      <c r="N1182" s="5">
        <v>15</v>
      </c>
      <c r="O1182" s="5">
        <v>131381.1</v>
      </c>
      <c r="P1182" s="5">
        <v>111487.21</v>
      </c>
      <c r="Q1182" s="5">
        <v>19893.89</v>
      </c>
      <c r="R1182" s="5" t="s">
        <v>44</v>
      </c>
      <c r="S1182" s="5" t="s">
        <v>33</v>
      </c>
      <c r="T1182" s="5" t="s">
        <v>73</v>
      </c>
      <c r="U1182" s="5">
        <v>5</v>
      </c>
      <c r="V1182" s="5" t="s">
        <v>45</v>
      </c>
    </row>
    <row r="1183" spans="1:22" x14ac:dyDescent="0.3">
      <c r="A1183" s="5" t="s">
        <v>1739</v>
      </c>
      <c r="B1183" s="6">
        <v>46156</v>
      </c>
      <c r="C1183" s="5" t="s">
        <v>1184</v>
      </c>
      <c r="D1183" s="5" t="s">
        <v>68</v>
      </c>
      <c r="E1183" s="5" t="s">
        <v>77</v>
      </c>
      <c r="F1183" s="5" t="s">
        <v>78</v>
      </c>
      <c r="G1183" s="5" t="s">
        <v>41</v>
      </c>
      <c r="H1183" s="5" t="s">
        <v>193</v>
      </c>
      <c r="I1183" s="5" t="s">
        <v>194</v>
      </c>
      <c r="J1183" s="5" t="s">
        <v>71</v>
      </c>
      <c r="K1183" s="5" t="s">
        <v>72</v>
      </c>
      <c r="L1183" s="5">
        <v>3</v>
      </c>
      <c r="M1183" s="5">
        <v>57254</v>
      </c>
      <c r="N1183" s="5">
        <v>10</v>
      </c>
      <c r="O1183" s="5">
        <v>154585.79999999999</v>
      </c>
      <c r="P1183" s="5">
        <v>113337.83</v>
      </c>
      <c r="Q1183" s="5">
        <v>41247.97</v>
      </c>
      <c r="R1183" s="5" t="s">
        <v>44</v>
      </c>
      <c r="S1183" s="5" t="s">
        <v>33</v>
      </c>
      <c r="T1183" s="5" t="s">
        <v>34</v>
      </c>
      <c r="U1183" s="5">
        <v>5</v>
      </c>
      <c r="V1183" s="5" t="s">
        <v>45</v>
      </c>
    </row>
    <row r="1184" spans="1:22" x14ac:dyDescent="0.3">
      <c r="A1184" s="5" t="s">
        <v>1740</v>
      </c>
      <c r="B1184" s="6">
        <v>46050</v>
      </c>
      <c r="C1184" s="5" t="s">
        <v>183</v>
      </c>
      <c r="D1184" s="5" t="s">
        <v>110</v>
      </c>
      <c r="E1184" s="5" t="s">
        <v>39</v>
      </c>
      <c r="F1184" s="5" t="s">
        <v>40</v>
      </c>
      <c r="G1184" s="5" t="s">
        <v>41</v>
      </c>
      <c r="H1184" s="5" t="s">
        <v>160</v>
      </c>
      <c r="I1184" s="5" t="s">
        <v>161</v>
      </c>
      <c r="J1184" s="5" t="s">
        <v>102</v>
      </c>
      <c r="K1184" s="5" t="s">
        <v>103</v>
      </c>
      <c r="L1184" s="5">
        <v>5</v>
      </c>
      <c r="M1184" s="5">
        <v>34943</v>
      </c>
      <c r="N1184" s="5">
        <v>15</v>
      </c>
      <c r="O1184" s="5">
        <v>148507.75</v>
      </c>
      <c r="P1184" s="5">
        <v>141221.88</v>
      </c>
      <c r="Q1184" s="5">
        <v>7285.87</v>
      </c>
      <c r="R1184" s="5" t="s">
        <v>44</v>
      </c>
      <c r="S1184" s="5" t="s">
        <v>33</v>
      </c>
      <c r="T1184" s="5" t="s">
        <v>73</v>
      </c>
      <c r="U1184" s="5">
        <v>3</v>
      </c>
      <c r="V1184" s="5" t="s">
        <v>35</v>
      </c>
    </row>
    <row r="1185" spans="1:22" x14ac:dyDescent="0.3">
      <c r="A1185" s="5" t="s">
        <v>1741</v>
      </c>
      <c r="B1185" s="6">
        <v>46042</v>
      </c>
      <c r="C1185" s="5" t="s">
        <v>196</v>
      </c>
      <c r="D1185" s="5" t="s">
        <v>151</v>
      </c>
      <c r="E1185" s="5" t="s">
        <v>77</v>
      </c>
      <c r="F1185" s="5" t="s">
        <v>78</v>
      </c>
      <c r="G1185" s="5" t="s">
        <v>41</v>
      </c>
      <c r="H1185" s="5" t="s">
        <v>358</v>
      </c>
      <c r="I1185" s="5" t="s">
        <v>359</v>
      </c>
      <c r="J1185" s="5" t="s">
        <v>102</v>
      </c>
      <c r="K1185" s="5" t="s">
        <v>103</v>
      </c>
      <c r="L1185" s="5">
        <v>3</v>
      </c>
      <c r="M1185" s="5">
        <v>62185</v>
      </c>
      <c r="N1185" s="5">
        <v>20</v>
      </c>
      <c r="O1185" s="5">
        <v>149244</v>
      </c>
      <c r="P1185" s="5">
        <v>103938.86</v>
      </c>
      <c r="Q1185" s="5">
        <v>45305.14</v>
      </c>
      <c r="R1185" s="5" t="s">
        <v>32</v>
      </c>
      <c r="S1185" s="5" t="s">
        <v>82</v>
      </c>
      <c r="T1185" s="5" t="s">
        <v>73</v>
      </c>
      <c r="U1185" s="5">
        <v>5</v>
      </c>
      <c r="V1185" s="5" t="s">
        <v>35</v>
      </c>
    </row>
    <row r="1186" spans="1:22" x14ac:dyDescent="0.3">
      <c r="A1186" s="5" t="s">
        <v>1742</v>
      </c>
      <c r="B1186" s="6">
        <v>46076</v>
      </c>
      <c r="C1186" s="5" t="s">
        <v>423</v>
      </c>
      <c r="D1186" s="5" t="s">
        <v>117</v>
      </c>
      <c r="E1186" s="5" t="s">
        <v>59</v>
      </c>
      <c r="F1186" s="5" t="s">
        <v>60</v>
      </c>
      <c r="G1186" s="5" t="s">
        <v>61</v>
      </c>
      <c r="H1186" s="5" t="s">
        <v>526</v>
      </c>
      <c r="I1186" s="5" t="s">
        <v>527</v>
      </c>
      <c r="J1186" s="5" t="s">
        <v>71</v>
      </c>
      <c r="K1186" s="5" t="s">
        <v>81</v>
      </c>
      <c r="L1186" s="5">
        <v>4</v>
      </c>
      <c r="M1186" s="5">
        <v>7837</v>
      </c>
      <c r="N1186" s="5">
        <v>20</v>
      </c>
      <c r="O1186" s="5">
        <v>25078.400000000001</v>
      </c>
      <c r="P1186" s="5">
        <v>24588</v>
      </c>
      <c r="Q1186" s="5">
        <v>490.4</v>
      </c>
      <c r="R1186" s="5" t="s">
        <v>32</v>
      </c>
      <c r="S1186" s="5" t="s">
        <v>82</v>
      </c>
      <c r="T1186" s="5" t="s">
        <v>34</v>
      </c>
      <c r="U1186" s="5">
        <v>2</v>
      </c>
      <c r="V1186" s="5" t="s">
        <v>45</v>
      </c>
    </row>
    <row r="1187" spans="1:22" x14ac:dyDescent="0.3">
      <c r="A1187" s="5" t="s">
        <v>1743</v>
      </c>
      <c r="B1187" s="6">
        <v>46176</v>
      </c>
      <c r="C1187" s="5" t="s">
        <v>163</v>
      </c>
      <c r="D1187" s="5" t="s">
        <v>38</v>
      </c>
      <c r="E1187" s="5" t="s">
        <v>59</v>
      </c>
      <c r="F1187" s="5" t="s">
        <v>60</v>
      </c>
      <c r="G1187" s="5" t="s">
        <v>61</v>
      </c>
      <c r="H1187" s="5" t="s">
        <v>217</v>
      </c>
      <c r="I1187" s="5" t="s">
        <v>218</v>
      </c>
      <c r="J1187" s="5" t="s">
        <v>54</v>
      </c>
      <c r="K1187" s="5" t="s">
        <v>97</v>
      </c>
      <c r="L1187" s="5">
        <v>5</v>
      </c>
      <c r="M1187" s="5">
        <v>15033</v>
      </c>
      <c r="N1187" s="5">
        <v>15</v>
      </c>
      <c r="O1187" s="5">
        <v>63890.25</v>
      </c>
      <c r="P1187" s="5">
        <v>43263.01</v>
      </c>
      <c r="Q1187" s="5">
        <v>20627.240000000002</v>
      </c>
      <c r="R1187" s="5" t="s">
        <v>44</v>
      </c>
      <c r="S1187" s="5" t="s">
        <v>33</v>
      </c>
      <c r="T1187" s="5" t="s">
        <v>73</v>
      </c>
      <c r="U1187" s="5">
        <v>3</v>
      </c>
      <c r="V1187" s="5" t="s">
        <v>35</v>
      </c>
    </row>
    <row r="1188" spans="1:22" x14ac:dyDescent="0.3">
      <c r="A1188" s="5" t="s">
        <v>1744</v>
      </c>
      <c r="B1188" s="6">
        <v>46073</v>
      </c>
      <c r="C1188" s="5" t="s">
        <v>187</v>
      </c>
      <c r="D1188" s="5" t="s">
        <v>68</v>
      </c>
      <c r="E1188" s="5" t="s">
        <v>25</v>
      </c>
      <c r="F1188" s="5" t="s">
        <v>26</v>
      </c>
      <c r="G1188" s="5" t="s">
        <v>27</v>
      </c>
      <c r="H1188" s="5" t="s">
        <v>678</v>
      </c>
      <c r="I1188" s="5" t="s">
        <v>679</v>
      </c>
      <c r="J1188" s="5" t="s">
        <v>54</v>
      </c>
      <c r="K1188" s="5" t="s">
        <v>55</v>
      </c>
      <c r="L1188" s="5">
        <v>1</v>
      </c>
      <c r="M1188" s="5">
        <v>32547</v>
      </c>
      <c r="N1188" s="5">
        <v>15</v>
      </c>
      <c r="O1188" s="5">
        <v>27664.95</v>
      </c>
      <c r="P1188" s="5">
        <v>22352.29</v>
      </c>
      <c r="Q1188" s="5">
        <v>5312.66</v>
      </c>
      <c r="R1188" s="5" t="s">
        <v>64</v>
      </c>
      <c r="S1188" s="5" t="s">
        <v>82</v>
      </c>
      <c r="T1188" s="5" t="s">
        <v>34</v>
      </c>
      <c r="U1188" s="5">
        <v>4</v>
      </c>
      <c r="V1188" s="5" t="s">
        <v>45</v>
      </c>
    </row>
    <row r="1189" spans="1:22" x14ac:dyDescent="0.3">
      <c r="A1189" s="5" t="s">
        <v>1745</v>
      </c>
      <c r="B1189" s="6">
        <v>46126</v>
      </c>
      <c r="C1189" s="5" t="s">
        <v>88</v>
      </c>
      <c r="D1189" s="5" t="s">
        <v>68</v>
      </c>
      <c r="E1189" s="5" t="s">
        <v>126</v>
      </c>
      <c r="F1189" s="5" t="s">
        <v>126</v>
      </c>
      <c r="G1189" s="5" t="s">
        <v>51</v>
      </c>
      <c r="H1189" s="5" t="s">
        <v>447</v>
      </c>
      <c r="I1189" s="5" t="s">
        <v>448</v>
      </c>
      <c r="J1189" s="5" t="s">
        <v>71</v>
      </c>
      <c r="K1189" s="5" t="s">
        <v>72</v>
      </c>
      <c r="L1189" s="5">
        <v>2</v>
      </c>
      <c r="M1189" s="5">
        <v>58731</v>
      </c>
      <c r="N1189" s="5">
        <v>5</v>
      </c>
      <c r="O1189" s="5">
        <v>111588.9</v>
      </c>
      <c r="P1189" s="5">
        <v>77763.5</v>
      </c>
      <c r="Q1189" s="5">
        <v>33825.4</v>
      </c>
      <c r="R1189" s="5" t="s">
        <v>44</v>
      </c>
      <c r="S1189" s="5" t="s">
        <v>33</v>
      </c>
      <c r="T1189" s="5" t="s">
        <v>34</v>
      </c>
      <c r="U1189" s="5">
        <v>4</v>
      </c>
      <c r="V1189" s="5" t="s">
        <v>45</v>
      </c>
    </row>
    <row r="1190" spans="1:22" x14ac:dyDescent="0.3">
      <c r="A1190" s="5" t="s">
        <v>1746</v>
      </c>
      <c r="B1190" s="6">
        <v>46152</v>
      </c>
      <c r="C1190" s="5" t="s">
        <v>650</v>
      </c>
      <c r="D1190" s="5" t="s">
        <v>58</v>
      </c>
      <c r="E1190" s="5" t="s">
        <v>39</v>
      </c>
      <c r="F1190" s="5" t="s">
        <v>40</v>
      </c>
      <c r="G1190" s="5" t="s">
        <v>41</v>
      </c>
      <c r="H1190" s="5" t="s">
        <v>457</v>
      </c>
      <c r="I1190" s="5" t="s">
        <v>458</v>
      </c>
      <c r="J1190" s="5" t="s">
        <v>71</v>
      </c>
      <c r="K1190" s="5" t="s">
        <v>81</v>
      </c>
      <c r="L1190" s="5">
        <v>5</v>
      </c>
      <c r="M1190" s="5">
        <v>14682</v>
      </c>
      <c r="N1190" s="5">
        <v>0</v>
      </c>
      <c r="O1190" s="5">
        <v>73410</v>
      </c>
      <c r="P1190" s="5">
        <v>61805.81</v>
      </c>
      <c r="Q1190" s="5">
        <v>11604.19</v>
      </c>
      <c r="R1190" s="5" t="s">
        <v>32</v>
      </c>
      <c r="S1190" s="5" t="s">
        <v>82</v>
      </c>
      <c r="T1190" s="5" t="s">
        <v>73</v>
      </c>
      <c r="U1190" s="5">
        <v>2</v>
      </c>
      <c r="V1190" s="5" t="s">
        <v>45</v>
      </c>
    </row>
    <row r="1191" spans="1:22" x14ac:dyDescent="0.3">
      <c r="A1191" s="5" t="s">
        <v>1747</v>
      </c>
      <c r="B1191" s="6">
        <v>46094</v>
      </c>
      <c r="C1191" s="5" t="s">
        <v>687</v>
      </c>
      <c r="D1191" s="5" t="s">
        <v>117</v>
      </c>
      <c r="E1191" s="5" t="s">
        <v>25</v>
      </c>
      <c r="F1191" s="5" t="s">
        <v>26</v>
      </c>
      <c r="G1191" s="5" t="s">
        <v>27</v>
      </c>
      <c r="H1191" s="5" t="s">
        <v>717</v>
      </c>
      <c r="I1191" s="5" t="s">
        <v>718</v>
      </c>
      <c r="J1191" s="5" t="s">
        <v>102</v>
      </c>
      <c r="K1191" s="5" t="s">
        <v>103</v>
      </c>
      <c r="L1191" s="5">
        <v>3</v>
      </c>
      <c r="M1191" s="5">
        <v>10882</v>
      </c>
      <c r="N1191" s="5">
        <v>5</v>
      </c>
      <c r="O1191" s="5">
        <v>31013.7</v>
      </c>
      <c r="P1191" s="5">
        <v>26699.9</v>
      </c>
      <c r="Q1191" s="5">
        <v>4313.8</v>
      </c>
      <c r="R1191" s="5" t="s">
        <v>44</v>
      </c>
      <c r="S1191" s="5" t="s">
        <v>82</v>
      </c>
      <c r="T1191" s="5" t="s">
        <v>34</v>
      </c>
      <c r="U1191" s="5">
        <v>4</v>
      </c>
      <c r="V1191" s="5" t="s">
        <v>45</v>
      </c>
    </row>
    <row r="1192" spans="1:22" x14ac:dyDescent="0.3">
      <c r="A1192" s="5" t="s">
        <v>1748</v>
      </c>
      <c r="B1192" s="6">
        <v>46164</v>
      </c>
      <c r="C1192" s="5" t="s">
        <v>1184</v>
      </c>
      <c r="D1192" s="5" t="s">
        <v>117</v>
      </c>
      <c r="E1192" s="5" t="s">
        <v>126</v>
      </c>
      <c r="F1192" s="5" t="s">
        <v>126</v>
      </c>
      <c r="G1192" s="5" t="s">
        <v>51</v>
      </c>
      <c r="H1192" s="5" t="s">
        <v>338</v>
      </c>
      <c r="I1192" s="5" t="s">
        <v>339</v>
      </c>
      <c r="J1192" s="5" t="s">
        <v>54</v>
      </c>
      <c r="K1192" s="5" t="s">
        <v>97</v>
      </c>
      <c r="L1192" s="5">
        <v>4</v>
      </c>
      <c r="M1192" s="5">
        <v>14023</v>
      </c>
      <c r="N1192" s="5">
        <v>15</v>
      </c>
      <c r="O1192" s="5">
        <v>47678.2</v>
      </c>
      <c r="P1192" s="5">
        <v>33636.14</v>
      </c>
      <c r="Q1192" s="5">
        <v>14042.06</v>
      </c>
      <c r="R1192" s="5" t="s">
        <v>32</v>
      </c>
      <c r="S1192" s="5" t="s">
        <v>82</v>
      </c>
      <c r="T1192" s="5" t="s">
        <v>34</v>
      </c>
      <c r="U1192" s="5">
        <v>3</v>
      </c>
      <c r="V1192" s="5" t="s">
        <v>35</v>
      </c>
    </row>
    <row r="1193" spans="1:22" x14ac:dyDescent="0.3">
      <c r="A1193" s="5" t="s">
        <v>1749</v>
      </c>
      <c r="B1193" s="6">
        <v>46121</v>
      </c>
      <c r="C1193" s="5" t="s">
        <v>1222</v>
      </c>
      <c r="D1193" s="5" t="s">
        <v>24</v>
      </c>
      <c r="E1193" s="5" t="s">
        <v>59</v>
      </c>
      <c r="F1193" s="5" t="s">
        <v>60</v>
      </c>
      <c r="G1193" s="5" t="s">
        <v>61</v>
      </c>
      <c r="H1193" s="5" t="s">
        <v>217</v>
      </c>
      <c r="I1193" s="5" t="s">
        <v>218</v>
      </c>
      <c r="J1193" s="5" t="s">
        <v>54</v>
      </c>
      <c r="K1193" s="5" t="s">
        <v>97</v>
      </c>
      <c r="L1193" s="5">
        <v>5</v>
      </c>
      <c r="M1193" s="5">
        <v>50219</v>
      </c>
      <c r="N1193" s="5">
        <v>5</v>
      </c>
      <c r="O1193" s="5">
        <v>238540.25</v>
      </c>
      <c r="P1193" s="5">
        <v>168874.69</v>
      </c>
      <c r="Q1193" s="5">
        <v>69665.56</v>
      </c>
      <c r="R1193" s="5" t="s">
        <v>44</v>
      </c>
      <c r="S1193" s="5" t="s">
        <v>33</v>
      </c>
      <c r="T1193" s="5" t="s">
        <v>34</v>
      </c>
      <c r="U1193" s="5">
        <v>4</v>
      </c>
      <c r="V1193" s="5" t="s">
        <v>45</v>
      </c>
    </row>
    <row r="1194" spans="1:22" x14ac:dyDescent="0.3">
      <c r="A1194" s="5" t="s">
        <v>1750</v>
      </c>
      <c r="B1194" s="6">
        <v>46026</v>
      </c>
      <c r="C1194" s="5" t="s">
        <v>405</v>
      </c>
      <c r="D1194" s="5" t="s">
        <v>117</v>
      </c>
      <c r="E1194" s="5" t="s">
        <v>126</v>
      </c>
      <c r="F1194" s="5" t="s">
        <v>126</v>
      </c>
      <c r="G1194" s="5" t="s">
        <v>51</v>
      </c>
      <c r="H1194" s="5" t="s">
        <v>127</v>
      </c>
      <c r="I1194" s="5" t="s">
        <v>128</v>
      </c>
      <c r="J1194" s="5" t="s">
        <v>102</v>
      </c>
      <c r="K1194" s="5" t="s">
        <v>103</v>
      </c>
      <c r="L1194" s="5">
        <v>3</v>
      </c>
      <c r="M1194" s="5">
        <v>43798</v>
      </c>
      <c r="N1194" s="5">
        <v>0</v>
      </c>
      <c r="O1194" s="5">
        <v>131394</v>
      </c>
      <c r="P1194" s="5">
        <v>73659.929999999993</v>
      </c>
      <c r="Q1194" s="5">
        <v>57734.07</v>
      </c>
      <c r="R1194" s="5" t="s">
        <v>32</v>
      </c>
      <c r="S1194" s="5" t="s">
        <v>82</v>
      </c>
      <c r="T1194" s="5" t="s">
        <v>65</v>
      </c>
      <c r="U1194" s="5">
        <v>5</v>
      </c>
      <c r="V1194" s="5" t="s">
        <v>35</v>
      </c>
    </row>
    <row r="1195" spans="1:22" x14ac:dyDescent="0.3">
      <c r="A1195" s="5" t="s">
        <v>1751</v>
      </c>
      <c r="B1195" s="6">
        <v>46089</v>
      </c>
      <c r="C1195" s="5" t="s">
        <v>829</v>
      </c>
      <c r="D1195" s="5" t="s">
        <v>117</v>
      </c>
      <c r="E1195" s="5" t="s">
        <v>77</v>
      </c>
      <c r="F1195" s="5" t="s">
        <v>78</v>
      </c>
      <c r="G1195" s="5" t="s">
        <v>41</v>
      </c>
      <c r="H1195" s="5" t="s">
        <v>217</v>
      </c>
      <c r="I1195" s="5" t="s">
        <v>218</v>
      </c>
      <c r="J1195" s="5" t="s">
        <v>54</v>
      </c>
      <c r="K1195" s="5" t="s">
        <v>97</v>
      </c>
      <c r="L1195" s="5">
        <v>5</v>
      </c>
      <c r="M1195" s="5">
        <v>79423</v>
      </c>
      <c r="N1195" s="5">
        <v>20</v>
      </c>
      <c r="O1195" s="5">
        <v>317692</v>
      </c>
      <c r="P1195" s="5">
        <v>319768.7</v>
      </c>
      <c r="Q1195" s="5">
        <v>-2076.6999999999998</v>
      </c>
      <c r="R1195" s="5" t="s">
        <v>32</v>
      </c>
      <c r="S1195" s="5" t="s">
        <v>33</v>
      </c>
      <c r="T1195" s="5" t="s">
        <v>34</v>
      </c>
      <c r="U1195" s="5">
        <v>3</v>
      </c>
      <c r="V1195" s="5" t="s">
        <v>35</v>
      </c>
    </row>
    <row r="1196" spans="1:22" x14ac:dyDescent="0.3">
      <c r="A1196" s="5" t="s">
        <v>1752</v>
      </c>
      <c r="B1196" s="6">
        <v>46072</v>
      </c>
      <c r="C1196" s="5" t="s">
        <v>1188</v>
      </c>
      <c r="D1196" s="5" t="s">
        <v>117</v>
      </c>
      <c r="E1196" s="5" t="s">
        <v>39</v>
      </c>
      <c r="F1196" s="5" t="s">
        <v>40</v>
      </c>
      <c r="G1196" s="5" t="s">
        <v>41</v>
      </c>
      <c r="H1196" s="5" t="s">
        <v>265</v>
      </c>
      <c r="I1196" s="5" t="s">
        <v>266</v>
      </c>
      <c r="J1196" s="5" t="s">
        <v>71</v>
      </c>
      <c r="K1196" s="5" t="s">
        <v>81</v>
      </c>
      <c r="L1196" s="5">
        <v>1</v>
      </c>
      <c r="M1196" s="5">
        <v>13622</v>
      </c>
      <c r="N1196" s="5">
        <v>0</v>
      </c>
      <c r="O1196" s="5">
        <v>13622</v>
      </c>
      <c r="P1196" s="5">
        <v>9081.19</v>
      </c>
      <c r="Q1196" s="5">
        <v>4540.8100000000004</v>
      </c>
      <c r="R1196" s="5" t="s">
        <v>64</v>
      </c>
      <c r="S1196" s="5" t="s">
        <v>33</v>
      </c>
      <c r="T1196" s="5" t="s">
        <v>73</v>
      </c>
      <c r="U1196" s="5">
        <v>5</v>
      </c>
      <c r="V1196" s="5" t="s">
        <v>45</v>
      </c>
    </row>
    <row r="1197" spans="1:22" x14ac:dyDescent="0.3">
      <c r="A1197" s="5" t="s">
        <v>1753</v>
      </c>
      <c r="B1197" s="6">
        <v>46184</v>
      </c>
      <c r="C1197" s="5" t="s">
        <v>1156</v>
      </c>
      <c r="D1197" s="5" t="s">
        <v>117</v>
      </c>
      <c r="E1197" s="5" t="s">
        <v>94</v>
      </c>
      <c r="F1197" s="5" t="s">
        <v>26</v>
      </c>
      <c r="G1197" s="5" t="s">
        <v>27</v>
      </c>
      <c r="H1197" s="5" t="s">
        <v>176</v>
      </c>
      <c r="I1197" s="5" t="s">
        <v>177</v>
      </c>
      <c r="J1197" s="5" t="s">
        <v>54</v>
      </c>
      <c r="K1197" s="5" t="s">
        <v>97</v>
      </c>
      <c r="L1197" s="5">
        <v>1</v>
      </c>
      <c r="M1197" s="5">
        <v>27948</v>
      </c>
      <c r="N1197" s="5">
        <v>5</v>
      </c>
      <c r="O1197" s="5">
        <v>26550.6</v>
      </c>
      <c r="P1197" s="5">
        <v>17469.2</v>
      </c>
      <c r="Q1197" s="5">
        <v>9081.4</v>
      </c>
      <c r="R1197" s="5" t="s">
        <v>32</v>
      </c>
      <c r="S1197" s="5" t="s">
        <v>33</v>
      </c>
      <c r="T1197" s="5" t="s">
        <v>65</v>
      </c>
      <c r="U1197" s="5">
        <v>2</v>
      </c>
      <c r="V1197" s="5" t="s">
        <v>35</v>
      </c>
    </row>
    <row r="1198" spans="1:22" x14ac:dyDescent="0.3">
      <c r="A1198" s="5" t="s">
        <v>1754</v>
      </c>
      <c r="B1198" s="6">
        <v>46025</v>
      </c>
      <c r="C1198" s="5" t="s">
        <v>410</v>
      </c>
      <c r="D1198" s="5" t="s">
        <v>76</v>
      </c>
      <c r="E1198" s="5" t="s">
        <v>49</v>
      </c>
      <c r="F1198" s="5" t="s">
        <v>50</v>
      </c>
      <c r="G1198" s="5" t="s">
        <v>51</v>
      </c>
      <c r="H1198" s="5" t="s">
        <v>324</v>
      </c>
      <c r="I1198" s="5" t="s">
        <v>325</v>
      </c>
      <c r="J1198" s="5" t="s">
        <v>54</v>
      </c>
      <c r="K1198" s="5" t="s">
        <v>55</v>
      </c>
      <c r="L1198" s="5">
        <v>4</v>
      </c>
      <c r="M1198" s="5">
        <v>57050</v>
      </c>
      <c r="N1198" s="5">
        <v>20</v>
      </c>
      <c r="O1198" s="5">
        <v>182560</v>
      </c>
      <c r="P1198" s="5">
        <v>159982.37</v>
      </c>
      <c r="Q1198" s="5">
        <v>22577.63</v>
      </c>
      <c r="R1198" s="5" t="s">
        <v>32</v>
      </c>
      <c r="S1198" s="5" t="s">
        <v>82</v>
      </c>
      <c r="T1198" s="5" t="s">
        <v>65</v>
      </c>
      <c r="U1198" s="5">
        <v>1</v>
      </c>
      <c r="V1198" s="5" t="s">
        <v>35</v>
      </c>
    </row>
    <row r="1199" spans="1:22" x14ac:dyDescent="0.3">
      <c r="A1199" s="5" t="s">
        <v>1755</v>
      </c>
      <c r="B1199" s="6">
        <v>46200</v>
      </c>
      <c r="C1199" s="5" t="s">
        <v>1756</v>
      </c>
      <c r="D1199" s="5" t="s">
        <v>48</v>
      </c>
      <c r="E1199" s="5" t="s">
        <v>77</v>
      </c>
      <c r="F1199" s="5" t="s">
        <v>78</v>
      </c>
      <c r="G1199" s="5" t="s">
        <v>41</v>
      </c>
      <c r="H1199" s="5" t="s">
        <v>541</v>
      </c>
      <c r="I1199" s="5" t="s">
        <v>542</v>
      </c>
      <c r="J1199" s="5" t="s">
        <v>54</v>
      </c>
      <c r="K1199" s="5" t="s">
        <v>55</v>
      </c>
      <c r="L1199" s="5">
        <v>3</v>
      </c>
      <c r="M1199" s="5">
        <v>19319</v>
      </c>
      <c r="N1199" s="5">
        <v>20</v>
      </c>
      <c r="O1199" s="5">
        <v>46365.599999999999</v>
      </c>
      <c r="P1199" s="5">
        <v>46184.65</v>
      </c>
      <c r="Q1199" s="5">
        <v>180.95</v>
      </c>
      <c r="R1199" s="5" t="s">
        <v>44</v>
      </c>
      <c r="S1199" s="5" t="s">
        <v>33</v>
      </c>
      <c r="T1199" s="5" t="s">
        <v>73</v>
      </c>
      <c r="U1199" s="5">
        <v>2</v>
      </c>
      <c r="V1199" s="5" t="s">
        <v>35</v>
      </c>
    </row>
    <row r="1200" spans="1:22" x14ac:dyDescent="0.3">
      <c r="A1200" s="5" t="s">
        <v>1757</v>
      </c>
      <c r="B1200" s="6">
        <v>46070</v>
      </c>
      <c r="C1200" s="5" t="s">
        <v>522</v>
      </c>
      <c r="D1200" s="5" t="s">
        <v>38</v>
      </c>
      <c r="E1200" s="5" t="s">
        <v>49</v>
      </c>
      <c r="F1200" s="5" t="s">
        <v>50</v>
      </c>
      <c r="G1200" s="5" t="s">
        <v>51</v>
      </c>
      <c r="H1200" s="5" t="s">
        <v>184</v>
      </c>
      <c r="I1200" s="5" t="s">
        <v>185</v>
      </c>
      <c r="J1200" s="5" t="s">
        <v>102</v>
      </c>
      <c r="K1200" s="5" t="s">
        <v>103</v>
      </c>
      <c r="L1200" s="5">
        <v>5</v>
      </c>
      <c r="M1200" s="5">
        <v>68721</v>
      </c>
      <c r="N1200" s="5">
        <v>15</v>
      </c>
      <c r="O1200" s="5">
        <v>292064.25</v>
      </c>
      <c r="P1200" s="5">
        <v>204905.87</v>
      </c>
      <c r="Q1200" s="5">
        <v>87158.38</v>
      </c>
      <c r="R1200" s="5" t="s">
        <v>32</v>
      </c>
      <c r="S1200" s="5" t="s">
        <v>82</v>
      </c>
      <c r="T1200" s="5" t="s">
        <v>34</v>
      </c>
      <c r="U1200" s="5">
        <v>3</v>
      </c>
      <c r="V1200" s="5" t="s">
        <v>45</v>
      </c>
    </row>
    <row r="1201" spans="1:22" x14ac:dyDescent="0.3">
      <c r="A1201" s="5" t="s">
        <v>1758</v>
      </c>
      <c r="B1201" s="6">
        <v>46179</v>
      </c>
      <c r="C1201" s="5" t="s">
        <v>209</v>
      </c>
      <c r="D1201" s="5" t="s">
        <v>58</v>
      </c>
      <c r="E1201" s="5" t="s">
        <v>77</v>
      </c>
      <c r="F1201" s="5" t="s">
        <v>78</v>
      </c>
      <c r="G1201" s="5" t="s">
        <v>41</v>
      </c>
      <c r="H1201" s="5" t="s">
        <v>141</v>
      </c>
      <c r="I1201" s="5" t="s">
        <v>142</v>
      </c>
      <c r="J1201" s="5" t="s">
        <v>71</v>
      </c>
      <c r="K1201" s="5" t="s">
        <v>81</v>
      </c>
      <c r="L1201" s="5">
        <v>3</v>
      </c>
      <c r="M1201" s="5">
        <v>39370</v>
      </c>
      <c r="N1201" s="5">
        <v>0</v>
      </c>
      <c r="O1201" s="5">
        <v>118110</v>
      </c>
      <c r="P1201" s="5">
        <v>87927.97</v>
      </c>
      <c r="Q1201" s="5">
        <v>30182.03</v>
      </c>
      <c r="R1201" s="5" t="s">
        <v>64</v>
      </c>
      <c r="S1201" s="5" t="s">
        <v>82</v>
      </c>
      <c r="T1201" s="5" t="s">
        <v>73</v>
      </c>
      <c r="U1201" s="5">
        <v>3</v>
      </c>
      <c r="V1201" s="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1"/>
  <sheetViews>
    <sheetView workbookViewId="0">
      <selection activeCell="E9" sqref="E9"/>
    </sheetView>
  </sheetViews>
  <sheetFormatPr defaultRowHeight="14.4" x14ac:dyDescent="0.3"/>
  <cols>
    <col min="1" max="15" width="15.77734375" customWidth="1"/>
    <col min="16" max="16" width="19.5546875" style="4" customWidth="1"/>
    <col min="17" max="17" width="15.77734375" customWidth="1"/>
  </cols>
  <sheetData>
    <row r="1" spans="1:17" x14ac:dyDescent="0.3">
      <c r="A1" s="17" t="s">
        <v>7</v>
      </c>
      <c r="B1" s="17" t="s">
        <v>8</v>
      </c>
      <c r="C1" s="17" t="s">
        <v>9</v>
      </c>
      <c r="D1" s="17" t="s">
        <v>1759</v>
      </c>
      <c r="E1" s="17" t="s">
        <v>1760</v>
      </c>
      <c r="F1" s="17" t="s">
        <v>1761</v>
      </c>
      <c r="G1" s="17" t="s">
        <v>1762</v>
      </c>
      <c r="H1" s="17" t="s">
        <v>1763</v>
      </c>
      <c r="I1" s="17" t="s">
        <v>1764</v>
      </c>
      <c r="J1" s="17" t="s">
        <v>1765</v>
      </c>
      <c r="K1" s="17" t="s">
        <v>1766</v>
      </c>
      <c r="L1" s="17" t="s">
        <v>1767</v>
      </c>
      <c r="M1" s="17" t="s">
        <v>1768</v>
      </c>
      <c r="N1" s="17" t="s">
        <v>1769</v>
      </c>
      <c r="O1" s="17" t="s">
        <v>1770</v>
      </c>
      <c r="P1" s="18" t="s">
        <v>1771</v>
      </c>
      <c r="Q1" s="17" t="s">
        <v>1772</v>
      </c>
    </row>
    <row r="2" spans="1:17" x14ac:dyDescent="0.3">
      <c r="A2" s="12" t="s">
        <v>338</v>
      </c>
      <c r="B2" s="12" t="s">
        <v>339</v>
      </c>
      <c r="C2" s="12" t="s">
        <v>54</v>
      </c>
      <c r="D2" s="12" t="s">
        <v>1773</v>
      </c>
      <c r="E2" s="12" t="s">
        <v>1774</v>
      </c>
      <c r="F2" s="12">
        <v>363</v>
      </c>
      <c r="G2" s="12">
        <v>271</v>
      </c>
      <c r="H2" s="12">
        <v>92</v>
      </c>
      <c r="I2" s="12">
        <v>59</v>
      </c>
      <c r="J2" s="12">
        <v>42832</v>
      </c>
      <c r="K2" s="12">
        <v>57854.66</v>
      </c>
      <c r="L2" s="12">
        <v>3940544</v>
      </c>
      <c r="M2" s="12">
        <v>3</v>
      </c>
      <c r="N2" s="12">
        <v>11</v>
      </c>
      <c r="O2" s="12">
        <v>4.5999999999999996</v>
      </c>
      <c r="P2" s="14">
        <v>46125</v>
      </c>
      <c r="Q2" s="12" t="s">
        <v>1775</v>
      </c>
    </row>
    <row r="3" spans="1:17" x14ac:dyDescent="0.3">
      <c r="A3" s="12" t="s">
        <v>176</v>
      </c>
      <c r="B3" s="12" t="s">
        <v>177</v>
      </c>
      <c r="C3" s="12" t="s">
        <v>54</v>
      </c>
      <c r="D3" s="12" t="s">
        <v>1776</v>
      </c>
      <c r="E3" s="12" t="s">
        <v>1777</v>
      </c>
      <c r="F3" s="12">
        <v>448</v>
      </c>
      <c r="G3" s="12">
        <v>178</v>
      </c>
      <c r="H3" s="12">
        <v>270</v>
      </c>
      <c r="I3" s="12">
        <v>22</v>
      </c>
      <c r="J3" s="12">
        <v>4514</v>
      </c>
      <c r="K3" s="12">
        <v>5745.92</v>
      </c>
      <c r="L3" s="12">
        <v>1218780</v>
      </c>
      <c r="M3" s="12">
        <v>0</v>
      </c>
      <c r="N3" s="12">
        <v>2</v>
      </c>
      <c r="O3" s="12">
        <v>3.8</v>
      </c>
      <c r="P3" s="14">
        <v>46138</v>
      </c>
      <c r="Q3" s="12" t="s">
        <v>1775</v>
      </c>
    </row>
    <row r="4" spans="1:17" x14ac:dyDescent="0.3">
      <c r="A4" s="12" t="s">
        <v>324</v>
      </c>
      <c r="B4" s="12" t="s">
        <v>325</v>
      </c>
      <c r="C4" s="12" t="s">
        <v>54</v>
      </c>
      <c r="D4" s="12" t="s">
        <v>1778</v>
      </c>
      <c r="E4" s="12" t="s">
        <v>1774</v>
      </c>
      <c r="F4" s="12">
        <v>207</v>
      </c>
      <c r="G4" s="12">
        <v>127</v>
      </c>
      <c r="H4" s="12">
        <v>80</v>
      </c>
      <c r="I4" s="12">
        <v>36</v>
      </c>
      <c r="J4" s="12">
        <v>32455</v>
      </c>
      <c r="K4" s="12">
        <v>38631.24</v>
      </c>
      <c r="L4" s="12">
        <v>2596400</v>
      </c>
      <c r="M4" s="12">
        <v>0</v>
      </c>
      <c r="N4" s="12">
        <v>9</v>
      </c>
      <c r="O4" s="12">
        <v>4.0999999999999996</v>
      </c>
      <c r="P4" s="14">
        <v>46123</v>
      </c>
      <c r="Q4" s="12" t="s">
        <v>1775</v>
      </c>
    </row>
    <row r="5" spans="1:17" x14ac:dyDescent="0.3">
      <c r="A5" s="12" t="s">
        <v>546</v>
      </c>
      <c r="B5" s="12" t="s">
        <v>547</v>
      </c>
      <c r="C5" s="12" t="s">
        <v>71</v>
      </c>
      <c r="D5" s="12" t="s">
        <v>1776</v>
      </c>
      <c r="E5" s="12" t="s">
        <v>1779</v>
      </c>
      <c r="F5" s="12">
        <v>426</v>
      </c>
      <c r="G5" s="12">
        <v>81</v>
      </c>
      <c r="H5" s="12">
        <v>345</v>
      </c>
      <c r="I5" s="12">
        <v>78</v>
      </c>
      <c r="J5" s="12">
        <v>12395</v>
      </c>
      <c r="K5" s="12">
        <v>16958.490000000002</v>
      </c>
      <c r="L5" s="12">
        <v>4276275</v>
      </c>
      <c r="M5" s="12">
        <v>5</v>
      </c>
      <c r="N5" s="12">
        <v>11</v>
      </c>
      <c r="O5" s="12">
        <v>4.9000000000000004</v>
      </c>
      <c r="P5" s="14">
        <v>46184</v>
      </c>
      <c r="Q5" s="12" t="s">
        <v>1775</v>
      </c>
    </row>
    <row r="6" spans="1:17" x14ac:dyDescent="0.3">
      <c r="A6" s="12" t="s">
        <v>316</v>
      </c>
      <c r="B6" s="12" t="s">
        <v>317</v>
      </c>
      <c r="C6" s="12" t="s">
        <v>54</v>
      </c>
      <c r="D6" s="12" t="s">
        <v>1780</v>
      </c>
      <c r="E6" s="12" t="s">
        <v>1781</v>
      </c>
      <c r="F6" s="12">
        <v>427</v>
      </c>
      <c r="G6" s="12">
        <v>396</v>
      </c>
      <c r="H6" s="12">
        <v>31</v>
      </c>
      <c r="I6" s="12">
        <v>73</v>
      </c>
      <c r="J6" s="12">
        <v>37043</v>
      </c>
      <c r="K6" s="12">
        <v>49540.32</v>
      </c>
      <c r="L6" s="12">
        <v>1148333</v>
      </c>
      <c r="M6" s="12">
        <v>4</v>
      </c>
      <c r="N6" s="12">
        <v>9</v>
      </c>
      <c r="O6" s="12">
        <v>4.2</v>
      </c>
      <c r="P6" s="14">
        <v>46144</v>
      </c>
      <c r="Q6" s="12" t="s">
        <v>1782</v>
      </c>
    </row>
    <row r="7" spans="1:17" x14ac:dyDescent="0.3">
      <c r="A7" s="12" t="s">
        <v>224</v>
      </c>
      <c r="B7" s="12" t="s">
        <v>225</v>
      </c>
      <c r="C7" s="12" t="s">
        <v>102</v>
      </c>
      <c r="D7" s="12" t="s">
        <v>1776</v>
      </c>
      <c r="E7" s="12" t="s">
        <v>1774</v>
      </c>
      <c r="F7" s="12">
        <v>80</v>
      </c>
      <c r="G7" s="12">
        <v>26</v>
      </c>
      <c r="H7" s="12">
        <v>54</v>
      </c>
      <c r="I7" s="12">
        <v>40</v>
      </c>
      <c r="J7" s="12">
        <v>32165</v>
      </c>
      <c r="K7" s="12">
        <v>39372.370000000003</v>
      </c>
      <c r="L7" s="12">
        <v>1736910</v>
      </c>
      <c r="M7" s="12">
        <v>2</v>
      </c>
      <c r="N7" s="12">
        <v>9</v>
      </c>
      <c r="O7" s="12">
        <v>3.8</v>
      </c>
      <c r="P7" s="14">
        <v>46099</v>
      </c>
      <c r="Q7" s="12" t="s">
        <v>1775</v>
      </c>
    </row>
    <row r="8" spans="1:17" x14ac:dyDescent="0.3">
      <c r="A8" s="12" t="s">
        <v>546</v>
      </c>
      <c r="B8" s="12" t="s">
        <v>547</v>
      </c>
      <c r="C8" s="12" t="s">
        <v>71</v>
      </c>
      <c r="D8" s="12" t="s">
        <v>1776</v>
      </c>
      <c r="E8" s="12" t="s">
        <v>1774</v>
      </c>
      <c r="F8" s="12">
        <v>155</v>
      </c>
      <c r="G8" s="12">
        <v>123</v>
      </c>
      <c r="H8" s="12">
        <v>32</v>
      </c>
      <c r="I8" s="12">
        <v>38</v>
      </c>
      <c r="J8" s="12">
        <v>1904</v>
      </c>
      <c r="K8" s="12">
        <v>2496.8000000000002</v>
      </c>
      <c r="L8" s="12">
        <v>60928</v>
      </c>
      <c r="M8" s="12">
        <v>1</v>
      </c>
      <c r="N8" s="12">
        <v>7</v>
      </c>
      <c r="O8" s="12">
        <v>4.0999999999999996</v>
      </c>
      <c r="P8" s="14">
        <v>46051</v>
      </c>
      <c r="Q8" s="12" t="s">
        <v>1782</v>
      </c>
    </row>
    <row r="9" spans="1:17" x14ac:dyDescent="0.3">
      <c r="A9" s="12" t="s">
        <v>717</v>
      </c>
      <c r="B9" s="12" t="s">
        <v>718</v>
      </c>
      <c r="C9" s="12" t="s">
        <v>102</v>
      </c>
      <c r="D9" s="12" t="s">
        <v>1773</v>
      </c>
      <c r="E9" s="12" t="s">
        <v>1779</v>
      </c>
      <c r="F9" s="12">
        <v>55</v>
      </c>
      <c r="G9" s="12">
        <v>35</v>
      </c>
      <c r="H9" s="12">
        <v>20</v>
      </c>
      <c r="I9" s="12">
        <v>71</v>
      </c>
      <c r="J9" s="12">
        <v>42026</v>
      </c>
      <c r="K9" s="12">
        <v>57778.29</v>
      </c>
      <c r="L9" s="12">
        <v>840520</v>
      </c>
      <c r="M9" s="12">
        <v>4</v>
      </c>
      <c r="N9" s="12">
        <v>11</v>
      </c>
      <c r="O9" s="12">
        <v>3.7</v>
      </c>
      <c r="P9" s="14">
        <v>46045</v>
      </c>
      <c r="Q9" s="12" t="s">
        <v>1782</v>
      </c>
    </row>
    <row r="10" spans="1:17" x14ac:dyDescent="0.3">
      <c r="A10" s="12" t="s">
        <v>180</v>
      </c>
      <c r="B10" s="12" t="s">
        <v>181</v>
      </c>
      <c r="C10" s="12" t="s">
        <v>54</v>
      </c>
      <c r="D10" s="12" t="s">
        <v>1776</v>
      </c>
      <c r="E10" s="12" t="s">
        <v>1779</v>
      </c>
      <c r="F10" s="12">
        <v>422</v>
      </c>
      <c r="G10" s="12">
        <v>149</v>
      </c>
      <c r="H10" s="12">
        <v>273</v>
      </c>
      <c r="I10" s="12">
        <v>45</v>
      </c>
      <c r="J10" s="12">
        <v>41324</v>
      </c>
      <c r="K10" s="12">
        <v>50082.01</v>
      </c>
      <c r="L10" s="12">
        <v>11281452</v>
      </c>
      <c r="M10" s="12">
        <v>5</v>
      </c>
      <c r="N10" s="12">
        <v>13</v>
      </c>
      <c r="O10" s="12">
        <v>4.3</v>
      </c>
      <c r="P10" s="14">
        <v>46063</v>
      </c>
      <c r="Q10" s="12" t="s">
        <v>1775</v>
      </c>
    </row>
    <row r="11" spans="1:17" x14ac:dyDescent="0.3">
      <c r="A11" s="12" t="s">
        <v>762</v>
      </c>
      <c r="B11" s="12" t="s">
        <v>763</v>
      </c>
      <c r="C11" s="12" t="s">
        <v>54</v>
      </c>
      <c r="D11" s="12" t="s">
        <v>1780</v>
      </c>
      <c r="E11" s="12" t="s">
        <v>1781</v>
      </c>
      <c r="F11" s="12">
        <v>416</v>
      </c>
      <c r="G11" s="12">
        <v>284</v>
      </c>
      <c r="H11" s="12">
        <v>132</v>
      </c>
      <c r="I11" s="12">
        <v>26</v>
      </c>
      <c r="J11" s="12">
        <v>57705</v>
      </c>
      <c r="K11" s="12">
        <v>80288.509999999995</v>
      </c>
      <c r="L11" s="12">
        <v>7617060</v>
      </c>
      <c r="M11" s="12">
        <v>5</v>
      </c>
      <c r="N11" s="12">
        <v>10</v>
      </c>
      <c r="O11" s="12">
        <v>4.0999999999999996</v>
      </c>
      <c r="P11" s="14">
        <v>46064</v>
      </c>
      <c r="Q11" s="12" t="s">
        <v>1775</v>
      </c>
    </row>
    <row r="12" spans="1:17" x14ac:dyDescent="0.3">
      <c r="A12" s="12" t="s">
        <v>334</v>
      </c>
      <c r="B12" s="12" t="s">
        <v>335</v>
      </c>
      <c r="C12" s="12" t="s">
        <v>71</v>
      </c>
      <c r="D12" s="12" t="s">
        <v>1773</v>
      </c>
      <c r="E12" s="12" t="s">
        <v>1777</v>
      </c>
      <c r="F12" s="12">
        <v>459</v>
      </c>
      <c r="G12" s="12">
        <v>55</v>
      </c>
      <c r="H12" s="12">
        <v>404</v>
      </c>
      <c r="I12" s="12">
        <v>78</v>
      </c>
      <c r="J12" s="12">
        <v>42217</v>
      </c>
      <c r="K12" s="12">
        <v>46889.79</v>
      </c>
      <c r="L12" s="12">
        <v>17055668</v>
      </c>
      <c r="M12" s="12">
        <v>0</v>
      </c>
      <c r="N12" s="12">
        <v>5</v>
      </c>
      <c r="O12" s="12">
        <v>4.5999999999999996</v>
      </c>
      <c r="P12" s="14">
        <v>46179</v>
      </c>
      <c r="Q12" s="12" t="s">
        <v>1775</v>
      </c>
    </row>
    <row r="13" spans="1:17" x14ac:dyDescent="0.3">
      <c r="A13" s="12" t="s">
        <v>100</v>
      </c>
      <c r="B13" s="12" t="s">
        <v>101</v>
      </c>
      <c r="C13" s="12" t="s">
        <v>102</v>
      </c>
      <c r="D13" s="12" t="s">
        <v>1776</v>
      </c>
      <c r="E13" s="12" t="s">
        <v>1774</v>
      </c>
      <c r="F13" s="12">
        <v>383</v>
      </c>
      <c r="G13" s="12">
        <v>111</v>
      </c>
      <c r="H13" s="12">
        <v>272</v>
      </c>
      <c r="I13" s="12">
        <v>66</v>
      </c>
      <c r="J13" s="12">
        <v>37010</v>
      </c>
      <c r="K13" s="12">
        <v>48211.33</v>
      </c>
      <c r="L13" s="12">
        <v>10066720</v>
      </c>
      <c r="M13" s="12">
        <v>0</v>
      </c>
      <c r="N13" s="12">
        <v>12</v>
      </c>
      <c r="O13" s="12">
        <v>3.6</v>
      </c>
      <c r="P13" s="14">
        <v>46152</v>
      </c>
      <c r="Q13" s="12" t="s">
        <v>1775</v>
      </c>
    </row>
    <row r="14" spans="1:17" x14ac:dyDescent="0.3">
      <c r="A14" s="12" t="s">
        <v>717</v>
      </c>
      <c r="B14" s="12" t="s">
        <v>718</v>
      </c>
      <c r="C14" s="12" t="s">
        <v>102</v>
      </c>
      <c r="D14" s="12" t="s">
        <v>1778</v>
      </c>
      <c r="E14" s="12" t="s">
        <v>1777</v>
      </c>
      <c r="F14" s="12">
        <v>324</v>
      </c>
      <c r="G14" s="12">
        <v>204</v>
      </c>
      <c r="H14" s="12">
        <v>120</v>
      </c>
      <c r="I14" s="12">
        <v>24</v>
      </c>
      <c r="J14" s="12">
        <v>16321</v>
      </c>
      <c r="K14" s="12">
        <v>22460.97</v>
      </c>
      <c r="L14" s="12">
        <v>1958520</v>
      </c>
      <c r="M14" s="12">
        <v>2</v>
      </c>
      <c r="N14" s="12">
        <v>10</v>
      </c>
      <c r="O14" s="12">
        <v>4.9000000000000004</v>
      </c>
      <c r="P14" s="14">
        <v>46190</v>
      </c>
      <c r="Q14" s="12" t="s">
        <v>1775</v>
      </c>
    </row>
    <row r="15" spans="1:17" x14ac:dyDescent="0.3">
      <c r="A15" s="12" t="s">
        <v>141</v>
      </c>
      <c r="B15" s="12" t="s">
        <v>142</v>
      </c>
      <c r="C15" s="12" t="s">
        <v>71</v>
      </c>
      <c r="D15" s="12" t="s">
        <v>1778</v>
      </c>
      <c r="E15" s="12" t="s">
        <v>1779</v>
      </c>
      <c r="F15" s="12">
        <v>94</v>
      </c>
      <c r="G15" s="12">
        <v>82</v>
      </c>
      <c r="H15" s="12">
        <v>12</v>
      </c>
      <c r="I15" s="12">
        <v>62</v>
      </c>
      <c r="J15" s="12">
        <v>17294</v>
      </c>
      <c r="K15" s="12">
        <v>21485.02</v>
      </c>
      <c r="L15" s="12">
        <v>207528</v>
      </c>
      <c r="M15" s="12">
        <v>1</v>
      </c>
      <c r="N15" s="12">
        <v>11</v>
      </c>
      <c r="O15" s="12">
        <v>3.9</v>
      </c>
      <c r="P15" s="14">
        <v>46102</v>
      </c>
      <c r="Q15" s="12" t="s">
        <v>1782</v>
      </c>
    </row>
    <row r="16" spans="1:17" x14ac:dyDescent="0.3">
      <c r="A16" s="12" t="s">
        <v>374</v>
      </c>
      <c r="B16" s="12" t="s">
        <v>375</v>
      </c>
      <c r="C16" s="12" t="s">
        <v>54</v>
      </c>
      <c r="D16" s="12" t="s">
        <v>1776</v>
      </c>
      <c r="E16" s="12" t="s">
        <v>1781</v>
      </c>
      <c r="F16" s="12">
        <v>460</v>
      </c>
      <c r="G16" s="12">
        <v>343</v>
      </c>
      <c r="H16" s="12">
        <v>117</v>
      </c>
      <c r="I16" s="12">
        <v>29</v>
      </c>
      <c r="J16" s="12">
        <v>27614</v>
      </c>
      <c r="K16" s="12">
        <v>35557.550000000003</v>
      </c>
      <c r="L16" s="12">
        <v>3230838</v>
      </c>
      <c r="M16" s="12">
        <v>0</v>
      </c>
      <c r="N16" s="12">
        <v>13</v>
      </c>
      <c r="O16" s="12">
        <v>4.7</v>
      </c>
      <c r="P16" s="14">
        <v>46026</v>
      </c>
      <c r="Q16" s="12" t="s">
        <v>1775</v>
      </c>
    </row>
    <row r="17" spans="1:17" x14ac:dyDescent="0.3">
      <c r="A17" s="12" t="s">
        <v>735</v>
      </c>
      <c r="B17" s="12" t="s">
        <v>736</v>
      </c>
      <c r="C17" s="12" t="s">
        <v>54</v>
      </c>
      <c r="D17" s="12" t="s">
        <v>1773</v>
      </c>
      <c r="E17" s="12" t="s">
        <v>1774</v>
      </c>
      <c r="F17" s="12">
        <v>113</v>
      </c>
      <c r="G17" s="12">
        <v>60</v>
      </c>
      <c r="H17" s="12">
        <v>53</v>
      </c>
      <c r="I17" s="12">
        <v>80</v>
      </c>
      <c r="J17" s="12">
        <v>30135</v>
      </c>
      <c r="K17" s="12">
        <v>40867.47</v>
      </c>
      <c r="L17" s="12">
        <v>1597155</v>
      </c>
      <c r="M17" s="12">
        <v>4</v>
      </c>
      <c r="N17" s="12">
        <v>10</v>
      </c>
      <c r="O17" s="12">
        <v>4.9000000000000004</v>
      </c>
      <c r="P17" s="14">
        <v>46160</v>
      </c>
      <c r="Q17" s="12" t="s">
        <v>1782</v>
      </c>
    </row>
    <row r="18" spans="1:17" x14ac:dyDescent="0.3">
      <c r="A18" s="12" t="s">
        <v>306</v>
      </c>
      <c r="B18" s="12" t="s">
        <v>307</v>
      </c>
      <c r="C18" s="12" t="s">
        <v>71</v>
      </c>
      <c r="D18" s="12" t="s">
        <v>1773</v>
      </c>
      <c r="E18" s="12" t="s">
        <v>1777</v>
      </c>
      <c r="F18" s="12">
        <v>215</v>
      </c>
      <c r="G18" s="12">
        <v>120</v>
      </c>
      <c r="H18" s="12">
        <v>95</v>
      </c>
      <c r="I18" s="12">
        <v>39</v>
      </c>
      <c r="J18" s="12">
        <v>15915</v>
      </c>
      <c r="K18" s="12">
        <v>21028.12</v>
      </c>
      <c r="L18" s="12">
        <v>1511925</v>
      </c>
      <c r="M18" s="12">
        <v>3</v>
      </c>
      <c r="N18" s="12">
        <v>10</v>
      </c>
      <c r="O18" s="12">
        <v>4.9000000000000004</v>
      </c>
      <c r="P18" s="14">
        <v>46182</v>
      </c>
      <c r="Q18" s="12" t="s">
        <v>1775</v>
      </c>
    </row>
    <row r="19" spans="1:17" x14ac:dyDescent="0.3">
      <c r="A19" s="12" t="s">
        <v>90</v>
      </c>
      <c r="B19" s="12" t="s">
        <v>91</v>
      </c>
      <c r="C19" s="12" t="s">
        <v>71</v>
      </c>
      <c r="D19" s="12" t="s">
        <v>1778</v>
      </c>
      <c r="E19" s="12" t="s">
        <v>1779</v>
      </c>
      <c r="F19" s="12">
        <v>81</v>
      </c>
      <c r="G19" s="12">
        <v>65</v>
      </c>
      <c r="H19" s="12">
        <v>16</v>
      </c>
      <c r="I19" s="12">
        <v>43</v>
      </c>
      <c r="J19" s="12">
        <v>7649</v>
      </c>
      <c r="K19" s="12">
        <v>10378.379999999999</v>
      </c>
      <c r="L19" s="12">
        <v>122384</v>
      </c>
      <c r="M19" s="12">
        <v>5</v>
      </c>
      <c r="N19" s="12">
        <v>11</v>
      </c>
      <c r="O19" s="12">
        <v>4.5999999999999996</v>
      </c>
      <c r="P19" s="14">
        <v>46025</v>
      </c>
      <c r="Q19" s="12" t="s">
        <v>1782</v>
      </c>
    </row>
    <row r="20" spans="1:17" x14ac:dyDescent="0.3">
      <c r="A20" s="12" t="s">
        <v>69</v>
      </c>
      <c r="B20" s="12" t="s">
        <v>70</v>
      </c>
      <c r="C20" s="12" t="s">
        <v>71</v>
      </c>
      <c r="D20" s="12" t="s">
        <v>1778</v>
      </c>
      <c r="E20" s="12" t="s">
        <v>1781</v>
      </c>
      <c r="F20" s="12">
        <v>228</v>
      </c>
      <c r="G20" s="12">
        <v>93</v>
      </c>
      <c r="H20" s="12">
        <v>135</v>
      </c>
      <c r="I20" s="12">
        <v>51</v>
      </c>
      <c r="J20" s="12">
        <v>31505</v>
      </c>
      <c r="K20" s="12">
        <v>41164.269999999997</v>
      </c>
      <c r="L20" s="12">
        <v>4253175</v>
      </c>
      <c r="M20" s="12">
        <v>2</v>
      </c>
      <c r="N20" s="12">
        <v>8</v>
      </c>
      <c r="O20" s="12">
        <v>4.5</v>
      </c>
      <c r="P20" s="14">
        <v>46172</v>
      </c>
      <c r="Q20" s="12" t="s">
        <v>1775</v>
      </c>
    </row>
    <row r="21" spans="1:17" x14ac:dyDescent="0.3">
      <c r="A21" s="12" t="s">
        <v>180</v>
      </c>
      <c r="B21" s="12" t="s">
        <v>181</v>
      </c>
      <c r="C21" s="12" t="s">
        <v>54</v>
      </c>
      <c r="D21" s="12" t="s">
        <v>1780</v>
      </c>
      <c r="E21" s="12" t="s">
        <v>1781</v>
      </c>
      <c r="F21" s="12">
        <v>315</v>
      </c>
      <c r="G21" s="12">
        <v>214</v>
      </c>
      <c r="H21" s="12">
        <v>101</v>
      </c>
      <c r="I21" s="12">
        <v>56</v>
      </c>
      <c r="J21" s="12">
        <v>48057</v>
      </c>
      <c r="K21" s="12">
        <v>58859.95</v>
      </c>
      <c r="L21" s="12">
        <v>4853757</v>
      </c>
      <c r="M21" s="12">
        <v>2</v>
      </c>
      <c r="N21" s="12">
        <v>5</v>
      </c>
      <c r="O21" s="12">
        <v>4.8</v>
      </c>
      <c r="P21" s="14">
        <v>46106</v>
      </c>
      <c r="Q21" s="12" t="s">
        <v>1775</v>
      </c>
    </row>
    <row r="22" spans="1:17" x14ac:dyDescent="0.3">
      <c r="A22" s="12" t="s">
        <v>816</v>
      </c>
      <c r="B22" s="12" t="s">
        <v>817</v>
      </c>
      <c r="C22" s="12" t="s">
        <v>54</v>
      </c>
      <c r="D22" s="12" t="s">
        <v>1778</v>
      </c>
      <c r="E22" s="12" t="s">
        <v>1777</v>
      </c>
      <c r="F22" s="12">
        <v>260</v>
      </c>
      <c r="G22" s="12">
        <v>145</v>
      </c>
      <c r="H22" s="12">
        <v>115</v>
      </c>
      <c r="I22" s="12">
        <v>23</v>
      </c>
      <c r="J22" s="12">
        <v>16945</v>
      </c>
      <c r="K22" s="12">
        <v>22753.05</v>
      </c>
      <c r="L22" s="12">
        <v>1948675</v>
      </c>
      <c r="M22" s="12">
        <v>0</v>
      </c>
      <c r="N22" s="12">
        <v>5</v>
      </c>
      <c r="O22" s="12">
        <v>4.2</v>
      </c>
      <c r="P22" s="14">
        <v>46105</v>
      </c>
      <c r="Q22" s="12" t="s">
        <v>1775</v>
      </c>
    </row>
    <row r="23" spans="1:17" x14ac:dyDescent="0.3">
      <c r="A23" s="12" t="s">
        <v>176</v>
      </c>
      <c r="B23" s="12" t="s">
        <v>177</v>
      </c>
      <c r="C23" s="12" t="s">
        <v>54</v>
      </c>
      <c r="D23" s="12" t="s">
        <v>1780</v>
      </c>
      <c r="E23" s="12" t="s">
        <v>1774</v>
      </c>
      <c r="F23" s="12">
        <v>92</v>
      </c>
      <c r="G23" s="12">
        <v>67</v>
      </c>
      <c r="H23" s="12">
        <v>25</v>
      </c>
      <c r="I23" s="12">
        <v>26</v>
      </c>
      <c r="J23" s="12">
        <v>36861</v>
      </c>
      <c r="K23" s="12">
        <v>48538.23</v>
      </c>
      <c r="L23" s="12">
        <v>921525</v>
      </c>
      <c r="M23" s="12">
        <v>5</v>
      </c>
      <c r="N23" s="12">
        <v>2</v>
      </c>
      <c r="O23" s="12">
        <v>4.5999999999999996</v>
      </c>
      <c r="P23" s="14">
        <v>46067</v>
      </c>
      <c r="Q23" s="12" t="s">
        <v>1782</v>
      </c>
    </row>
    <row r="24" spans="1:17" x14ac:dyDescent="0.3">
      <c r="A24" s="12" t="s">
        <v>160</v>
      </c>
      <c r="B24" s="12" t="s">
        <v>161</v>
      </c>
      <c r="C24" s="12" t="s">
        <v>102</v>
      </c>
      <c r="D24" s="12" t="s">
        <v>1773</v>
      </c>
      <c r="E24" s="12" t="s">
        <v>1781</v>
      </c>
      <c r="F24" s="12">
        <v>220</v>
      </c>
      <c r="G24" s="12">
        <v>13</v>
      </c>
      <c r="H24" s="12">
        <v>207</v>
      </c>
      <c r="I24" s="12">
        <v>42</v>
      </c>
      <c r="J24" s="12">
        <v>59312</v>
      </c>
      <c r="K24" s="12">
        <v>71335.399999999994</v>
      </c>
      <c r="L24" s="12">
        <v>12277584</v>
      </c>
      <c r="M24" s="12">
        <v>2</v>
      </c>
      <c r="N24" s="12">
        <v>7</v>
      </c>
      <c r="O24" s="12">
        <v>4.4000000000000004</v>
      </c>
      <c r="P24" s="14">
        <v>46200</v>
      </c>
      <c r="Q24" s="12" t="s">
        <v>1775</v>
      </c>
    </row>
    <row r="25" spans="1:17" x14ac:dyDescent="0.3">
      <c r="A25" s="12" t="s">
        <v>406</v>
      </c>
      <c r="B25" s="12" t="s">
        <v>407</v>
      </c>
      <c r="C25" s="12" t="s">
        <v>30</v>
      </c>
      <c r="D25" s="12" t="s">
        <v>1776</v>
      </c>
      <c r="E25" s="12" t="s">
        <v>1781</v>
      </c>
      <c r="F25" s="12">
        <v>322</v>
      </c>
      <c r="G25" s="12">
        <v>15</v>
      </c>
      <c r="H25" s="12">
        <v>307</v>
      </c>
      <c r="I25" s="12">
        <v>23</v>
      </c>
      <c r="J25" s="12">
        <v>35272</v>
      </c>
      <c r="K25" s="12">
        <v>41307.14</v>
      </c>
      <c r="L25" s="12">
        <v>10828504</v>
      </c>
      <c r="M25" s="12">
        <v>4</v>
      </c>
      <c r="N25" s="12">
        <v>3</v>
      </c>
      <c r="O25" s="12">
        <v>4.9000000000000004</v>
      </c>
      <c r="P25" s="14">
        <v>46075</v>
      </c>
      <c r="Q25" s="12" t="s">
        <v>1775</v>
      </c>
    </row>
    <row r="26" spans="1:17" x14ac:dyDescent="0.3">
      <c r="A26" s="12" t="s">
        <v>197</v>
      </c>
      <c r="B26" s="12" t="s">
        <v>198</v>
      </c>
      <c r="C26" s="12" t="s">
        <v>30</v>
      </c>
      <c r="D26" s="12" t="s">
        <v>1778</v>
      </c>
      <c r="E26" s="12" t="s">
        <v>1774</v>
      </c>
      <c r="F26" s="12">
        <v>428</v>
      </c>
      <c r="G26" s="12">
        <v>394</v>
      </c>
      <c r="H26" s="12">
        <v>34</v>
      </c>
      <c r="I26" s="12">
        <v>37</v>
      </c>
      <c r="J26" s="12">
        <v>57342</v>
      </c>
      <c r="K26" s="12">
        <v>66565.56</v>
      </c>
      <c r="L26" s="12">
        <v>1949628</v>
      </c>
      <c r="M26" s="12">
        <v>2</v>
      </c>
      <c r="N26" s="12">
        <v>11</v>
      </c>
      <c r="O26" s="12">
        <v>3.6</v>
      </c>
      <c r="P26" s="14">
        <v>46143</v>
      </c>
      <c r="Q26" s="12" t="s">
        <v>1782</v>
      </c>
    </row>
    <row r="27" spans="1:17" x14ac:dyDescent="0.3">
      <c r="A27" s="12" t="s">
        <v>100</v>
      </c>
      <c r="B27" s="12" t="s">
        <v>101</v>
      </c>
      <c r="C27" s="12" t="s">
        <v>102</v>
      </c>
      <c r="D27" s="12" t="s">
        <v>1776</v>
      </c>
      <c r="E27" s="12" t="s">
        <v>1779</v>
      </c>
      <c r="F27" s="12">
        <v>161</v>
      </c>
      <c r="G27" s="12">
        <v>35</v>
      </c>
      <c r="H27" s="12">
        <v>126</v>
      </c>
      <c r="I27" s="12">
        <v>25</v>
      </c>
      <c r="J27" s="12">
        <v>4572</v>
      </c>
      <c r="K27" s="12">
        <v>5880.02</v>
      </c>
      <c r="L27" s="12">
        <v>576072</v>
      </c>
      <c r="M27" s="12">
        <v>3</v>
      </c>
      <c r="N27" s="12">
        <v>4</v>
      </c>
      <c r="O27" s="12">
        <v>4.8</v>
      </c>
      <c r="P27" s="14">
        <v>46090</v>
      </c>
      <c r="Q27" s="12" t="s">
        <v>1775</v>
      </c>
    </row>
    <row r="28" spans="1:17" x14ac:dyDescent="0.3">
      <c r="A28" s="12" t="s">
        <v>387</v>
      </c>
      <c r="B28" s="12" t="s">
        <v>388</v>
      </c>
      <c r="C28" s="12" t="s">
        <v>54</v>
      </c>
      <c r="D28" s="12" t="s">
        <v>1776</v>
      </c>
      <c r="E28" s="12" t="s">
        <v>1774</v>
      </c>
      <c r="F28" s="12">
        <v>488</v>
      </c>
      <c r="G28" s="12">
        <v>92</v>
      </c>
      <c r="H28" s="12">
        <v>396</v>
      </c>
      <c r="I28" s="12">
        <v>50</v>
      </c>
      <c r="J28" s="12">
        <v>37616</v>
      </c>
      <c r="K28" s="12">
        <v>42311.68</v>
      </c>
      <c r="L28" s="12">
        <v>14895936</v>
      </c>
      <c r="M28" s="12">
        <v>4</v>
      </c>
      <c r="N28" s="12">
        <v>13</v>
      </c>
      <c r="O28" s="12">
        <v>3.6</v>
      </c>
      <c r="P28" s="14">
        <v>46201</v>
      </c>
      <c r="Q28" s="12" t="s">
        <v>1775</v>
      </c>
    </row>
    <row r="29" spans="1:17" x14ac:dyDescent="0.3">
      <c r="A29" s="12" t="s">
        <v>189</v>
      </c>
      <c r="B29" s="12" t="s">
        <v>190</v>
      </c>
      <c r="C29" s="12" t="s">
        <v>102</v>
      </c>
      <c r="D29" s="12" t="s">
        <v>1778</v>
      </c>
      <c r="E29" s="12" t="s">
        <v>1779</v>
      </c>
      <c r="F29" s="12">
        <v>285</v>
      </c>
      <c r="G29" s="12">
        <v>100</v>
      </c>
      <c r="H29" s="12">
        <v>185</v>
      </c>
      <c r="I29" s="12">
        <v>34</v>
      </c>
      <c r="J29" s="12">
        <v>32223</v>
      </c>
      <c r="K29" s="12">
        <v>40302.57</v>
      </c>
      <c r="L29" s="12">
        <v>5961255</v>
      </c>
      <c r="M29" s="12">
        <v>4</v>
      </c>
      <c r="N29" s="12">
        <v>14</v>
      </c>
      <c r="O29" s="12">
        <v>4.5</v>
      </c>
      <c r="P29" s="14">
        <v>46094</v>
      </c>
      <c r="Q29" s="12" t="s">
        <v>1775</v>
      </c>
    </row>
    <row r="30" spans="1:17" x14ac:dyDescent="0.3">
      <c r="A30" s="12" t="s">
        <v>141</v>
      </c>
      <c r="B30" s="12" t="s">
        <v>142</v>
      </c>
      <c r="C30" s="12" t="s">
        <v>71</v>
      </c>
      <c r="D30" s="12" t="s">
        <v>1780</v>
      </c>
      <c r="E30" s="12" t="s">
        <v>1774</v>
      </c>
      <c r="F30" s="12">
        <v>294</v>
      </c>
      <c r="G30" s="12">
        <v>44</v>
      </c>
      <c r="H30" s="12">
        <v>250</v>
      </c>
      <c r="I30" s="12">
        <v>44</v>
      </c>
      <c r="J30" s="12">
        <v>35284</v>
      </c>
      <c r="K30" s="12">
        <v>45491.72</v>
      </c>
      <c r="L30" s="12">
        <v>8821000</v>
      </c>
      <c r="M30" s="12">
        <v>5</v>
      </c>
      <c r="N30" s="12">
        <v>6</v>
      </c>
      <c r="O30" s="12">
        <v>4.5999999999999996</v>
      </c>
      <c r="P30" s="14">
        <v>46138</v>
      </c>
      <c r="Q30" s="12" t="s">
        <v>1775</v>
      </c>
    </row>
    <row r="31" spans="1:17" x14ac:dyDescent="0.3">
      <c r="A31" s="12" t="s">
        <v>135</v>
      </c>
      <c r="B31" s="12" t="s">
        <v>136</v>
      </c>
      <c r="C31" s="12" t="s">
        <v>30</v>
      </c>
      <c r="D31" s="12" t="s">
        <v>1780</v>
      </c>
      <c r="E31" s="12" t="s">
        <v>1777</v>
      </c>
      <c r="F31" s="12">
        <v>467</v>
      </c>
      <c r="G31" s="12">
        <v>308</v>
      </c>
      <c r="H31" s="12">
        <v>159</v>
      </c>
      <c r="I31" s="12">
        <v>58</v>
      </c>
      <c r="J31" s="12">
        <v>3854</v>
      </c>
      <c r="K31" s="12">
        <v>5116.82</v>
      </c>
      <c r="L31" s="12">
        <v>612786</v>
      </c>
      <c r="M31" s="12">
        <v>5</v>
      </c>
      <c r="N31" s="12">
        <v>4</v>
      </c>
      <c r="O31" s="12">
        <v>3.7</v>
      </c>
      <c r="P31" s="14">
        <v>46106</v>
      </c>
      <c r="Q31" s="12" t="s">
        <v>1775</v>
      </c>
    </row>
    <row r="32" spans="1:17" x14ac:dyDescent="0.3">
      <c r="A32" s="12" t="s">
        <v>367</v>
      </c>
      <c r="B32" s="12" t="s">
        <v>368</v>
      </c>
      <c r="C32" s="12" t="s">
        <v>71</v>
      </c>
      <c r="D32" s="12" t="s">
        <v>1780</v>
      </c>
      <c r="E32" s="12" t="s">
        <v>1781</v>
      </c>
      <c r="F32" s="12">
        <v>359</v>
      </c>
      <c r="G32" s="12">
        <v>312</v>
      </c>
      <c r="H32" s="12">
        <v>47</v>
      </c>
      <c r="I32" s="12">
        <v>33</v>
      </c>
      <c r="J32" s="12">
        <v>50164</v>
      </c>
      <c r="K32" s="12">
        <v>67384.77</v>
      </c>
      <c r="L32" s="12">
        <v>2357708</v>
      </c>
      <c r="M32" s="12">
        <v>0</v>
      </c>
      <c r="N32" s="12">
        <v>5</v>
      </c>
      <c r="O32" s="12">
        <v>4.0999999999999996</v>
      </c>
      <c r="P32" s="14">
        <v>46082</v>
      </c>
      <c r="Q32" s="12" t="s">
        <v>1775</v>
      </c>
    </row>
    <row r="33" spans="1:17" x14ac:dyDescent="0.3">
      <c r="A33" s="12" t="s">
        <v>210</v>
      </c>
      <c r="B33" s="12" t="s">
        <v>211</v>
      </c>
      <c r="C33" s="12" t="s">
        <v>102</v>
      </c>
      <c r="D33" s="12" t="s">
        <v>1778</v>
      </c>
      <c r="E33" s="12" t="s">
        <v>1779</v>
      </c>
      <c r="F33" s="12">
        <v>137</v>
      </c>
      <c r="G33" s="12">
        <v>79</v>
      </c>
      <c r="H33" s="12">
        <v>58</v>
      </c>
      <c r="I33" s="12">
        <v>26</v>
      </c>
      <c r="J33" s="12">
        <v>13110</v>
      </c>
      <c r="K33" s="12">
        <v>15271.56</v>
      </c>
      <c r="L33" s="12">
        <v>760380</v>
      </c>
      <c r="M33" s="12">
        <v>1</v>
      </c>
      <c r="N33" s="12">
        <v>3</v>
      </c>
      <c r="O33" s="12">
        <v>4.8</v>
      </c>
      <c r="P33" s="14">
        <v>46073</v>
      </c>
      <c r="Q33" s="12" t="s">
        <v>1775</v>
      </c>
    </row>
    <row r="34" spans="1:17" x14ac:dyDescent="0.3">
      <c r="A34" s="12" t="s">
        <v>735</v>
      </c>
      <c r="B34" s="12" t="s">
        <v>736</v>
      </c>
      <c r="C34" s="12" t="s">
        <v>54</v>
      </c>
      <c r="D34" s="12" t="s">
        <v>1780</v>
      </c>
      <c r="E34" s="12" t="s">
        <v>1779</v>
      </c>
      <c r="F34" s="12">
        <v>59</v>
      </c>
      <c r="G34" s="12">
        <v>26</v>
      </c>
      <c r="H34" s="12">
        <v>33</v>
      </c>
      <c r="I34" s="12">
        <v>24</v>
      </c>
      <c r="J34" s="12">
        <v>29540</v>
      </c>
      <c r="K34" s="12">
        <v>37922.03</v>
      </c>
      <c r="L34" s="12">
        <v>974820</v>
      </c>
      <c r="M34" s="12">
        <v>1</v>
      </c>
      <c r="N34" s="12">
        <v>5</v>
      </c>
      <c r="O34" s="12">
        <v>4.5</v>
      </c>
      <c r="P34" s="14">
        <v>46088</v>
      </c>
      <c r="Q34" s="12" t="s">
        <v>1775</v>
      </c>
    </row>
    <row r="35" spans="1:17" x14ac:dyDescent="0.3">
      <c r="A35" s="12" t="s">
        <v>160</v>
      </c>
      <c r="B35" s="12" t="s">
        <v>161</v>
      </c>
      <c r="C35" s="12" t="s">
        <v>102</v>
      </c>
      <c r="D35" s="12" t="s">
        <v>1776</v>
      </c>
      <c r="E35" s="12" t="s">
        <v>1779</v>
      </c>
      <c r="F35" s="12">
        <v>162</v>
      </c>
      <c r="G35" s="12">
        <v>11</v>
      </c>
      <c r="H35" s="12">
        <v>151</v>
      </c>
      <c r="I35" s="12">
        <v>67</v>
      </c>
      <c r="J35" s="12">
        <v>30029</v>
      </c>
      <c r="K35" s="12">
        <v>36683.89</v>
      </c>
      <c r="L35" s="12">
        <v>4534379</v>
      </c>
      <c r="M35" s="12">
        <v>1</v>
      </c>
      <c r="N35" s="12">
        <v>5</v>
      </c>
      <c r="O35" s="12">
        <v>4.5</v>
      </c>
      <c r="P35" s="14">
        <v>46070</v>
      </c>
      <c r="Q35" s="12" t="s">
        <v>1775</v>
      </c>
    </row>
    <row r="36" spans="1:17" x14ac:dyDescent="0.3">
      <c r="A36" s="12" t="s">
        <v>52</v>
      </c>
      <c r="B36" s="12" t="s">
        <v>53</v>
      </c>
      <c r="C36" s="12" t="s">
        <v>54</v>
      </c>
      <c r="D36" s="12" t="s">
        <v>1778</v>
      </c>
      <c r="E36" s="12" t="s">
        <v>1781</v>
      </c>
      <c r="F36" s="12">
        <v>251</v>
      </c>
      <c r="G36" s="12">
        <v>169</v>
      </c>
      <c r="H36" s="12">
        <v>82</v>
      </c>
      <c r="I36" s="12">
        <v>66</v>
      </c>
      <c r="J36" s="12">
        <v>13847</v>
      </c>
      <c r="K36" s="12">
        <v>16314.64</v>
      </c>
      <c r="L36" s="12">
        <v>1135454</v>
      </c>
      <c r="M36" s="12">
        <v>4</v>
      </c>
      <c r="N36" s="12">
        <v>12</v>
      </c>
      <c r="O36" s="12">
        <v>4.5</v>
      </c>
      <c r="P36" s="14">
        <v>46044</v>
      </c>
      <c r="Q36" s="12" t="s">
        <v>1775</v>
      </c>
    </row>
    <row r="37" spans="1:17" x14ac:dyDescent="0.3">
      <c r="A37" s="12" t="s">
        <v>391</v>
      </c>
      <c r="B37" s="12" t="s">
        <v>392</v>
      </c>
      <c r="C37" s="12" t="s">
        <v>54</v>
      </c>
      <c r="D37" s="12" t="s">
        <v>1776</v>
      </c>
      <c r="E37" s="12" t="s">
        <v>1781</v>
      </c>
      <c r="F37" s="12">
        <v>67</v>
      </c>
      <c r="G37" s="12">
        <v>66</v>
      </c>
      <c r="H37" s="12">
        <v>1</v>
      </c>
      <c r="I37" s="12">
        <v>65</v>
      </c>
      <c r="J37" s="12">
        <v>57637</v>
      </c>
      <c r="K37" s="12">
        <v>72688.42</v>
      </c>
      <c r="L37" s="12">
        <v>57637</v>
      </c>
      <c r="M37" s="12">
        <v>1</v>
      </c>
      <c r="N37" s="12">
        <v>7</v>
      </c>
      <c r="O37" s="12">
        <v>4.5</v>
      </c>
      <c r="P37" s="14">
        <v>46028</v>
      </c>
      <c r="Q37" s="12" t="s">
        <v>1782</v>
      </c>
    </row>
    <row r="38" spans="1:17" x14ac:dyDescent="0.3">
      <c r="A38" s="12" t="s">
        <v>156</v>
      </c>
      <c r="B38" s="12" t="s">
        <v>157</v>
      </c>
      <c r="C38" s="12" t="s">
        <v>30</v>
      </c>
      <c r="D38" s="12" t="s">
        <v>1780</v>
      </c>
      <c r="E38" s="12" t="s">
        <v>1779</v>
      </c>
      <c r="F38" s="12">
        <v>323</v>
      </c>
      <c r="G38" s="12">
        <v>62</v>
      </c>
      <c r="H38" s="12">
        <v>261</v>
      </c>
      <c r="I38" s="12">
        <v>45</v>
      </c>
      <c r="J38" s="12">
        <v>1590</v>
      </c>
      <c r="K38" s="12">
        <v>2121.67</v>
      </c>
      <c r="L38" s="12">
        <v>414990</v>
      </c>
      <c r="M38" s="12">
        <v>5</v>
      </c>
      <c r="N38" s="12">
        <v>9</v>
      </c>
      <c r="O38" s="12">
        <v>3.5</v>
      </c>
      <c r="P38" s="14">
        <v>46039</v>
      </c>
      <c r="Q38" s="12" t="s">
        <v>1775</v>
      </c>
    </row>
    <row r="39" spans="1:17" x14ac:dyDescent="0.3">
      <c r="A39" s="12" t="s">
        <v>411</v>
      </c>
      <c r="B39" s="12" t="s">
        <v>412</v>
      </c>
      <c r="C39" s="12" t="s">
        <v>54</v>
      </c>
      <c r="D39" s="12" t="s">
        <v>1776</v>
      </c>
      <c r="E39" s="12" t="s">
        <v>1779</v>
      </c>
      <c r="F39" s="12">
        <v>452</v>
      </c>
      <c r="G39" s="12">
        <v>327</v>
      </c>
      <c r="H39" s="12">
        <v>125</v>
      </c>
      <c r="I39" s="12">
        <v>79</v>
      </c>
      <c r="J39" s="12">
        <v>41045</v>
      </c>
      <c r="K39" s="12">
        <v>52558.51</v>
      </c>
      <c r="L39" s="12">
        <v>5130625</v>
      </c>
      <c r="M39" s="12">
        <v>3</v>
      </c>
      <c r="N39" s="12">
        <v>2</v>
      </c>
      <c r="O39" s="12">
        <v>3.6</v>
      </c>
      <c r="P39" s="14">
        <v>46086</v>
      </c>
      <c r="Q39" s="12" t="s">
        <v>1775</v>
      </c>
    </row>
    <row r="40" spans="1:17" x14ac:dyDescent="0.3">
      <c r="A40" s="12" t="s">
        <v>85</v>
      </c>
      <c r="B40" s="12" t="s">
        <v>86</v>
      </c>
      <c r="C40" s="12" t="s">
        <v>71</v>
      </c>
      <c r="D40" s="12" t="s">
        <v>1780</v>
      </c>
      <c r="E40" s="12" t="s">
        <v>1774</v>
      </c>
      <c r="F40" s="12">
        <v>442</v>
      </c>
      <c r="G40" s="12">
        <v>333</v>
      </c>
      <c r="H40" s="12">
        <v>109</v>
      </c>
      <c r="I40" s="12">
        <v>33</v>
      </c>
      <c r="J40" s="12">
        <v>43276</v>
      </c>
      <c r="K40" s="12">
        <v>54549.19</v>
      </c>
      <c r="L40" s="12">
        <v>4717084</v>
      </c>
      <c r="M40" s="12">
        <v>4</v>
      </c>
      <c r="N40" s="12">
        <v>12</v>
      </c>
      <c r="O40" s="12">
        <v>4.5999999999999996</v>
      </c>
      <c r="P40" s="14">
        <v>46136</v>
      </c>
      <c r="Q40" s="12" t="s">
        <v>1775</v>
      </c>
    </row>
    <row r="41" spans="1:17" x14ac:dyDescent="0.3">
      <c r="A41" s="12" t="s">
        <v>284</v>
      </c>
      <c r="B41" s="12" t="s">
        <v>285</v>
      </c>
      <c r="C41" s="12" t="s">
        <v>54</v>
      </c>
      <c r="D41" s="12" t="s">
        <v>1773</v>
      </c>
      <c r="E41" s="12" t="s">
        <v>1781</v>
      </c>
      <c r="F41" s="12">
        <v>476</v>
      </c>
      <c r="G41" s="12">
        <v>36</v>
      </c>
      <c r="H41" s="12">
        <v>440</v>
      </c>
      <c r="I41" s="12">
        <v>77</v>
      </c>
      <c r="J41" s="12">
        <v>54325</v>
      </c>
      <c r="K41" s="12">
        <v>64777.18</v>
      </c>
      <c r="L41" s="12">
        <v>23903000</v>
      </c>
      <c r="M41" s="12">
        <v>0</v>
      </c>
      <c r="N41" s="12">
        <v>3</v>
      </c>
      <c r="O41" s="12">
        <v>4.3</v>
      </c>
      <c r="P41" s="14">
        <v>46201</v>
      </c>
      <c r="Q41" s="12" t="s">
        <v>1775</v>
      </c>
    </row>
    <row r="42" spans="1:17" x14ac:dyDescent="0.3">
      <c r="A42" s="12" t="s">
        <v>451</v>
      </c>
      <c r="B42" s="12" t="s">
        <v>452</v>
      </c>
      <c r="C42" s="12" t="s">
        <v>30</v>
      </c>
      <c r="D42" s="12" t="s">
        <v>1780</v>
      </c>
      <c r="E42" s="12" t="s">
        <v>1777</v>
      </c>
      <c r="F42" s="12">
        <v>450</v>
      </c>
      <c r="G42" s="12">
        <v>209</v>
      </c>
      <c r="H42" s="12">
        <v>241</v>
      </c>
      <c r="I42" s="12">
        <v>78</v>
      </c>
      <c r="J42" s="12">
        <v>17386</v>
      </c>
      <c r="K42" s="12">
        <v>22791.29</v>
      </c>
      <c r="L42" s="12">
        <v>4190026</v>
      </c>
      <c r="M42" s="12">
        <v>2</v>
      </c>
      <c r="N42" s="12">
        <v>8</v>
      </c>
      <c r="O42" s="12">
        <v>4.2</v>
      </c>
      <c r="P42" s="14">
        <v>46127</v>
      </c>
      <c r="Q42" s="12" t="s">
        <v>1775</v>
      </c>
    </row>
    <row r="43" spans="1:17" x14ac:dyDescent="0.3">
      <c r="A43" s="12" t="s">
        <v>295</v>
      </c>
      <c r="B43" s="12" t="s">
        <v>296</v>
      </c>
      <c r="C43" s="12" t="s">
        <v>30</v>
      </c>
      <c r="D43" s="12" t="s">
        <v>1773</v>
      </c>
      <c r="E43" s="12" t="s">
        <v>1781</v>
      </c>
      <c r="F43" s="12">
        <v>113</v>
      </c>
      <c r="G43" s="12">
        <v>29</v>
      </c>
      <c r="H43" s="12">
        <v>84</v>
      </c>
      <c r="I43" s="12">
        <v>54</v>
      </c>
      <c r="J43" s="12">
        <v>4076</v>
      </c>
      <c r="K43" s="12">
        <v>5239.95</v>
      </c>
      <c r="L43" s="12">
        <v>342384</v>
      </c>
      <c r="M43" s="12">
        <v>2</v>
      </c>
      <c r="N43" s="12">
        <v>12</v>
      </c>
      <c r="O43" s="12">
        <v>4.3</v>
      </c>
      <c r="P43" s="14">
        <v>46074</v>
      </c>
      <c r="Q43" s="12" t="s">
        <v>1775</v>
      </c>
    </row>
    <row r="44" spans="1:17" x14ac:dyDescent="0.3">
      <c r="A44" s="12" t="s">
        <v>486</v>
      </c>
      <c r="B44" s="12" t="s">
        <v>487</v>
      </c>
      <c r="C44" s="12" t="s">
        <v>71</v>
      </c>
      <c r="D44" s="12" t="s">
        <v>1776</v>
      </c>
      <c r="E44" s="12" t="s">
        <v>1781</v>
      </c>
      <c r="F44" s="12">
        <v>75</v>
      </c>
      <c r="G44" s="12">
        <v>50</v>
      </c>
      <c r="H44" s="12">
        <v>25</v>
      </c>
      <c r="I44" s="12">
        <v>64</v>
      </c>
      <c r="J44" s="12">
        <v>30197</v>
      </c>
      <c r="K44" s="12">
        <v>40006.230000000003</v>
      </c>
      <c r="L44" s="12">
        <v>754925</v>
      </c>
      <c r="M44" s="12">
        <v>4</v>
      </c>
      <c r="N44" s="12">
        <v>13</v>
      </c>
      <c r="O44" s="12">
        <v>4.0999999999999996</v>
      </c>
      <c r="P44" s="14">
        <v>46128</v>
      </c>
      <c r="Q44" s="12" t="s">
        <v>1782</v>
      </c>
    </row>
    <row r="45" spans="1:17" x14ac:dyDescent="0.3">
      <c r="A45" s="12" t="s">
        <v>180</v>
      </c>
      <c r="B45" s="12" t="s">
        <v>181</v>
      </c>
      <c r="C45" s="12" t="s">
        <v>54</v>
      </c>
      <c r="D45" s="12" t="s">
        <v>1776</v>
      </c>
      <c r="E45" s="12" t="s">
        <v>1779</v>
      </c>
      <c r="F45" s="12">
        <v>97</v>
      </c>
      <c r="G45" s="12">
        <v>10</v>
      </c>
      <c r="H45" s="12">
        <v>87</v>
      </c>
      <c r="I45" s="12">
        <v>64</v>
      </c>
      <c r="J45" s="12">
        <v>1660</v>
      </c>
      <c r="K45" s="12">
        <v>1838.92</v>
      </c>
      <c r="L45" s="12">
        <v>144420</v>
      </c>
      <c r="M45" s="12">
        <v>5</v>
      </c>
      <c r="N45" s="12">
        <v>12</v>
      </c>
      <c r="O45" s="12">
        <v>4</v>
      </c>
      <c r="P45" s="14">
        <v>46180</v>
      </c>
      <c r="Q45" s="12" t="s">
        <v>1775</v>
      </c>
    </row>
    <row r="46" spans="1:17" x14ac:dyDescent="0.3">
      <c r="A46" s="12" t="s">
        <v>238</v>
      </c>
      <c r="B46" s="12" t="s">
        <v>239</v>
      </c>
      <c r="C46" s="12" t="s">
        <v>71</v>
      </c>
      <c r="D46" s="12" t="s">
        <v>1773</v>
      </c>
      <c r="E46" s="12" t="s">
        <v>1779</v>
      </c>
      <c r="F46" s="12">
        <v>426</v>
      </c>
      <c r="G46" s="12">
        <v>159</v>
      </c>
      <c r="H46" s="12">
        <v>267</v>
      </c>
      <c r="I46" s="12">
        <v>24</v>
      </c>
      <c r="J46" s="12">
        <v>59944</v>
      </c>
      <c r="K46" s="12">
        <v>78165.350000000006</v>
      </c>
      <c r="L46" s="12">
        <v>16005048</v>
      </c>
      <c r="M46" s="12">
        <v>3</v>
      </c>
      <c r="N46" s="12">
        <v>11</v>
      </c>
      <c r="O46" s="12">
        <v>3.5</v>
      </c>
      <c r="P46" s="14">
        <v>46103</v>
      </c>
      <c r="Q46" s="12" t="s">
        <v>1775</v>
      </c>
    </row>
    <row r="47" spans="1:17" x14ac:dyDescent="0.3">
      <c r="A47" s="12" t="s">
        <v>566</v>
      </c>
      <c r="B47" s="12" t="s">
        <v>567</v>
      </c>
      <c r="C47" s="12" t="s">
        <v>54</v>
      </c>
      <c r="D47" s="12" t="s">
        <v>1778</v>
      </c>
      <c r="E47" s="12" t="s">
        <v>1774</v>
      </c>
      <c r="F47" s="12">
        <v>457</v>
      </c>
      <c r="G47" s="12">
        <v>116</v>
      </c>
      <c r="H47" s="12">
        <v>341</v>
      </c>
      <c r="I47" s="12">
        <v>49</v>
      </c>
      <c r="J47" s="12">
        <v>42822</v>
      </c>
      <c r="K47" s="12">
        <v>56772.24</v>
      </c>
      <c r="L47" s="12">
        <v>14602302</v>
      </c>
      <c r="M47" s="12">
        <v>1</v>
      </c>
      <c r="N47" s="12">
        <v>14</v>
      </c>
      <c r="O47" s="12">
        <v>4.7</v>
      </c>
      <c r="P47" s="14">
        <v>46028</v>
      </c>
      <c r="Q47" s="12" t="s">
        <v>1775</v>
      </c>
    </row>
    <row r="48" spans="1:17" x14ac:dyDescent="0.3">
      <c r="A48" s="12" t="s">
        <v>168</v>
      </c>
      <c r="B48" s="12" t="s">
        <v>169</v>
      </c>
      <c r="C48" s="12" t="s">
        <v>102</v>
      </c>
      <c r="D48" s="12" t="s">
        <v>1773</v>
      </c>
      <c r="E48" s="12" t="s">
        <v>1781</v>
      </c>
      <c r="F48" s="12">
        <v>141</v>
      </c>
      <c r="G48" s="12">
        <v>93</v>
      </c>
      <c r="H48" s="12">
        <v>48</v>
      </c>
      <c r="I48" s="12">
        <v>77</v>
      </c>
      <c r="J48" s="12">
        <v>19775</v>
      </c>
      <c r="K48" s="12">
        <v>21910.73</v>
      </c>
      <c r="L48" s="12">
        <v>949200</v>
      </c>
      <c r="M48" s="12">
        <v>4</v>
      </c>
      <c r="N48" s="12">
        <v>7</v>
      </c>
      <c r="O48" s="12">
        <v>4.4000000000000004</v>
      </c>
      <c r="P48" s="14">
        <v>46181</v>
      </c>
      <c r="Q48" s="12" t="s">
        <v>1782</v>
      </c>
    </row>
    <row r="49" spans="1:17" x14ac:dyDescent="0.3">
      <c r="A49" s="12" t="s">
        <v>95</v>
      </c>
      <c r="B49" s="12" t="s">
        <v>96</v>
      </c>
      <c r="C49" s="12" t="s">
        <v>54</v>
      </c>
      <c r="D49" s="12" t="s">
        <v>1778</v>
      </c>
      <c r="E49" s="12" t="s">
        <v>1779</v>
      </c>
      <c r="F49" s="12">
        <v>148</v>
      </c>
      <c r="G49" s="12">
        <v>118</v>
      </c>
      <c r="H49" s="12">
        <v>30</v>
      </c>
      <c r="I49" s="12">
        <v>41</v>
      </c>
      <c r="J49" s="12">
        <v>52701</v>
      </c>
      <c r="K49" s="12">
        <v>70971.7</v>
      </c>
      <c r="L49" s="12">
        <v>1581030</v>
      </c>
      <c r="M49" s="12">
        <v>2</v>
      </c>
      <c r="N49" s="12">
        <v>4</v>
      </c>
      <c r="O49" s="12">
        <v>5</v>
      </c>
      <c r="P49" s="14">
        <v>46094</v>
      </c>
      <c r="Q49" s="12" t="s">
        <v>1782</v>
      </c>
    </row>
    <row r="50" spans="1:17" x14ac:dyDescent="0.3">
      <c r="A50" s="12" t="s">
        <v>69</v>
      </c>
      <c r="B50" s="12" t="s">
        <v>70</v>
      </c>
      <c r="C50" s="12" t="s">
        <v>71</v>
      </c>
      <c r="D50" s="12" t="s">
        <v>1780</v>
      </c>
      <c r="E50" s="12" t="s">
        <v>1779</v>
      </c>
      <c r="F50" s="12">
        <v>275</v>
      </c>
      <c r="G50" s="12">
        <v>67</v>
      </c>
      <c r="H50" s="12">
        <v>208</v>
      </c>
      <c r="I50" s="12">
        <v>68</v>
      </c>
      <c r="J50" s="12">
        <v>38632</v>
      </c>
      <c r="K50" s="12">
        <v>49752.41</v>
      </c>
      <c r="L50" s="12">
        <v>8035456</v>
      </c>
      <c r="M50" s="12">
        <v>2</v>
      </c>
      <c r="N50" s="12">
        <v>13</v>
      </c>
      <c r="O50" s="12">
        <v>4</v>
      </c>
      <c r="P50" s="14">
        <v>46165</v>
      </c>
      <c r="Q50" s="12" t="s">
        <v>1775</v>
      </c>
    </row>
    <row r="51" spans="1:17" x14ac:dyDescent="0.3">
      <c r="A51" s="12" t="s">
        <v>312</v>
      </c>
      <c r="B51" s="12" t="s">
        <v>313</v>
      </c>
      <c r="C51" s="12" t="s">
        <v>54</v>
      </c>
      <c r="D51" s="12" t="s">
        <v>1778</v>
      </c>
      <c r="E51" s="12" t="s">
        <v>1774</v>
      </c>
      <c r="F51" s="12">
        <v>365</v>
      </c>
      <c r="G51" s="12">
        <v>311</v>
      </c>
      <c r="H51" s="12">
        <v>54</v>
      </c>
      <c r="I51" s="12">
        <v>75</v>
      </c>
      <c r="J51" s="12">
        <v>11404</v>
      </c>
      <c r="K51" s="12">
        <v>15611.14</v>
      </c>
      <c r="L51" s="12">
        <v>615816</v>
      </c>
      <c r="M51" s="12">
        <v>3</v>
      </c>
      <c r="N51" s="12">
        <v>15</v>
      </c>
      <c r="O51" s="12">
        <v>3.5</v>
      </c>
      <c r="P51" s="14">
        <v>46113</v>
      </c>
      <c r="Q51" s="12" t="s">
        <v>1782</v>
      </c>
    </row>
    <row r="52" spans="1:17" x14ac:dyDescent="0.3">
      <c r="A52" s="12" t="s">
        <v>231</v>
      </c>
      <c r="B52" s="12" t="s">
        <v>232</v>
      </c>
      <c r="C52" s="12" t="s">
        <v>54</v>
      </c>
      <c r="D52" s="12" t="s">
        <v>1780</v>
      </c>
      <c r="E52" s="12" t="s">
        <v>1777</v>
      </c>
      <c r="F52" s="12">
        <v>468</v>
      </c>
      <c r="G52" s="12">
        <v>71</v>
      </c>
      <c r="H52" s="12">
        <v>397</v>
      </c>
      <c r="I52" s="12">
        <v>60</v>
      </c>
      <c r="J52" s="12">
        <v>59156</v>
      </c>
      <c r="K52" s="12">
        <v>66183.81</v>
      </c>
      <c r="L52" s="12">
        <v>23484932</v>
      </c>
      <c r="M52" s="12">
        <v>3</v>
      </c>
      <c r="N52" s="12">
        <v>11</v>
      </c>
      <c r="O52" s="12">
        <v>4.2</v>
      </c>
      <c r="P52" s="14">
        <v>46128</v>
      </c>
      <c r="Q52" s="12" t="s">
        <v>1775</v>
      </c>
    </row>
    <row r="53" spans="1:17" x14ac:dyDescent="0.3">
      <c r="A53" s="12" t="s">
        <v>253</v>
      </c>
      <c r="B53" s="12" t="s">
        <v>254</v>
      </c>
      <c r="C53" s="12" t="s">
        <v>54</v>
      </c>
      <c r="D53" s="12" t="s">
        <v>1778</v>
      </c>
      <c r="E53" s="12" t="s">
        <v>1779</v>
      </c>
      <c r="F53" s="12">
        <v>339</v>
      </c>
      <c r="G53" s="12">
        <v>211</v>
      </c>
      <c r="H53" s="12">
        <v>128</v>
      </c>
      <c r="I53" s="12">
        <v>48</v>
      </c>
      <c r="J53" s="12">
        <v>11826</v>
      </c>
      <c r="K53" s="12">
        <v>13925.45</v>
      </c>
      <c r="L53" s="12">
        <v>1513728</v>
      </c>
      <c r="M53" s="12">
        <v>5</v>
      </c>
      <c r="N53" s="12">
        <v>6</v>
      </c>
      <c r="O53" s="12">
        <v>4.0999999999999996</v>
      </c>
      <c r="P53" s="14">
        <v>46140</v>
      </c>
      <c r="Q53" s="12" t="s">
        <v>1775</v>
      </c>
    </row>
    <row r="54" spans="1:17" x14ac:dyDescent="0.3">
      <c r="A54" s="12" t="s">
        <v>265</v>
      </c>
      <c r="B54" s="12" t="s">
        <v>266</v>
      </c>
      <c r="C54" s="12" t="s">
        <v>71</v>
      </c>
      <c r="D54" s="12" t="s">
        <v>1773</v>
      </c>
      <c r="E54" s="12" t="s">
        <v>1781</v>
      </c>
      <c r="F54" s="12">
        <v>204</v>
      </c>
      <c r="G54" s="12">
        <v>66</v>
      </c>
      <c r="H54" s="12">
        <v>138</v>
      </c>
      <c r="I54" s="12">
        <v>57</v>
      </c>
      <c r="J54" s="12">
        <v>3180</v>
      </c>
      <c r="K54" s="12">
        <v>4355.4799999999996</v>
      </c>
      <c r="L54" s="12">
        <v>438840</v>
      </c>
      <c r="M54" s="12">
        <v>2</v>
      </c>
      <c r="N54" s="12">
        <v>12</v>
      </c>
      <c r="O54" s="12">
        <v>4.5</v>
      </c>
      <c r="P54" s="14">
        <v>46069</v>
      </c>
      <c r="Q54" s="12" t="s">
        <v>1775</v>
      </c>
    </row>
    <row r="55" spans="1:17" x14ac:dyDescent="0.3">
      <c r="A55" s="12" t="s">
        <v>131</v>
      </c>
      <c r="B55" s="12" t="s">
        <v>132</v>
      </c>
      <c r="C55" s="12" t="s">
        <v>71</v>
      </c>
      <c r="D55" s="12" t="s">
        <v>1780</v>
      </c>
      <c r="E55" s="12" t="s">
        <v>1774</v>
      </c>
      <c r="F55" s="12">
        <v>114</v>
      </c>
      <c r="G55" s="12">
        <v>90</v>
      </c>
      <c r="H55" s="12">
        <v>24</v>
      </c>
      <c r="I55" s="12">
        <v>65</v>
      </c>
      <c r="J55" s="12">
        <v>48379</v>
      </c>
      <c r="K55" s="12">
        <v>63991.7</v>
      </c>
      <c r="L55" s="12">
        <v>1161096</v>
      </c>
      <c r="M55" s="12">
        <v>0</v>
      </c>
      <c r="N55" s="12">
        <v>3</v>
      </c>
      <c r="O55" s="12">
        <v>4.2</v>
      </c>
      <c r="P55" s="14">
        <v>46086</v>
      </c>
      <c r="Q55" s="12" t="s">
        <v>1782</v>
      </c>
    </row>
    <row r="56" spans="1:17" x14ac:dyDescent="0.3">
      <c r="A56" s="12" t="s">
        <v>401</v>
      </c>
      <c r="B56" s="12" t="s">
        <v>402</v>
      </c>
      <c r="C56" s="12" t="s">
        <v>102</v>
      </c>
      <c r="D56" s="12" t="s">
        <v>1780</v>
      </c>
      <c r="E56" s="12" t="s">
        <v>1779</v>
      </c>
      <c r="F56" s="12">
        <v>121</v>
      </c>
      <c r="G56" s="12">
        <v>65</v>
      </c>
      <c r="H56" s="12">
        <v>56</v>
      </c>
      <c r="I56" s="12">
        <v>74</v>
      </c>
      <c r="J56" s="12">
        <v>14064</v>
      </c>
      <c r="K56" s="12">
        <v>18042.099999999999</v>
      </c>
      <c r="L56" s="12">
        <v>787584</v>
      </c>
      <c r="M56" s="12">
        <v>0</v>
      </c>
      <c r="N56" s="12">
        <v>6</v>
      </c>
      <c r="O56" s="12">
        <v>3.6</v>
      </c>
      <c r="P56" s="14">
        <v>46024</v>
      </c>
      <c r="Q56" s="12" t="s">
        <v>1782</v>
      </c>
    </row>
    <row r="57" spans="1:17" x14ac:dyDescent="0.3">
      <c r="A57" s="12" t="s">
        <v>546</v>
      </c>
      <c r="B57" s="12" t="s">
        <v>547</v>
      </c>
      <c r="C57" s="12" t="s">
        <v>71</v>
      </c>
      <c r="D57" s="12" t="s">
        <v>1776</v>
      </c>
      <c r="E57" s="12" t="s">
        <v>1779</v>
      </c>
      <c r="F57" s="12">
        <v>316</v>
      </c>
      <c r="G57" s="12">
        <v>311</v>
      </c>
      <c r="H57" s="12">
        <v>5</v>
      </c>
      <c r="I57" s="12">
        <v>63</v>
      </c>
      <c r="J57" s="12">
        <v>51609</v>
      </c>
      <c r="K57" s="12">
        <v>68684.820000000007</v>
      </c>
      <c r="L57" s="12">
        <v>258045</v>
      </c>
      <c r="M57" s="12">
        <v>0</v>
      </c>
      <c r="N57" s="12">
        <v>3</v>
      </c>
      <c r="O57" s="12">
        <v>4.4000000000000004</v>
      </c>
      <c r="P57" s="14">
        <v>46034</v>
      </c>
      <c r="Q57" s="12" t="s">
        <v>1782</v>
      </c>
    </row>
    <row r="58" spans="1:17" x14ac:dyDescent="0.3">
      <c r="A58" s="12" t="s">
        <v>245</v>
      </c>
      <c r="B58" s="12" t="s">
        <v>246</v>
      </c>
      <c r="C58" s="12" t="s">
        <v>54</v>
      </c>
      <c r="D58" s="12" t="s">
        <v>1778</v>
      </c>
      <c r="E58" s="12" t="s">
        <v>1781</v>
      </c>
      <c r="F58" s="12">
        <v>387</v>
      </c>
      <c r="G58" s="12">
        <v>104</v>
      </c>
      <c r="H58" s="12">
        <v>283</v>
      </c>
      <c r="I58" s="12">
        <v>62</v>
      </c>
      <c r="J58" s="12">
        <v>27117</v>
      </c>
      <c r="K58" s="12">
        <v>33934.29</v>
      </c>
      <c r="L58" s="12">
        <v>7674111</v>
      </c>
      <c r="M58" s="12">
        <v>4</v>
      </c>
      <c r="N58" s="12">
        <v>7</v>
      </c>
      <c r="O58" s="12">
        <v>3.9</v>
      </c>
      <c r="P58" s="14">
        <v>46074</v>
      </c>
      <c r="Q58" s="12" t="s">
        <v>1775</v>
      </c>
    </row>
    <row r="59" spans="1:17" x14ac:dyDescent="0.3">
      <c r="A59" s="12" t="s">
        <v>1359</v>
      </c>
      <c r="B59" s="12" t="s">
        <v>1360</v>
      </c>
      <c r="C59" s="12" t="s">
        <v>71</v>
      </c>
      <c r="D59" s="12" t="s">
        <v>1773</v>
      </c>
      <c r="E59" s="12" t="s">
        <v>1774</v>
      </c>
      <c r="F59" s="12">
        <v>376</v>
      </c>
      <c r="G59" s="12">
        <v>292</v>
      </c>
      <c r="H59" s="12">
        <v>84</v>
      </c>
      <c r="I59" s="12">
        <v>35</v>
      </c>
      <c r="J59" s="12">
        <v>10721</v>
      </c>
      <c r="K59" s="12">
        <v>13785.89</v>
      </c>
      <c r="L59" s="12">
        <v>900564</v>
      </c>
      <c r="M59" s="12">
        <v>4</v>
      </c>
      <c r="N59" s="12">
        <v>14</v>
      </c>
      <c r="O59" s="12">
        <v>4.0999999999999996</v>
      </c>
      <c r="P59" s="14">
        <v>46123</v>
      </c>
      <c r="Q59" s="12" t="s">
        <v>1775</v>
      </c>
    </row>
    <row r="60" spans="1:17" x14ac:dyDescent="0.3">
      <c r="A60" s="12" t="s">
        <v>193</v>
      </c>
      <c r="B60" s="12" t="s">
        <v>194</v>
      </c>
      <c r="C60" s="12" t="s">
        <v>71</v>
      </c>
      <c r="D60" s="12" t="s">
        <v>1773</v>
      </c>
      <c r="E60" s="12" t="s">
        <v>1774</v>
      </c>
      <c r="F60" s="12">
        <v>479</v>
      </c>
      <c r="G60" s="12">
        <v>168</v>
      </c>
      <c r="H60" s="12">
        <v>311</v>
      </c>
      <c r="I60" s="12">
        <v>74</v>
      </c>
      <c r="J60" s="12">
        <v>21456</v>
      </c>
      <c r="K60" s="12">
        <v>28512.31</v>
      </c>
      <c r="L60" s="12">
        <v>6672816</v>
      </c>
      <c r="M60" s="12">
        <v>5</v>
      </c>
      <c r="N60" s="12">
        <v>5</v>
      </c>
      <c r="O60" s="12">
        <v>4.9000000000000004</v>
      </c>
      <c r="P60" s="14">
        <v>46140</v>
      </c>
      <c r="Q60" s="12" t="s">
        <v>1775</v>
      </c>
    </row>
    <row r="61" spans="1:17" x14ac:dyDescent="0.3">
      <c r="A61" s="12" t="s">
        <v>203</v>
      </c>
      <c r="B61" s="12" t="s">
        <v>204</v>
      </c>
      <c r="C61" s="12" t="s">
        <v>71</v>
      </c>
      <c r="D61" s="12" t="s">
        <v>1773</v>
      </c>
      <c r="E61" s="12" t="s">
        <v>1779</v>
      </c>
      <c r="F61" s="12">
        <v>123</v>
      </c>
      <c r="G61" s="12">
        <v>34</v>
      </c>
      <c r="H61" s="12">
        <v>89</v>
      </c>
      <c r="I61" s="12">
        <v>69</v>
      </c>
      <c r="J61" s="12">
        <v>34857</v>
      </c>
      <c r="K61" s="12">
        <v>45824.88</v>
      </c>
      <c r="L61" s="12">
        <v>3102273</v>
      </c>
      <c r="M61" s="12">
        <v>5</v>
      </c>
      <c r="N61" s="12">
        <v>14</v>
      </c>
      <c r="O61" s="12">
        <v>3.6</v>
      </c>
      <c r="P61" s="14">
        <v>46110</v>
      </c>
      <c r="Q61" s="12" t="s">
        <v>1775</v>
      </c>
    </row>
    <row r="62" spans="1:17" x14ac:dyDescent="0.3">
      <c r="A62" s="12" t="s">
        <v>141</v>
      </c>
      <c r="B62" s="12" t="s">
        <v>142</v>
      </c>
      <c r="C62" s="12" t="s">
        <v>71</v>
      </c>
      <c r="D62" s="12" t="s">
        <v>1778</v>
      </c>
      <c r="E62" s="12" t="s">
        <v>1777</v>
      </c>
      <c r="F62" s="12">
        <v>183</v>
      </c>
      <c r="G62" s="12">
        <v>81</v>
      </c>
      <c r="H62" s="12">
        <v>102</v>
      </c>
      <c r="I62" s="12">
        <v>44</v>
      </c>
      <c r="J62" s="12">
        <v>36918</v>
      </c>
      <c r="K62" s="12">
        <v>44176.76</v>
      </c>
      <c r="L62" s="12">
        <v>3765636</v>
      </c>
      <c r="M62" s="12">
        <v>2</v>
      </c>
      <c r="N62" s="12">
        <v>4</v>
      </c>
      <c r="O62" s="12">
        <v>5</v>
      </c>
      <c r="P62" s="14">
        <v>46143</v>
      </c>
      <c r="Q62" s="12" t="s">
        <v>1775</v>
      </c>
    </row>
    <row r="63" spans="1:17" x14ac:dyDescent="0.3">
      <c r="A63" s="12" t="s">
        <v>306</v>
      </c>
      <c r="B63" s="12" t="s">
        <v>307</v>
      </c>
      <c r="C63" s="12" t="s">
        <v>71</v>
      </c>
      <c r="D63" s="12" t="s">
        <v>1780</v>
      </c>
      <c r="E63" s="12" t="s">
        <v>1779</v>
      </c>
      <c r="F63" s="12">
        <v>453</v>
      </c>
      <c r="G63" s="12">
        <v>60</v>
      </c>
      <c r="H63" s="12">
        <v>393</v>
      </c>
      <c r="I63" s="12">
        <v>68</v>
      </c>
      <c r="J63" s="12">
        <v>30885</v>
      </c>
      <c r="K63" s="12">
        <v>40286.629999999997</v>
      </c>
      <c r="L63" s="12">
        <v>12137805</v>
      </c>
      <c r="M63" s="12">
        <v>4</v>
      </c>
      <c r="N63" s="12">
        <v>2</v>
      </c>
      <c r="O63" s="12">
        <v>4.5999999999999996</v>
      </c>
      <c r="P63" s="14">
        <v>46096</v>
      </c>
      <c r="Q63" s="12" t="s">
        <v>1775</v>
      </c>
    </row>
    <row r="64" spans="1:17" x14ac:dyDescent="0.3">
      <c r="A64" s="12" t="s">
        <v>406</v>
      </c>
      <c r="B64" s="12" t="s">
        <v>407</v>
      </c>
      <c r="C64" s="12" t="s">
        <v>30</v>
      </c>
      <c r="D64" s="12" t="s">
        <v>1778</v>
      </c>
      <c r="E64" s="12" t="s">
        <v>1781</v>
      </c>
      <c r="F64" s="12">
        <v>362</v>
      </c>
      <c r="G64" s="12">
        <v>284</v>
      </c>
      <c r="H64" s="12">
        <v>78</v>
      </c>
      <c r="I64" s="12">
        <v>20</v>
      </c>
      <c r="J64" s="12">
        <v>13768</v>
      </c>
      <c r="K64" s="12">
        <v>18135.150000000001</v>
      </c>
      <c r="L64" s="12">
        <v>1073904</v>
      </c>
      <c r="M64" s="12">
        <v>1</v>
      </c>
      <c r="N64" s="12">
        <v>12</v>
      </c>
      <c r="O64" s="12">
        <v>3.8</v>
      </c>
      <c r="P64" s="14">
        <v>46038</v>
      </c>
      <c r="Q64" s="12" t="s">
        <v>1775</v>
      </c>
    </row>
    <row r="65" spans="1:17" x14ac:dyDescent="0.3">
      <c r="A65" s="12" t="s">
        <v>79</v>
      </c>
      <c r="B65" s="12" t="s">
        <v>80</v>
      </c>
      <c r="C65" s="12" t="s">
        <v>71</v>
      </c>
      <c r="D65" s="12" t="s">
        <v>1778</v>
      </c>
      <c r="E65" s="12" t="s">
        <v>1779</v>
      </c>
      <c r="F65" s="12">
        <v>456</v>
      </c>
      <c r="G65" s="12">
        <v>125</v>
      </c>
      <c r="H65" s="12">
        <v>331</v>
      </c>
      <c r="I65" s="12">
        <v>61</v>
      </c>
      <c r="J65" s="12">
        <v>35038</v>
      </c>
      <c r="K65" s="12">
        <v>40290.22</v>
      </c>
      <c r="L65" s="12">
        <v>11597578</v>
      </c>
      <c r="M65" s="12">
        <v>2</v>
      </c>
      <c r="N65" s="12">
        <v>10</v>
      </c>
      <c r="O65" s="12">
        <v>4</v>
      </c>
      <c r="P65" s="14">
        <v>46054</v>
      </c>
      <c r="Q65" s="12" t="s">
        <v>1775</v>
      </c>
    </row>
    <row r="66" spans="1:17" x14ac:dyDescent="0.3">
      <c r="A66" s="12" t="s">
        <v>245</v>
      </c>
      <c r="B66" s="12" t="s">
        <v>246</v>
      </c>
      <c r="C66" s="12" t="s">
        <v>54</v>
      </c>
      <c r="D66" s="12" t="s">
        <v>1778</v>
      </c>
      <c r="E66" s="12" t="s">
        <v>1777</v>
      </c>
      <c r="F66" s="12">
        <v>381</v>
      </c>
      <c r="G66" s="12">
        <v>13</v>
      </c>
      <c r="H66" s="12">
        <v>368</v>
      </c>
      <c r="I66" s="12">
        <v>77</v>
      </c>
      <c r="J66" s="12">
        <v>57184</v>
      </c>
      <c r="K66" s="12">
        <v>77667.850000000006</v>
      </c>
      <c r="L66" s="12">
        <v>21043712</v>
      </c>
      <c r="M66" s="12">
        <v>3</v>
      </c>
      <c r="N66" s="12">
        <v>14</v>
      </c>
      <c r="O66" s="12">
        <v>4.0999999999999996</v>
      </c>
      <c r="P66" s="14">
        <v>46025</v>
      </c>
      <c r="Q66" s="12" t="s">
        <v>1775</v>
      </c>
    </row>
    <row r="67" spans="1:17" x14ac:dyDescent="0.3">
      <c r="A67" s="12" t="s">
        <v>312</v>
      </c>
      <c r="B67" s="12" t="s">
        <v>313</v>
      </c>
      <c r="C67" s="12" t="s">
        <v>54</v>
      </c>
      <c r="D67" s="12" t="s">
        <v>1780</v>
      </c>
      <c r="E67" s="12" t="s">
        <v>1781</v>
      </c>
      <c r="F67" s="12">
        <v>55</v>
      </c>
      <c r="G67" s="12">
        <v>39</v>
      </c>
      <c r="H67" s="12">
        <v>16</v>
      </c>
      <c r="I67" s="12">
        <v>31</v>
      </c>
      <c r="J67" s="12">
        <v>31652</v>
      </c>
      <c r="K67" s="12">
        <v>44311.42</v>
      </c>
      <c r="L67" s="12">
        <v>506432</v>
      </c>
      <c r="M67" s="12">
        <v>3</v>
      </c>
      <c r="N67" s="12">
        <v>14</v>
      </c>
      <c r="O67" s="12">
        <v>4.3</v>
      </c>
      <c r="P67" s="14">
        <v>46041</v>
      </c>
      <c r="Q67" s="12" t="s">
        <v>1782</v>
      </c>
    </row>
    <row r="68" spans="1:17" x14ac:dyDescent="0.3">
      <c r="A68" s="12" t="s">
        <v>334</v>
      </c>
      <c r="B68" s="12" t="s">
        <v>335</v>
      </c>
      <c r="C68" s="12" t="s">
        <v>71</v>
      </c>
      <c r="D68" s="12" t="s">
        <v>1780</v>
      </c>
      <c r="E68" s="12" t="s">
        <v>1777</v>
      </c>
      <c r="F68" s="12">
        <v>239</v>
      </c>
      <c r="G68" s="12">
        <v>160</v>
      </c>
      <c r="H68" s="12">
        <v>79</v>
      </c>
      <c r="I68" s="12">
        <v>30</v>
      </c>
      <c r="J68" s="12">
        <v>46537</v>
      </c>
      <c r="K68" s="12">
        <v>59006.9</v>
      </c>
      <c r="L68" s="12">
        <v>3676423</v>
      </c>
      <c r="M68" s="12">
        <v>5</v>
      </c>
      <c r="N68" s="12">
        <v>8</v>
      </c>
      <c r="O68" s="12">
        <v>4.7</v>
      </c>
      <c r="P68" s="14">
        <v>46186</v>
      </c>
      <c r="Q68" s="12" t="s">
        <v>1775</v>
      </c>
    </row>
    <row r="69" spans="1:17" x14ac:dyDescent="0.3">
      <c r="A69" s="12" t="s">
        <v>261</v>
      </c>
      <c r="B69" s="12" t="s">
        <v>262</v>
      </c>
      <c r="C69" s="12" t="s">
        <v>102</v>
      </c>
      <c r="D69" s="12" t="s">
        <v>1780</v>
      </c>
      <c r="E69" s="12" t="s">
        <v>1781</v>
      </c>
      <c r="F69" s="12">
        <v>252</v>
      </c>
      <c r="G69" s="12">
        <v>220</v>
      </c>
      <c r="H69" s="12">
        <v>32</v>
      </c>
      <c r="I69" s="12">
        <v>37</v>
      </c>
      <c r="J69" s="12">
        <v>29262</v>
      </c>
      <c r="K69" s="12">
        <v>35516.720000000001</v>
      </c>
      <c r="L69" s="12">
        <v>936384</v>
      </c>
      <c r="M69" s="12">
        <v>4</v>
      </c>
      <c r="N69" s="12">
        <v>12</v>
      </c>
      <c r="O69" s="12">
        <v>4.8</v>
      </c>
      <c r="P69" s="14">
        <v>46028</v>
      </c>
      <c r="Q69" s="12" t="s">
        <v>1782</v>
      </c>
    </row>
    <row r="70" spans="1:17" x14ac:dyDescent="0.3">
      <c r="A70" s="12" t="s">
        <v>122</v>
      </c>
      <c r="B70" s="12" t="s">
        <v>123</v>
      </c>
      <c r="C70" s="12" t="s">
        <v>30</v>
      </c>
      <c r="D70" s="12" t="s">
        <v>1773</v>
      </c>
      <c r="E70" s="12" t="s">
        <v>1779</v>
      </c>
      <c r="F70" s="12">
        <v>307</v>
      </c>
      <c r="G70" s="12">
        <v>175</v>
      </c>
      <c r="H70" s="12">
        <v>132</v>
      </c>
      <c r="I70" s="12">
        <v>34</v>
      </c>
      <c r="J70" s="12">
        <v>437</v>
      </c>
      <c r="K70" s="12">
        <v>555.75</v>
      </c>
      <c r="L70" s="12">
        <v>57684</v>
      </c>
      <c r="M70" s="12">
        <v>5</v>
      </c>
      <c r="N70" s="12">
        <v>15</v>
      </c>
      <c r="O70" s="12">
        <v>4.5</v>
      </c>
      <c r="P70" s="14">
        <v>46071</v>
      </c>
      <c r="Q70" s="12" t="s">
        <v>1775</v>
      </c>
    </row>
    <row r="71" spans="1:17" x14ac:dyDescent="0.3">
      <c r="A71" s="12" t="s">
        <v>396</v>
      </c>
      <c r="B71" s="12" t="s">
        <v>397</v>
      </c>
      <c r="C71" s="12" t="s">
        <v>54</v>
      </c>
      <c r="D71" s="12" t="s">
        <v>1773</v>
      </c>
      <c r="E71" s="12" t="s">
        <v>1774</v>
      </c>
      <c r="F71" s="12">
        <v>75</v>
      </c>
      <c r="G71" s="12">
        <v>40</v>
      </c>
      <c r="H71" s="12">
        <v>35</v>
      </c>
      <c r="I71" s="12">
        <v>36</v>
      </c>
      <c r="J71" s="12">
        <v>43533</v>
      </c>
      <c r="K71" s="12">
        <v>59761.63</v>
      </c>
      <c r="L71" s="12">
        <v>1523655</v>
      </c>
      <c r="M71" s="12">
        <v>4</v>
      </c>
      <c r="N71" s="12">
        <v>4</v>
      </c>
      <c r="O71" s="12">
        <v>4.5</v>
      </c>
      <c r="P71" s="14">
        <v>46112</v>
      </c>
      <c r="Q71" s="12" t="s">
        <v>1782</v>
      </c>
    </row>
    <row r="72" spans="1:17" x14ac:dyDescent="0.3">
      <c r="A72" s="12" t="s">
        <v>164</v>
      </c>
      <c r="B72" s="12" t="s">
        <v>165</v>
      </c>
      <c r="C72" s="12" t="s">
        <v>102</v>
      </c>
      <c r="D72" s="12" t="s">
        <v>1773</v>
      </c>
      <c r="E72" s="12" t="s">
        <v>1781</v>
      </c>
      <c r="F72" s="12">
        <v>208</v>
      </c>
      <c r="G72" s="12">
        <v>91</v>
      </c>
      <c r="H72" s="12">
        <v>117</v>
      </c>
      <c r="I72" s="12">
        <v>37</v>
      </c>
      <c r="J72" s="12">
        <v>45396</v>
      </c>
      <c r="K72" s="12">
        <v>62578.33</v>
      </c>
      <c r="L72" s="12">
        <v>5311332</v>
      </c>
      <c r="M72" s="12">
        <v>2</v>
      </c>
      <c r="N72" s="12">
        <v>4</v>
      </c>
      <c r="O72" s="12">
        <v>3.8</v>
      </c>
      <c r="P72" s="14">
        <v>46051</v>
      </c>
      <c r="Q72" s="12" t="s">
        <v>1775</v>
      </c>
    </row>
    <row r="73" spans="1:17" x14ac:dyDescent="0.3">
      <c r="A73" s="12" t="s">
        <v>396</v>
      </c>
      <c r="B73" s="12" t="s">
        <v>397</v>
      </c>
      <c r="C73" s="12" t="s">
        <v>54</v>
      </c>
      <c r="D73" s="12" t="s">
        <v>1780</v>
      </c>
      <c r="E73" s="12" t="s">
        <v>1777</v>
      </c>
      <c r="F73" s="12">
        <v>437</v>
      </c>
      <c r="G73" s="12">
        <v>123</v>
      </c>
      <c r="H73" s="12">
        <v>314</v>
      </c>
      <c r="I73" s="12">
        <v>77</v>
      </c>
      <c r="J73" s="12">
        <v>37786</v>
      </c>
      <c r="K73" s="12">
        <v>44413.07</v>
      </c>
      <c r="L73" s="12">
        <v>11864804</v>
      </c>
      <c r="M73" s="12">
        <v>2</v>
      </c>
      <c r="N73" s="12">
        <v>7</v>
      </c>
      <c r="O73" s="12">
        <v>4.5</v>
      </c>
      <c r="P73" s="14">
        <v>46178</v>
      </c>
      <c r="Q73" s="12" t="s">
        <v>1775</v>
      </c>
    </row>
    <row r="74" spans="1:17" x14ac:dyDescent="0.3">
      <c r="A74" s="12" t="s">
        <v>557</v>
      </c>
      <c r="B74" s="12" t="s">
        <v>558</v>
      </c>
      <c r="C74" s="12" t="s">
        <v>54</v>
      </c>
      <c r="D74" s="12" t="s">
        <v>1778</v>
      </c>
      <c r="E74" s="12" t="s">
        <v>1774</v>
      </c>
      <c r="F74" s="12">
        <v>266</v>
      </c>
      <c r="G74" s="12">
        <v>136</v>
      </c>
      <c r="H74" s="12">
        <v>130</v>
      </c>
      <c r="I74" s="12">
        <v>55</v>
      </c>
      <c r="J74" s="12">
        <v>2037</v>
      </c>
      <c r="K74" s="12">
        <v>2678.32</v>
      </c>
      <c r="L74" s="12">
        <v>264810</v>
      </c>
      <c r="M74" s="12">
        <v>5</v>
      </c>
      <c r="N74" s="12">
        <v>2</v>
      </c>
      <c r="O74" s="12">
        <v>3.9</v>
      </c>
      <c r="P74" s="14">
        <v>46060</v>
      </c>
      <c r="Q74" s="12" t="s">
        <v>1775</v>
      </c>
    </row>
    <row r="75" spans="1:17" x14ac:dyDescent="0.3">
      <c r="A75" s="12" t="s">
        <v>156</v>
      </c>
      <c r="B75" s="12" t="s">
        <v>157</v>
      </c>
      <c r="C75" s="12" t="s">
        <v>30</v>
      </c>
      <c r="D75" s="12" t="s">
        <v>1776</v>
      </c>
      <c r="E75" s="12" t="s">
        <v>1781</v>
      </c>
      <c r="F75" s="12">
        <v>123</v>
      </c>
      <c r="G75" s="12">
        <v>53</v>
      </c>
      <c r="H75" s="12">
        <v>70</v>
      </c>
      <c r="I75" s="12">
        <v>42</v>
      </c>
      <c r="J75" s="12">
        <v>30390</v>
      </c>
      <c r="K75" s="12">
        <v>40454.18</v>
      </c>
      <c r="L75" s="12">
        <v>2127300</v>
      </c>
      <c r="M75" s="12">
        <v>1</v>
      </c>
      <c r="N75" s="12">
        <v>15</v>
      </c>
      <c r="O75" s="12">
        <v>3.5</v>
      </c>
      <c r="P75" s="14">
        <v>46141</v>
      </c>
      <c r="Q75" s="12" t="s">
        <v>1775</v>
      </c>
    </row>
    <row r="76" spans="1:17" x14ac:dyDescent="0.3">
      <c r="A76" s="12" t="s">
        <v>277</v>
      </c>
      <c r="B76" s="12" t="s">
        <v>278</v>
      </c>
      <c r="C76" s="12" t="s">
        <v>71</v>
      </c>
      <c r="D76" s="12" t="s">
        <v>1780</v>
      </c>
      <c r="E76" s="12" t="s">
        <v>1781</v>
      </c>
      <c r="F76" s="12">
        <v>69</v>
      </c>
      <c r="G76" s="12">
        <v>21</v>
      </c>
      <c r="H76" s="12">
        <v>48</v>
      </c>
      <c r="I76" s="12">
        <v>56</v>
      </c>
      <c r="J76" s="12">
        <v>22767</v>
      </c>
      <c r="K76" s="12">
        <v>25480.560000000001</v>
      </c>
      <c r="L76" s="12">
        <v>1092816</v>
      </c>
      <c r="M76" s="12">
        <v>2</v>
      </c>
      <c r="N76" s="12">
        <v>3</v>
      </c>
      <c r="O76" s="12">
        <v>4.4000000000000004</v>
      </c>
      <c r="P76" s="14">
        <v>46199</v>
      </c>
      <c r="Q76" s="12" t="s">
        <v>1782</v>
      </c>
    </row>
    <row r="77" spans="1:17" x14ac:dyDescent="0.3">
      <c r="A77" s="12" t="s">
        <v>261</v>
      </c>
      <c r="B77" s="12" t="s">
        <v>262</v>
      </c>
      <c r="C77" s="12" t="s">
        <v>102</v>
      </c>
      <c r="D77" s="12" t="s">
        <v>1776</v>
      </c>
      <c r="E77" s="12" t="s">
        <v>1779</v>
      </c>
      <c r="F77" s="12">
        <v>152</v>
      </c>
      <c r="G77" s="12">
        <v>140</v>
      </c>
      <c r="H77" s="12">
        <v>12</v>
      </c>
      <c r="I77" s="12">
        <v>38</v>
      </c>
      <c r="J77" s="12">
        <v>24095</v>
      </c>
      <c r="K77" s="12">
        <v>31235.05</v>
      </c>
      <c r="L77" s="12">
        <v>289140</v>
      </c>
      <c r="M77" s="12">
        <v>5</v>
      </c>
      <c r="N77" s="12">
        <v>13</v>
      </c>
      <c r="O77" s="12">
        <v>3.9</v>
      </c>
      <c r="P77" s="14">
        <v>46161</v>
      </c>
      <c r="Q77" s="12" t="s">
        <v>1782</v>
      </c>
    </row>
    <row r="78" spans="1:17" x14ac:dyDescent="0.3">
      <c r="A78" s="12" t="s">
        <v>363</v>
      </c>
      <c r="B78" s="12" t="s">
        <v>364</v>
      </c>
      <c r="C78" s="12" t="s">
        <v>54</v>
      </c>
      <c r="D78" s="12" t="s">
        <v>1778</v>
      </c>
      <c r="E78" s="12" t="s">
        <v>1774</v>
      </c>
      <c r="F78" s="12">
        <v>140</v>
      </c>
      <c r="G78" s="12">
        <v>37</v>
      </c>
      <c r="H78" s="12">
        <v>103</v>
      </c>
      <c r="I78" s="12">
        <v>79</v>
      </c>
      <c r="J78" s="12">
        <v>5931</v>
      </c>
      <c r="K78" s="12">
        <v>8051.22</v>
      </c>
      <c r="L78" s="12">
        <v>610893</v>
      </c>
      <c r="M78" s="12">
        <v>4</v>
      </c>
      <c r="N78" s="12">
        <v>7</v>
      </c>
      <c r="O78" s="12">
        <v>4</v>
      </c>
      <c r="P78" s="14">
        <v>46066</v>
      </c>
      <c r="Q78" s="12" t="s">
        <v>1775</v>
      </c>
    </row>
    <row r="79" spans="1:17" x14ac:dyDescent="0.3">
      <c r="A79" s="12" t="s">
        <v>541</v>
      </c>
      <c r="B79" s="12" t="s">
        <v>542</v>
      </c>
      <c r="C79" s="12" t="s">
        <v>54</v>
      </c>
      <c r="D79" s="12" t="s">
        <v>1778</v>
      </c>
      <c r="E79" s="12" t="s">
        <v>1774</v>
      </c>
      <c r="F79" s="12">
        <v>208</v>
      </c>
      <c r="G79" s="12">
        <v>175</v>
      </c>
      <c r="H79" s="12">
        <v>33</v>
      </c>
      <c r="I79" s="12">
        <v>30</v>
      </c>
      <c r="J79" s="12">
        <v>14670</v>
      </c>
      <c r="K79" s="12">
        <v>20444.27</v>
      </c>
      <c r="L79" s="12">
        <v>484110</v>
      </c>
      <c r="M79" s="12">
        <v>4</v>
      </c>
      <c r="N79" s="12">
        <v>11</v>
      </c>
      <c r="O79" s="12">
        <v>4.5999999999999996</v>
      </c>
      <c r="P79" s="14">
        <v>46112</v>
      </c>
      <c r="Q79" s="12" t="s">
        <v>1775</v>
      </c>
    </row>
    <row r="80" spans="1:17" x14ac:dyDescent="0.3">
      <c r="A80" s="12" t="s">
        <v>160</v>
      </c>
      <c r="B80" s="12" t="s">
        <v>161</v>
      </c>
      <c r="C80" s="12" t="s">
        <v>102</v>
      </c>
      <c r="D80" s="12" t="s">
        <v>1773</v>
      </c>
      <c r="E80" s="12" t="s">
        <v>1779</v>
      </c>
      <c r="F80" s="12">
        <v>210</v>
      </c>
      <c r="G80" s="12">
        <v>44</v>
      </c>
      <c r="H80" s="12">
        <v>166</v>
      </c>
      <c r="I80" s="12">
        <v>32</v>
      </c>
      <c r="J80" s="12">
        <v>18482</v>
      </c>
      <c r="K80" s="12">
        <v>23389.87</v>
      </c>
      <c r="L80" s="12">
        <v>3068012</v>
      </c>
      <c r="M80" s="12">
        <v>4</v>
      </c>
      <c r="N80" s="12">
        <v>13</v>
      </c>
      <c r="O80" s="12">
        <v>4.8</v>
      </c>
      <c r="P80" s="14">
        <v>46086</v>
      </c>
      <c r="Q80" s="12" t="s">
        <v>1775</v>
      </c>
    </row>
    <row r="81" spans="1:17" x14ac:dyDescent="0.3">
      <c r="A81" s="12" t="s">
        <v>299</v>
      </c>
      <c r="B81" s="12" t="s">
        <v>300</v>
      </c>
      <c r="C81" s="12" t="s">
        <v>71</v>
      </c>
      <c r="D81" s="12" t="s">
        <v>1773</v>
      </c>
      <c r="E81" s="12" t="s">
        <v>1781</v>
      </c>
      <c r="F81" s="12">
        <v>293</v>
      </c>
      <c r="G81" s="12">
        <v>77</v>
      </c>
      <c r="H81" s="12">
        <v>216</v>
      </c>
      <c r="I81" s="12">
        <v>74</v>
      </c>
      <c r="J81" s="12">
        <v>46617</v>
      </c>
      <c r="K81" s="12">
        <v>51830.33</v>
      </c>
      <c r="L81" s="12">
        <v>10069272</v>
      </c>
      <c r="M81" s="12">
        <v>5</v>
      </c>
      <c r="N81" s="12">
        <v>6</v>
      </c>
      <c r="O81" s="12">
        <v>4.3</v>
      </c>
      <c r="P81" s="14">
        <v>46117</v>
      </c>
      <c r="Q81" s="12" t="s">
        <v>1775</v>
      </c>
    </row>
    <row r="82" spans="1:17" x14ac:dyDescent="0.3">
      <c r="A82" s="12" t="s">
        <v>762</v>
      </c>
      <c r="B82" s="12" t="s">
        <v>763</v>
      </c>
      <c r="C82" s="12" t="s">
        <v>54</v>
      </c>
      <c r="D82" s="12" t="s">
        <v>1776</v>
      </c>
      <c r="E82" s="12" t="s">
        <v>1777</v>
      </c>
      <c r="F82" s="12">
        <v>225</v>
      </c>
      <c r="G82" s="12">
        <v>124</v>
      </c>
      <c r="H82" s="12">
        <v>101</v>
      </c>
      <c r="I82" s="12">
        <v>36</v>
      </c>
      <c r="J82" s="12">
        <v>5220</v>
      </c>
      <c r="K82" s="12">
        <v>6206.7</v>
      </c>
      <c r="L82" s="12">
        <v>527220</v>
      </c>
      <c r="M82" s="12">
        <v>0</v>
      </c>
      <c r="N82" s="12">
        <v>2</v>
      </c>
      <c r="O82" s="12">
        <v>4</v>
      </c>
      <c r="P82" s="14">
        <v>46079</v>
      </c>
      <c r="Q82" s="12" t="s">
        <v>1775</v>
      </c>
    </row>
    <row r="83" spans="1:17" x14ac:dyDescent="0.3">
      <c r="A83" s="12" t="s">
        <v>513</v>
      </c>
      <c r="B83" s="12" t="s">
        <v>514</v>
      </c>
      <c r="C83" s="12" t="s">
        <v>71</v>
      </c>
      <c r="D83" s="12" t="s">
        <v>1773</v>
      </c>
      <c r="E83" s="12" t="s">
        <v>1781</v>
      </c>
      <c r="F83" s="12">
        <v>459</v>
      </c>
      <c r="G83" s="12">
        <v>357</v>
      </c>
      <c r="H83" s="12">
        <v>102</v>
      </c>
      <c r="I83" s="12">
        <v>58</v>
      </c>
      <c r="J83" s="12">
        <v>57189</v>
      </c>
      <c r="K83" s="12">
        <v>75890.070000000007</v>
      </c>
      <c r="L83" s="12">
        <v>5833278</v>
      </c>
      <c r="M83" s="12">
        <v>5</v>
      </c>
      <c r="N83" s="12">
        <v>5</v>
      </c>
      <c r="O83" s="12">
        <v>5</v>
      </c>
      <c r="P83" s="14">
        <v>46115</v>
      </c>
      <c r="Q83" s="12" t="s">
        <v>1775</v>
      </c>
    </row>
    <row r="84" spans="1:17" x14ac:dyDescent="0.3">
      <c r="A84" s="12" t="s">
        <v>176</v>
      </c>
      <c r="B84" s="12" t="s">
        <v>177</v>
      </c>
      <c r="C84" s="12" t="s">
        <v>54</v>
      </c>
      <c r="D84" s="12" t="s">
        <v>1773</v>
      </c>
      <c r="E84" s="12" t="s">
        <v>1781</v>
      </c>
      <c r="F84" s="12">
        <v>296</v>
      </c>
      <c r="G84" s="12">
        <v>35</v>
      </c>
      <c r="H84" s="12">
        <v>261</v>
      </c>
      <c r="I84" s="12">
        <v>64</v>
      </c>
      <c r="J84" s="12">
        <v>13998</v>
      </c>
      <c r="K84" s="12">
        <v>16178.47</v>
      </c>
      <c r="L84" s="12">
        <v>3653478</v>
      </c>
      <c r="M84" s="12">
        <v>1</v>
      </c>
      <c r="N84" s="12">
        <v>15</v>
      </c>
      <c r="O84" s="12">
        <v>4.8</v>
      </c>
      <c r="P84" s="14">
        <v>46139</v>
      </c>
      <c r="Q84" s="12" t="s">
        <v>1775</v>
      </c>
    </row>
    <row r="85" spans="1:17" x14ac:dyDescent="0.3">
      <c r="A85" s="12" t="s">
        <v>678</v>
      </c>
      <c r="B85" s="12" t="s">
        <v>679</v>
      </c>
      <c r="C85" s="12" t="s">
        <v>54</v>
      </c>
      <c r="D85" s="12" t="s">
        <v>1780</v>
      </c>
      <c r="E85" s="12" t="s">
        <v>1781</v>
      </c>
      <c r="F85" s="12">
        <v>271</v>
      </c>
      <c r="G85" s="12">
        <v>162</v>
      </c>
      <c r="H85" s="12">
        <v>109</v>
      </c>
      <c r="I85" s="12">
        <v>65</v>
      </c>
      <c r="J85" s="12">
        <v>13772</v>
      </c>
      <c r="K85" s="12">
        <v>15739.38</v>
      </c>
      <c r="L85" s="12">
        <v>1501148</v>
      </c>
      <c r="M85" s="12">
        <v>1</v>
      </c>
      <c r="N85" s="12">
        <v>2</v>
      </c>
      <c r="O85" s="12">
        <v>3.6</v>
      </c>
      <c r="P85" s="14">
        <v>46028</v>
      </c>
      <c r="Q85" s="12" t="s">
        <v>1775</v>
      </c>
    </row>
    <row r="86" spans="1:17" x14ac:dyDescent="0.3">
      <c r="A86" s="12" t="s">
        <v>224</v>
      </c>
      <c r="B86" s="12" t="s">
        <v>225</v>
      </c>
      <c r="C86" s="12" t="s">
        <v>102</v>
      </c>
      <c r="D86" s="12" t="s">
        <v>1778</v>
      </c>
      <c r="E86" s="12" t="s">
        <v>1779</v>
      </c>
      <c r="F86" s="12">
        <v>186</v>
      </c>
      <c r="G86" s="12">
        <v>36</v>
      </c>
      <c r="H86" s="12">
        <v>150</v>
      </c>
      <c r="I86" s="12">
        <v>76</v>
      </c>
      <c r="J86" s="12">
        <v>27291</v>
      </c>
      <c r="K86" s="12">
        <v>30554.61</v>
      </c>
      <c r="L86" s="12">
        <v>4093650</v>
      </c>
      <c r="M86" s="12">
        <v>5</v>
      </c>
      <c r="N86" s="12">
        <v>11</v>
      </c>
      <c r="O86" s="12">
        <v>4.0999999999999996</v>
      </c>
      <c r="P86" s="14">
        <v>46098</v>
      </c>
      <c r="Q86" s="12" t="s">
        <v>1775</v>
      </c>
    </row>
    <row r="87" spans="1:17" x14ac:dyDescent="0.3">
      <c r="A87" s="12" t="s">
        <v>62</v>
      </c>
      <c r="B87" s="12" t="s">
        <v>63</v>
      </c>
      <c r="C87" s="12" t="s">
        <v>54</v>
      </c>
      <c r="D87" s="12" t="s">
        <v>1776</v>
      </c>
      <c r="E87" s="12" t="s">
        <v>1774</v>
      </c>
      <c r="F87" s="12">
        <v>356</v>
      </c>
      <c r="G87" s="12">
        <v>42</v>
      </c>
      <c r="H87" s="12">
        <v>314</v>
      </c>
      <c r="I87" s="12">
        <v>61</v>
      </c>
      <c r="J87" s="12">
        <v>6096</v>
      </c>
      <c r="K87" s="12">
        <v>7381.56</v>
      </c>
      <c r="L87" s="12">
        <v>1914144</v>
      </c>
      <c r="M87" s="12">
        <v>4</v>
      </c>
      <c r="N87" s="12">
        <v>7</v>
      </c>
      <c r="O87" s="12">
        <v>4.8</v>
      </c>
      <c r="P87" s="14">
        <v>46110</v>
      </c>
      <c r="Q87" s="12" t="s">
        <v>1775</v>
      </c>
    </row>
    <row r="88" spans="1:17" x14ac:dyDescent="0.3">
      <c r="A88" s="12" t="s">
        <v>113</v>
      </c>
      <c r="B88" s="12" t="s">
        <v>114</v>
      </c>
      <c r="C88" s="12" t="s">
        <v>102</v>
      </c>
      <c r="D88" s="12" t="s">
        <v>1778</v>
      </c>
      <c r="E88" s="12" t="s">
        <v>1774</v>
      </c>
      <c r="F88" s="12">
        <v>234</v>
      </c>
      <c r="G88" s="12">
        <v>130</v>
      </c>
      <c r="H88" s="12">
        <v>104</v>
      </c>
      <c r="I88" s="12">
        <v>56</v>
      </c>
      <c r="J88" s="12">
        <v>8148</v>
      </c>
      <c r="K88" s="12">
        <v>9021.36</v>
      </c>
      <c r="L88" s="12">
        <v>847392</v>
      </c>
      <c r="M88" s="12">
        <v>1</v>
      </c>
      <c r="N88" s="12">
        <v>2</v>
      </c>
      <c r="O88" s="12">
        <v>4.9000000000000004</v>
      </c>
      <c r="P88" s="14">
        <v>46198</v>
      </c>
      <c r="Q88" s="12" t="s">
        <v>1775</v>
      </c>
    </row>
    <row r="89" spans="1:17" x14ac:dyDescent="0.3">
      <c r="A89" s="12" t="s">
        <v>762</v>
      </c>
      <c r="B89" s="12" t="s">
        <v>763</v>
      </c>
      <c r="C89" s="12" t="s">
        <v>54</v>
      </c>
      <c r="D89" s="12" t="s">
        <v>1776</v>
      </c>
      <c r="E89" s="12" t="s">
        <v>1779</v>
      </c>
      <c r="F89" s="12">
        <v>207</v>
      </c>
      <c r="G89" s="12">
        <v>200</v>
      </c>
      <c r="H89" s="12">
        <v>7</v>
      </c>
      <c r="I89" s="12">
        <v>34</v>
      </c>
      <c r="J89" s="12">
        <v>27991</v>
      </c>
      <c r="K89" s="12">
        <v>35726.050000000003</v>
      </c>
      <c r="L89" s="12">
        <v>195937</v>
      </c>
      <c r="M89" s="12">
        <v>1</v>
      </c>
      <c r="N89" s="12">
        <v>13</v>
      </c>
      <c r="O89" s="12">
        <v>5</v>
      </c>
      <c r="P89" s="14">
        <v>46201</v>
      </c>
      <c r="Q89" s="12" t="s">
        <v>1782</v>
      </c>
    </row>
    <row r="90" spans="1:17" x14ac:dyDescent="0.3">
      <c r="A90" s="12" t="s">
        <v>1359</v>
      </c>
      <c r="B90" s="12" t="s">
        <v>1360</v>
      </c>
      <c r="C90" s="12" t="s">
        <v>71</v>
      </c>
      <c r="D90" s="12" t="s">
        <v>1780</v>
      </c>
      <c r="E90" s="12" t="s">
        <v>1774</v>
      </c>
      <c r="F90" s="12">
        <v>239</v>
      </c>
      <c r="G90" s="12">
        <v>40</v>
      </c>
      <c r="H90" s="12">
        <v>199</v>
      </c>
      <c r="I90" s="12">
        <v>65</v>
      </c>
      <c r="J90" s="12">
        <v>12700</v>
      </c>
      <c r="K90" s="12">
        <v>16584.310000000001</v>
      </c>
      <c r="L90" s="12">
        <v>2527300</v>
      </c>
      <c r="M90" s="12">
        <v>2</v>
      </c>
      <c r="N90" s="12">
        <v>2</v>
      </c>
      <c r="O90" s="12">
        <v>4.7</v>
      </c>
      <c r="P90" s="14">
        <v>46056</v>
      </c>
      <c r="Q90" s="12" t="s">
        <v>1775</v>
      </c>
    </row>
    <row r="91" spans="1:17" x14ac:dyDescent="0.3">
      <c r="A91" s="12" t="s">
        <v>238</v>
      </c>
      <c r="B91" s="12" t="s">
        <v>239</v>
      </c>
      <c r="C91" s="12" t="s">
        <v>71</v>
      </c>
      <c r="D91" s="12" t="s">
        <v>1780</v>
      </c>
      <c r="E91" s="12" t="s">
        <v>1774</v>
      </c>
      <c r="F91" s="12">
        <v>275</v>
      </c>
      <c r="G91" s="12">
        <v>207</v>
      </c>
      <c r="H91" s="12">
        <v>68</v>
      </c>
      <c r="I91" s="12">
        <v>21</v>
      </c>
      <c r="J91" s="12">
        <v>30927</v>
      </c>
      <c r="K91" s="12">
        <v>40696.089999999997</v>
      </c>
      <c r="L91" s="12">
        <v>2103036</v>
      </c>
      <c r="M91" s="12">
        <v>1</v>
      </c>
      <c r="N91" s="12">
        <v>13</v>
      </c>
      <c r="O91" s="12">
        <v>3.7</v>
      </c>
      <c r="P91" s="14">
        <v>46089</v>
      </c>
      <c r="Q91" s="12" t="s">
        <v>1775</v>
      </c>
    </row>
    <row r="92" spans="1:17" x14ac:dyDescent="0.3">
      <c r="A92" s="12" t="s">
        <v>52</v>
      </c>
      <c r="B92" s="12" t="s">
        <v>53</v>
      </c>
      <c r="C92" s="12" t="s">
        <v>54</v>
      </c>
      <c r="D92" s="12" t="s">
        <v>1773</v>
      </c>
      <c r="E92" s="12" t="s">
        <v>1779</v>
      </c>
      <c r="F92" s="12">
        <v>145</v>
      </c>
      <c r="G92" s="12">
        <v>28</v>
      </c>
      <c r="H92" s="12">
        <v>117</v>
      </c>
      <c r="I92" s="12">
        <v>56</v>
      </c>
      <c r="J92" s="12">
        <v>3168</v>
      </c>
      <c r="K92" s="12">
        <v>4217.3599999999997</v>
      </c>
      <c r="L92" s="12">
        <v>370656</v>
      </c>
      <c r="M92" s="12">
        <v>3</v>
      </c>
      <c r="N92" s="12">
        <v>12</v>
      </c>
      <c r="O92" s="12">
        <v>4.0999999999999996</v>
      </c>
      <c r="P92" s="14">
        <v>46115</v>
      </c>
      <c r="Q92" s="12" t="s">
        <v>1775</v>
      </c>
    </row>
    <row r="93" spans="1:17" x14ac:dyDescent="0.3">
      <c r="A93" s="12" t="s">
        <v>338</v>
      </c>
      <c r="B93" s="12" t="s">
        <v>339</v>
      </c>
      <c r="C93" s="12" t="s">
        <v>54</v>
      </c>
      <c r="D93" s="12" t="s">
        <v>1773</v>
      </c>
      <c r="E93" s="12" t="s">
        <v>1774</v>
      </c>
      <c r="F93" s="12">
        <v>352</v>
      </c>
      <c r="G93" s="12">
        <v>172</v>
      </c>
      <c r="H93" s="12">
        <v>180</v>
      </c>
      <c r="I93" s="12">
        <v>58</v>
      </c>
      <c r="J93" s="12">
        <v>37340</v>
      </c>
      <c r="K93" s="12">
        <v>46917.2</v>
      </c>
      <c r="L93" s="12">
        <v>6721200</v>
      </c>
      <c r="M93" s="12">
        <v>1</v>
      </c>
      <c r="N93" s="12">
        <v>9</v>
      </c>
      <c r="O93" s="12">
        <v>4.7</v>
      </c>
      <c r="P93" s="14">
        <v>46068</v>
      </c>
      <c r="Q93" s="12" t="s">
        <v>1775</v>
      </c>
    </row>
    <row r="94" spans="1:17" x14ac:dyDescent="0.3">
      <c r="A94" s="12" t="s">
        <v>358</v>
      </c>
      <c r="B94" s="12" t="s">
        <v>359</v>
      </c>
      <c r="C94" s="12" t="s">
        <v>102</v>
      </c>
      <c r="D94" s="12" t="s">
        <v>1773</v>
      </c>
      <c r="E94" s="12" t="s">
        <v>1781</v>
      </c>
      <c r="F94" s="12">
        <v>496</v>
      </c>
      <c r="G94" s="12">
        <v>130</v>
      </c>
      <c r="H94" s="12">
        <v>366</v>
      </c>
      <c r="I94" s="12">
        <v>46</v>
      </c>
      <c r="J94" s="12">
        <v>54449</v>
      </c>
      <c r="K94" s="12">
        <v>72085.320000000007</v>
      </c>
      <c r="L94" s="12">
        <v>19928334</v>
      </c>
      <c r="M94" s="12">
        <v>5</v>
      </c>
      <c r="N94" s="12">
        <v>4</v>
      </c>
      <c r="O94" s="12">
        <v>4.5999999999999996</v>
      </c>
      <c r="P94" s="14">
        <v>46192</v>
      </c>
      <c r="Q94" s="12" t="s">
        <v>1775</v>
      </c>
    </row>
    <row r="95" spans="1:17" x14ac:dyDescent="0.3">
      <c r="A95" s="12" t="s">
        <v>431</v>
      </c>
      <c r="B95" s="12" t="s">
        <v>432</v>
      </c>
      <c r="C95" s="12" t="s">
        <v>30</v>
      </c>
      <c r="D95" s="12" t="s">
        <v>1773</v>
      </c>
      <c r="E95" s="12" t="s">
        <v>1774</v>
      </c>
      <c r="F95" s="12">
        <v>89</v>
      </c>
      <c r="G95" s="12">
        <v>27</v>
      </c>
      <c r="H95" s="12">
        <v>62</v>
      </c>
      <c r="I95" s="12">
        <v>55</v>
      </c>
      <c r="J95" s="12">
        <v>56090</v>
      </c>
      <c r="K95" s="12">
        <v>72152.600000000006</v>
      </c>
      <c r="L95" s="12">
        <v>3477580</v>
      </c>
      <c r="M95" s="12">
        <v>1</v>
      </c>
      <c r="N95" s="12">
        <v>4</v>
      </c>
      <c r="O95" s="12">
        <v>5</v>
      </c>
      <c r="P95" s="14">
        <v>46033</v>
      </c>
      <c r="Q95" s="12" t="s">
        <v>1775</v>
      </c>
    </row>
    <row r="96" spans="1:17" x14ac:dyDescent="0.3">
      <c r="A96" s="12" t="s">
        <v>411</v>
      </c>
      <c r="B96" s="12" t="s">
        <v>412</v>
      </c>
      <c r="C96" s="12" t="s">
        <v>54</v>
      </c>
      <c r="D96" s="12" t="s">
        <v>1778</v>
      </c>
      <c r="E96" s="12" t="s">
        <v>1774</v>
      </c>
      <c r="F96" s="12">
        <v>413</v>
      </c>
      <c r="G96" s="12">
        <v>389</v>
      </c>
      <c r="H96" s="12">
        <v>24</v>
      </c>
      <c r="I96" s="12">
        <v>41</v>
      </c>
      <c r="J96" s="12">
        <v>29931</v>
      </c>
      <c r="K96" s="12">
        <v>34088.25</v>
      </c>
      <c r="L96" s="12">
        <v>718344</v>
      </c>
      <c r="M96" s="12">
        <v>1</v>
      </c>
      <c r="N96" s="12">
        <v>4</v>
      </c>
      <c r="O96" s="12">
        <v>3.6</v>
      </c>
      <c r="P96" s="14">
        <v>46031</v>
      </c>
      <c r="Q96" s="12" t="s">
        <v>1782</v>
      </c>
    </row>
    <row r="97" spans="1:17" x14ac:dyDescent="0.3">
      <c r="A97" s="12" t="s">
        <v>69</v>
      </c>
      <c r="B97" s="12" t="s">
        <v>70</v>
      </c>
      <c r="C97" s="12" t="s">
        <v>71</v>
      </c>
      <c r="D97" s="12" t="s">
        <v>1773</v>
      </c>
      <c r="E97" s="12" t="s">
        <v>1781</v>
      </c>
      <c r="F97" s="12">
        <v>276</v>
      </c>
      <c r="G97" s="12">
        <v>94</v>
      </c>
      <c r="H97" s="12">
        <v>182</v>
      </c>
      <c r="I97" s="12">
        <v>55</v>
      </c>
      <c r="J97" s="12">
        <v>30347</v>
      </c>
      <c r="K97" s="12">
        <v>40485.42</v>
      </c>
      <c r="L97" s="12">
        <v>5523154</v>
      </c>
      <c r="M97" s="12">
        <v>1</v>
      </c>
      <c r="N97" s="12">
        <v>11</v>
      </c>
      <c r="O97" s="12">
        <v>4.9000000000000004</v>
      </c>
      <c r="P97" s="14">
        <v>46121</v>
      </c>
      <c r="Q97" s="12" t="s">
        <v>1775</v>
      </c>
    </row>
    <row r="98" spans="1:17" x14ac:dyDescent="0.3">
      <c r="A98" s="12" t="s">
        <v>85</v>
      </c>
      <c r="B98" s="12" t="s">
        <v>86</v>
      </c>
      <c r="C98" s="12" t="s">
        <v>71</v>
      </c>
      <c r="D98" s="12" t="s">
        <v>1778</v>
      </c>
      <c r="E98" s="12" t="s">
        <v>1774</v>
      </c>
      <c r="F98" s="12">
        <v>367</v>
      </c>
      <c r="G98" s="12">
        <v>82</v>
      </c>
      <c r="H98" s="12">
        <v>285</v>
      </c>
      <c r="I98" s="12">
        <v>58</v>
      </c>
      <c r="J98" s="12">
        <v>7673</v>
      </c>
      <c r="K98" s="12">
        <v>9756.73</v>
      </c>
      <c r="L98" s="12">
        <v>2186805</v>
      </c>
      <c r="M98" s="12">
        <v>5</v>
      </c>
      <c r="N98" s="12">
        <v>7</v>
      </c>
      <c r="O98" s="12">
        <v>4.5</v>
      </c>
      <c r="P98" s="14">
        <v>46106</v>
      </c>
      <c r="Q98" s="12" t="s">
        <v>1775</v>
      </c>
    </row>
    <row r="99" spans="1:17" x14ac:dyDescent="0.3">
      <c r="A99" s="12" t="s">
        <v>69</v>
      </c>
      <c r="B99" s="12" t="s">
        <v>70</v>
      </c>
      <c r="C99" s="12" t="s">
        <v>71</v>
      </c>
      <c r="D99" s="12" t="s">
        <v>1776</v>
      </c>
      <c r="E99" s="12" t="s">
        <v>1779</v>
      </c>
      <c r="F99" s="12">
        <v>455</v>
      </c>
      <c r="G99" s="12">
        <v>101</v>
      </c>
      <c r="H99" s="12">
        <v>354</v>
      </c>
      <c r="I99" s="12">
        <v>52</v>
      </c>
      <c r="J99" s="12">
        <v>18960</v>
      </c>
      <c r="K99" s="12">
        <v>26132.36</v>
      </c>
      <c r="L99" s="12">
        <v>6711840</v>
      </c>
      <c r="M99" s="12">
        <v>5</v>
      </c>
      <c r="N99" s="12">
        <v>13</v>
      </c>
      <c r="O99" s="12">
        <v>3.6</v>
      </c>
      <c r="P99" s="14">
        <v>46051</v>
      </c>
      <c r="Q99" s="12" t="s">
        <v>1775</v>
      </c>
    </row>
    <row r="100" spans="1:17" x14ac:dyDescent="0.3">
      <c r="A100" s="12" t="s">
        <v>334</v>
      </c>
      <c r="B100" s="12" t="s">
        <v>335</v>
      </c>
      <c r="C100" s="12" t="s">
        <v>71</v>
      </c>
      <c r="D100" s="12" t="s">
        <v>1776</v>
      </c>
      <c r="E100" s="12" t="s">
        <v>1781</v>
      </c>
      <c r="F100" s="12">
        <v>203</v>
      </c>
      <c r="G100" s="12">
        <v>186</v>
      </c>
      <c r="H100" s="12">
        <v>17</v>
      </c>
      <c r="I100" s="12">
        <v>31</v>
      </c>
      <c r="J100" s="12">
        <v>9405</v>
      </c>
      <c r="K100" s="12">
        <v>10474.81</v>
      </c>
      <c r="L100" s="12">
        <v>159885</v>
      </c>
      <c r="M100" s="12">
        <v>3</v>
      </c>
      <c r="N100" s="12">
        <v>14</v>
      </c>
      <c r="O100" s="12">
        <v>3.5</v>
      </c>
      <c r="P100" s="14">
        <v>46023</v>
      </c>
      <c r="Q100" s="12" t="s">
        <v>1782</v>
      </c>
    </row>
    <row r="101" spans="1:17" x14ac:dyDescent="0.3">
      <c r="A101" s="12" t="s">
        <v>401</v>
      </c>
      <c r="B101" s="12" t="s">
        <v>402</v>
      </c>
      <c r="C101" s="12" t="s">
        <v>102</v>
      </c>
      <c r="D101" s="12" t="s">
        <v>1780</v>
      </c>
      <c r="E101" s="12" t="s">
        <v>1781</v>
      </c>
      <c r="F101" s="12">
        <v>292</v>
      </c>
      <c r="G101" s="12">
        <v>188</v>
      </c>
      <c r="H101" s="12">
        <v>104</v>
      </c>
      <c r="I101" s="12">
        <v>33</v>
      </c>
      <c r="J101" s="12">
        <v>52414</v>
      </c>
      <c r="K101" s="12">
        <v>63409.760000000002</v>
      </c>
      <c r="L101" s="12">
        <v>5451056</v>
      </c>
      <c r="M101" s="12">
        <v>0</v>
      </c>
      <c r="N101" s="12">
        <v>12</v>
      </c>
      <c r="O101" s="12">
        <v>4</v>
      </c>
      <c r="P101" s="14">
        <v>46056</v>
      </c>
      <c r="Q101" s="12" t="s">
        <v>1775</v>
      </c>
    </row>
    <row r="102" spans="1:17" x14ac:dyDescent="0.3">
      <c r="A102" s="12" t="s">
        <v>152</v>
      </c>
      <c r="B102" s="12" t="s">
        <v>153</v>
      </c>
      <c r="C102" s="12" t="s">
        <v>54</v>
      </c>
      <c r="D102" s="12" t="s">
        <v>1773</v>
      </c>
      <c r="E102" s="12" t="s">
        <v>1774</v>
      </c>
      <c r="F102" s="12">
        <v>377</v>
      </c>
      <c r="G102" s="12">
        <v>299</v>
      </c>
      <c r="H102" s="12">
        <v>78</v>
      </c>
      <c r="I102" s="12">
        <v>31</v>
      </c>
      <c r="J102" s="12">
        <v>23819</v>
      </c>
      <c r="K102" s="12">
        <v>31343.07</v>
      </c>
      <c r="L102" s="12">
        <v>1857882</v>
      </c>
      <c r="M102" s="12">
        <v>5</v>
      </c>
      <c r="N102" s="12">
        <v>12</v>
      </c>
      <c r="O102" s="12">
        <v>4.5</v>
      </c>
      <c r="P102" s="14">
        <v>46200</v>
      </c>
      <c r="Q102" s="12" t="s">
        <v>1775</v>
      </c>
    </row>
    <row r="103" spans="1:17" x14ac:dyDescent="0.3">
      <c r="A103" s="12" t="s">
        <v>384</v>
      </c>
      <c r="B103" s="12" t="s">
        <v>385</v>
      </c>
      <c r="C103" s="12" t="s">
        <v>102</v>
      </c>
      <c r="D103" s="12" t="s">
        <v>1780</v>
      </c>
      <c r="E103" s="12" t="s">
        <v>1781</v>
      </c>
      <c r="F103" s="12">
        <v>433</v>
      </c>
      <c r="G103" s="12">
        <v>265</v>
      </c>
      <c r="H103" s="12">
        <v>168</v>
      </c>
      <c r="I103" s="12">
        <v>77</v>
      </c>
      <c r="J103" s="12">
        <v>44351</v>
      </c>
      <c r="K103" s="12">
        <v>52259.53</v>
      </c>
      <c r="L103" s="12">
        <v>7450968</v>
      </c>
      <c r="M103" s="12">
        <v>5</v>
      </c>
      <c r="N103" s="12">
        <v>2</v>
      </c>
      <c r="O103" s="12">
        <v>4.4000000000000004</v>
      </c>
      <c r="P103" s="14">
        <v>46083</v>
      </c>
      <c r="Q103" s="12" t="s">
        <v>1775</v>
      </c>
    </row>
    <row r="104" spans="1:17" x14ac:dyDescent="0.3">
      <c r="A104" s="12" t="s">
        <v>193</v>
      </c>
      <c r="B104" s="12" t="s">
        <v>194</v>
      </c>
      <c r="C104" s="12" t="s">
        <v>71</v>
      </c>
      <c r="D104" s="12" t="s">
        <v>1773</v>
      </c>
      <c r="E104" s="12" t="s">
        <v>1781</v>
      </c>
      <c r="F104" s="12">
        <v>401</v>
      </c>
      <c r="G104" s="12">
        <v>398</v>
      </c>
      <c r="H104" s="12">
        <v>3</v>
      </c>
      <c r="I104" s="12">
        <v>22</v>
      </c>
      <c r="J104" s="12">
        <v>53419</v>
      </c>
      <c r="K104" s="12">
        <v>72832.13</v>
      </c>
      <c r="L104" s="12">
        <v>160257</v>
      </c>
      <c r="M104" s="12">
        <v>0</v>
      </c>
      <c r="N104" s="12">
        <v>5</v>
      </c>
      <c r="O104" s="12">
        <v>4.7</v>
      </c>
      <c r="P104" s="14">
        <v>46076</v>
      </c>
      <c r="Q104" s="12" t="s">
        <v>1782</v>
      </c>
    </row>
    <row r="105" spans="1:17" x14ac:dyDescent="0.3">
      <c r="A105" s="12" t="s">
        <v>95</v>
      </c>
      <c r="B105" s="12" t="s">
        <v>96</v>
      </c>
      <c r="C105" s="12" t="s">
        <v>54</v>
      </c>
      <c r="D105" s="12" t="s">
        <v>1776</v>
      </c>
      <c r="E105" s="12" t="s">
        <v>1779</v>
      </c>
      <c r="F105" s="12">
        <v>336</v>
      </c>
      <c r="G105" s="12">
        <v>249</v>
      </c>
      <c r="H105" s="12">
        <v>87</v>
      </c>
      <c r="I105" s="12">
        <v>47</v>
      </c>
      <c r="J105" s="12">
        <v>35396</v>
      </c>
      <c r="K105" s="12">
        <v>49407.32</v>
      </c>
      <c r="L105" s="12">
        <v>3079452</v>
      </c>
      <c r="M105" s="12">
        <v>3</v>
      </c>
      <c r="N105" s="12">
        <v>3</v>
      </c>
      <c r="O105" s="12">
        <v>4.5999999999999996</v>
      </c>
      <c r="P105" s="14">
        <v>46157</v>
      </c>
      <c r="Q105" s="12" t="s">
        <v>1775</v>
      </c>
    </row>
    <row r="106" spans="1:17" x14ac:dyDescent="0.3">
      <c r="A106" s="12" t="s">
        <v>367</v>
      </c>
      <c r="B106" s="12" t="s">
        <v>368</v>
      </c>
      <c r="C106" s="12" t="s">
        <v>71</v>
      </c>
      <c r="D106" s="12" t="s">
        <v>1776</v>
      </c>
      <c r="E106" s="12" t="s">
        <v>1779</v>
      </c>
      <c r="F106" s="12">
        <v>390</v>
      </c>
      <c r="G106" s="12">
        <v>80</v>
      </c>
      <c r="H106" s="12">
        <v>310</v>
      </c>
      <c r="I106" s="12">
        <v>60</v>
      </c>
      <c r="J106" s="12">
        <v>11824</v>
      </c>
      <c r="K106" s="12">
        <v>13820.09</v>
      </c>
      <c r="L106" s="12">
        <v>3665440</v>
      </c>
      <c r="M106" s="12">
        <v>3</v>
      </c>
      <c r="N106" s="12">
        <v>11</v>
      </c>
      <c r="O106" s="12">
        <v>5</v>
      </c>
      <c r="P106" s="14">
        <v>46102</v>
      </c>
      <c r="Q106" s="12" t="s">
        <v>1775</v>
      </c>
    </row>
    <row r="107" spans="1:17" x14ac:dyDescent="0.3">
      <c r="A107" s="12" t="s">
        <v>69</v>
      </c>
      <c r="B107" s="12" t="s">
        <v>70</v>
      </c>
      <c r="C107" s="12" t="s">
        <v>71</v>
      </c>
      <c r="D107" s="12" t="s">
        <v>1780</v>
      </c>
      <c r="E107" s="12" t="s">
        <v>1777</v>
      </c>
      <c r="F107" s="12">
        <v>331</v>
      </c>
      <c r="G107" s="12">
        <v>233</v>
      </c>
      <c r="H107" s="12">
        <v>98</v>
      </c>
      <c r="I107" s="12">
        <v>37</v>
      </c>
      <c r="J107" s="12">
        <v>6538</v>
      </c>
      <c r="K107" s="12">
        <v>9058.51</v>
      </c>
      <c r="L107" s="12">
        <v>640724</v>
      </c>
      <c r="M107" s="12">
        <v>3</v>
      </c>
      <c r="N107" s="12">
        <v>4</v>
      </c>
      <c r="O107" s="12">
        <v>4.8</v>
      </c>
      <c r="P107" s="14">
        <v>46050</v>
      </c>
      <c r="Q107" s="12" t="s">
        <v>1775</v>
      </c>
    </row>
    <row r="108" spans="1:17" x14ac:dyDescent="0.3">
      <c r="A108" s="12" t="s">
        <v>265</v>
      </c>
      <c r="B108" s="12" t="s">
        <v>266</v>
      </c>
      <c r="C108" s="12" t="s">
        <v>71</v>
      </c>
      <c r="D108" s="12" t="s">
        <v>1780</v>
      </c>
      <c r="E108" s="12" t="s">
        <v>1781</v>
      </c>
      <c r="F108" s="12">
        <v>420</v>
      </c>
      <c r="G108" s="12">
        <v>118</v>
      </c>
      <c r="H108" s="12">
        <v>302</v>
      </c>
      <c r="I108" s="12">
        <v>35</v>
      </c>
      <c r="J108" s="12">
        <v>54716</v>
      </c>
      <c r="K108" s="12">
        <v>69307.59</v>
      </c>
      <c r="L108" s="12">
        <v>16524232</v>
      </c>
      <c r="M108" s="12">
        <v>3</v>
      </c>
      <c r="N108" s="12">
        <v>13</v>
      </c>
      <c r="O108" s="12">
        <v>3.6</v>
      </c>
      <c r="P108" s="14">
        <v>46144</v>
      </c>
      <c r="Q108" s="12" t="s">
        <v>1775</v>
      </c>
    </row>
    <row r="109" spans="1:17" x14ac:dyDescent="0.3">
      <c r="A109" s="12" t="s">
        <v>217</v>
      </c>
      <c r="B109" s="12" t="s">
        <v>218</v>
      </c>
      <c r="C109" s="12" t="s">
        <v>54</v>
      </c>
      <c r="D109" s="12" t="s">
        <v>1778</v>
      </c>
      <c r="E109" s="12" t="s">
        <v>1774</v>
      </c>
      <c r="F109" s="12">
        <v>203</v>
      </c>
      <c r="G109" s="12">
        <v>61</v>
      </c>
      <c r="H109" s="12">
        <v>142</v>
      </c>
      <c r="I109" s="12">
        <v>43</v>
      </c>
      <c r="J109" s="12">
        <v>52298</v>
      </c>
      <c r="K109" s="12">
        <v>57815.77</v>
      </c>
      <c r="L109" s="12">
        <v>7426316</v>
      </c>
      <c r="M109" s="12">
        <v>5</v>
      </c>
      <c r="N109" s="12">
        <v>12</v>
      </c>
      <c r="O109" s="12">
        <v>4.7</v>
      </c>
      <c r="P109" s="14">
        <v>46122</v>
      </c>
      <c r="Q109" s="12" t="s">
        <v>1775</v>
      </c>
    </row>
    <row r="110" spans="1:17" x14ac:dyDescent="0.3">
      <c r="A110" s="12" t="s">
        <v>241</v>
      </c>
      <c r="B110" s="12" t="s">
        <v>242</v>
      </c>
      <c r="C110" s="12" t="s">
        <v>54</v>
      </c>
      <c r="D110" s="12" t="s">
        <v>1773</v>
      </c>
      <c r="E110" s="12" t="s">
        <v>1781</v>
      </c>
      <c r="F110" s="12">
        <v>423</v>
      </c>
      <c r="G110" s="12">
        <v>402</v>
      </c>
      <c r="H110" s="12">
        <v>21</v>
      </c>
      <c r="I110" s="12">
        <v>43</v>
      </c>
      <c r="J110" s="12">
        <v>44909</v>
      </c>
      <c r="K110" s="12">
        <v>58667.06</v>
      </c>
      <c r="L110" s="12">
        <v>943089</v>
      </c>
      <c r="M110" s="12">
        <v>1</v>
      </c>
      <c r="N110" s="12">
        <v>11</v>
      </c>
      <c r="O110" s="12">
        <v>3.7</v>
      </c>
      <c r="P110" s="14">
        <v>46063</v>
      </c>
      <c r="Q110" s="12" t="s">
        <v>1782</v>
      </c>
    </row>
    <row r="111" spans="1:17" x14ac:dyDescent="0.3">
      <c r="A111" s="12" t="s">
        <v>358</v>
      </c>
      <c r="B111" s="12" t="s">
        <v>359</v>
      </c>
      <c r="C111" s="12" t="s">
        <v>102</v>
      </c>
      <c r="D111" s="12" t="s">
        <v>1773</v>
      </c>
      <c r="E111" s="12" t="s">
        <v>1774</v>
      </c>
      <c r="F111" s="12">
        <v>471</v>
      </c>
      <c r="G111" s="12">
        <v>387</v>
      </c>
      <c r="H111" s="12">
        <v>84</v>
      </c>
      <c r="I111" s="12">
        <v>64</v>
      </c>
      <c r="J111" s="12">
        <v>46556</v>
      </c>
      <c r="K111" s="12">
        <v>64481.4</v>
      </c>
      <c r="L111" s="12">
        <v>3910704</v>
      </c>
      <c r="M111" s="12">
        <v>3</v>
      </c>
      <c r="N111" s="12">
        <v>4</v>
      </c>
      <c r="O111" s="12">
        <v>4.5</v>
      </c>
      <c r="P111" s="14">
        <v>46172</v>
      </c>
      <c r="Q111" s="12" t="s">
        <v>1775</v>
      </c>
    </row>
    <row r="112" spans="1:17" x14ac:dyDescent="0.3">
      <c r="A112" s="12" t="s">
        <v>1359</v>
      </c>
      <c r="B112" s="12" t="s">
        <v>1360</v>
      </c>
      <c r="C112" s="12" t="s">
        <v>71</v>
      </c>
      <c r="D112" s="12" t="s">
        <v>1776</v>
      </c>
      <c r="E112" s="12" t="s">
        <v>1777</v>
      </c>
      <c r="F112" s="12">
        <v>281</v>
      </c>
      <c r="G112" s="12">
        <v>30</v>
      </c>
      <c r="H112" s="12">
        <v>251</v>
      </c>
      <c r="I112" s="12">
        <v>59</v>
      </c>
      <c r="J112" s="12">
        <v>27696</v>
      </c>
      <c r="K112" s="12">
        <v>35825.29</v>
      </c>
      <c r="L112" s="12">
        <v>6951696</v>
      </c>
      <c r="M112" s="12">
        <v>0</v>
      </c>
      <c r="N112" s="12">
        <v>8</v>
      </c>
      <c r="O112" s="12">
        <v>4.2</v>
      </c>
      <c r="P112" s="14">
        <v>46056</v>
      </c>
      <c r="Q112" s="12" t="s">
        <v>1775</v>
      </c>
    </row>
    <row r="113" spans="1:17" x14ac:dyDescent="0.3">
      <c r="A113" s="12" t="s">
        <v>52</v>
      </c>
      <c r="B113" s="12" t="s">
        <v>53</v>
      </c>
      <c r="C113" s="12" t="s">
        <v>54</v>
      </c>
      <c r="D113" s="12" t="s">
        <v>1780</v>
      </c>
      <c r="E113" s="12" t="s">
        <v>1779</v>
      </c>
      <c r="F113" s="12">
        <v>241</v>
      </c>
      <c r="G113" s="12">
        <v>8</v>
      </c>
      <c r="H113" s="12">
        <v>233</v>
      </c>
      <c r="I113" s="12">
        <v>51</v>
      </c>
      <c r="J113" s="12">
        <v>24739</v>
      </c>
      <c r="K113" s="12">
        <v>32664.98</v>
      </c>
      <c r="L113" s="12">
        <v>5764187</v>
      </c>
      <c r="M113" s="12">
        <v>2</v>
      </c>
      <c r="N113" s="12">
        <v>2</v>
      </c>
      <c r="O113" s="12">
        <v>4.8</v>
      </c>
      <c r="P113" s="14">
        <v>46085</v>
      </c>
      <c r="Q113" s="12" t="s">
        <v>1775</v>
      </c>
    </row>
    <row r="114" spans="1:17" x14ac:dyDescent="0.3">
      <c r="A114" s="12" t="s">
        <v>42</v>
      </c>
      <c r="B114" s="12" t="s">
        <v>43</v>
      </c>
      <c r="C114" s="12" t="s">
        <v>30</v>
      </c>
      <c r="D114" s="12" t="s">
        <v>1780</v>
      </c>
      <c r="E114" s="12" t="s">
        <v>1779</v>
      </c>
      <c r="F114" s="12">
        <v>82</v>
      </c>
      <c r="G114" s="12">
        <v>4</v>
      </c>
      <c r="H114" s="12">
        <v>78</v>
      </c>
      <c r="I114" s="12">
        <v>26</v>
      </c>
      <c r="J114" s="12">
        <v>25557</v>
      </c>
      <c r="K114" s="12">
        <v>35539.199999999997</v>
      </c>
      <c r="L114" s="12">
        <v>1993446</v>
      </c>
      <c r="M114" s="12">
        <v>2</v>
      </c>
      <c r="N114" s="12">
        <v>3</v>
      </c>
      <c r="O114" s="12">
        <v>4.5</v>
      </c>
      <c r="P114" s="14">
        <v>46063</v>
      </c>
      <c r="Q114" s="12" t="s">
        <v>1775</v>
      </c>
    </row>
    <row r="115" spans="1:17" x14ac:dyDescent="0.3">
      <c r="A115" s="12" t="s">
        <v>1359</v>
      </c>
      <c r="B115" s="12" t="s">
        <v>1360</v>
      </c>
      <c r="C115" s="12" t="s">
        <v>71</v>
      </c>
      <c r="D115" s="12" t="s">
        <v>1780</v>
      </c>
      <c r="E115" s="12" t="s">
        <v>1779</v>
      </c>
      <c r="F115" s="12">
        <v>415</v>
      </c>
      <c r="G115" s="12">
        <v>302</v>
      </c>
      <c r="H115" s="12">
        <v>113</v>
      </c>
      <c r="I115" s="12">
        <v>41</v>
      </c>
      <c r="J115" s="12">
        <v>57067</v>
      </c>
      <c r="K115" s="12">
        <v>78147.47</v>
      </c>
      <c r="L115" s="12">
        <v>6448571</v>
      </c>
      <c r="M115" s="12">
        <v>3</v>
      </c>
      <c r="N115" s="12">
        <v>5</v>
      </c>
      <c r="O115" s="12">
        <v>3.9</v>
      </c>
      <c r="P115" s="14">
        <v>46079</v>
      </c>
      <c r="Q115" s="12" t="s">
        <v>1775</v>
      </c>
    </row>
    <row r="116" spans="1:17" x14ac:dyDescent="0.3">
      <c r="A116" s="12" t="s">
        <v>217</v>
      </c>
      <c r="B116" s="12" t="s">
        <v>218</v>
      </c>
      <c r="C116" s="12" t="s">
        <v>54</v>
      </c>
      <c r="D116" s="12" t="s">
        <v>1780</v>
      </c>
      <c r="E116" s="12" t="s">
        <v>1779</v>
      </c>
      <c r="F116" s="12">
        <v>415</v>
      </c>
      <c r="G116" s="12">
        <v>51</v>
      </c>
      <c r="H116" s="12">
        <v>364</v>
      </c>
      <c r="I116" s="12">
        <v>22</v>
      </c>
      <c r="J116" s="12">
        <v>24795</v>
      </c>
      <c r="K116" s="12">
        <v>28592.52</v>
      </c>
      <c r="L116" s="12">
        <v>9025380</v>
      </c>
      <c r="M116" s="12">
        <v>3</v>
      </c>
      <c r="N116" s="12">
        <v>14</v>
      </c>
      <c r="O116" s="12">
        <v>4</v>
      </c>
      <c r="P116" s="14">
        <v>46075</v>
      </c>
      <c r="Q116" s="12" t="s">
        <v>1775</v>
      </c>
    </row>
    <row r="117" spans="1:17" x14ac:dyDescent="0.3">
      <c r="A117" s="12" t="s">
        <v>541</v>
      </c>
      <c r="B117" s="12" t="s">
        <v>542</v>
      </c>
      <c r="C117" s="12" t="s">
        <v>54</v>
      </c>
      <c r="D117" s="12" t="s">
        <v>1776</v>
      </c>
      <c r="E117" s="12" t="s">
        <v>1781</v>
      </c>
      <c r="F117" s="12">
        <v>274</v>
      </c>
      <c r="G117" s="12">
        <v>50</v>
      </c>
      <c r="H117" s="12">
        <v>224</v>
      </c>
      <c r="I117" s="12">
        <v>63</v>
      </c>
      <c r="J117" s="12">
        <v>38360</v>
      </c>
      <c r="K117" s="12">
        <v>48058.1</v>
      </c>
      <c r="L117" s="12">
        <v>8592640</v>
      </c>
      <c r="M117" s="12">
        <v>4</v>
      </c>
      <c r="N117" s="12">
        <v>11</v>
      </c>
      <c r="O117" s="12">
        <v>4.3</v>
      </c>
      <c r="P117" s="14">
        <v>46184</v>
      </c>
      <c r="Q117" s="12" t="s">
        <v>1775</v>
      </c>
    </row>
    <row r="118" spans="1:17" x14ac:dyDescent="0.3">
      <c r="A118" s="12" t="s">
        <v>217</v>
      </c>
      <c r="B118" s="12" t="s">
        <v>218</v>
      </c>
      <c r="C118" s="12" t="s">
        <v>54</v>
      </c>
      <c r="D118" s="12" t="s">
        <v>1773</v>
      </c>
      <c r="E118" s="12" t="s">
        <v>1781</v>
      </c>
      <c r="F118" s="12">
        <v>248</v>
      </c>
      <c r="G118" s="12">
        <v>106</v>
      </c>
      <c r="H118" s="12">
        <v>142</v>
      </c>
      <c r="I118" s="12">
        <v>63</v>
      </c>
      <c r="J118" s="12">
        <v>57165</v>
      </c>
      <c r="K118" s="12">
        <v>75224.399999999994</v>
      </c>
      <c r="L118" s="12">
        <v>8117430</v>
      </c>
      <c r="M118" s="12">
        <v>1</v>
      </c>
      <c r="N118" s="12">
        <v>4</v>
      </c>
      <c r="O118" s="12">
        <v>4.2</v>
      </c>
      <c r="P118" s="14">
        <v>46140</v>
      </c>
      <c r="Q118" s="12" t="s">
        <v>1775</v>
      </c>
    </row>
    <row r="119" spans="1:17" x14ac:dyDescent="0.3">
      <c r="A119" s="12" t="s">
        <v>100</v>
      </c>
      <c r="B119" s="12" t="s">
        <v>101</v>
      </c>
      <c r="C119" s="12" t="s">
        <v>102</v>
      </c>
      <c r="D119" s="12" t="s">
        <v>1778</v>
      </c>
      <c r="E119" s="12" t="s">
        <v>1781</v>
      </c>
      <c r="F119" s="12">
        <v>371</v>
      </c>
      <c r="G119" s="12">
        <v>183</v>
      </c>
      <c r="H119" s="12">
        <v>188</v>
      </c>
      <c r="I119" s="12">
        <v>24</v>
      </c>
      <c r="J119" s="12">
        <v>13786</v>
      </c>
      <c r="K119" s="12">
        <v>17354.91</v>
      </c>
      <c r="L119" s="12">
        <v>2591768</v>
      </c>
      <c r="M119" s="12">
        <v>0</v>
      </c>
      <c r="N119" s="12">
        <v>14</v>
      </c>
      <c r="O119" s="12">
        <v>4.2</v>
      </c>
      <c r="P119" s="14">
        <v>46105</v>
      </c>
      <c r="Q119" s="12" t="s">
        <v>1775</v>
      </c>
    </row>
    <row r="120" spans="1:17" x14ac:dyDescent="0.3">
      <c r="A120" s="12" t="s">
        <v>106</v>
      </c>
      <c r="B120" s="12" t="s">
        <v>107</v>
      </c>
      <c r="C120" s="12" t="s">
        <v>30</v>
      </c>
      <c r="D120" s="12" t="s">
        <v>1773</v>
      </c>
      <c r="E120" s="12" t="s">
        <v>1774</v>
      </c>
      <c r="F120" s="12">
        <v>324</v>
      </c>
      <c r="G120" s="12">
        <v>299</v>
      </c>
      <c r="H120" s="12">
        <v>25</v>
      </c>
      <c r="I120" s="12">
        <v>41</v>
      </c>
      <c r="J120" s="12">
        <v>25991</v>
      </c>
      <c r="K120" s="12">
        <v>35187.870000000003</v>
      </c>
      <c r="L120" s="12">
        <v>649775</v>
      </c>
      <c r="M120" s="12">
        <v>4</v>
      </c>
      <c r="N120" s="12">
        <v>15</v>
      </c>
      <c r="O120" s="12">
        <v>4.5</v>
      </c>
      <c r="P120" s="14">
        <v>46154</v>
      </c>
      <c r="Q120" s="12" t="s">
        <v>1782</v>
      </c>
    </row>
    <row r="121" spans="1:17" x14ac:dyDescent="0.3">
      <c r="A121" s="12" t="s">
        <v>52</v>
      </c>
      <c r="B121" s="12" t="s">
        <v>53</v>
      </c>
      <c r="C121" s="12" t="s">
        <v>54</v>
      </c>
      <c r="D121" s="12" t="s">
        <v>1773</v>
      </c>
      <c r="E121" s="12" t="s">
        <v>1781</v>
      </c>
      <c r="F121" s="12">
        <v>368</v>
      </c>
      <c r="G121" s="12">
        <v>167</v>
      </c>
      <c r="H121" s="12">
        <v>201</v>
      </c>
      <c r="I121" s="12">
        <v>39</v>
      </c>
      <c r="J121" s="12">
        <v>24463</v>
      </c>
      <c r="K121" s="12">
        <v>33796.11</v>
      </c>
      <c r="L121" s="12">
        <v>4917063</v>
      </c>
      <c r="M121" s="12">
        <v>5</v>
      </c>
      <c r="N121" s="12">
        <v>10</v>
      </c>
      <c r="O121" s="12">
        <v>4.3</v>
      </c>
      <c r="P121" s="14">
        <v>46123</v>
      </c>
      <c r="Q121" s="12" t="s">
        <v>1775</v>
      </c>
    </row>
    <row r="122" spans="1:17" x14ac:dyDescent="0.3">
      <c r="A122" s="12" t="s">
        <v>324</v>
      </c>
      <c r="B122" s="12" t="s">
        <v>325</v>
      </c>
      <c r="C122" s="12" t="s">
        <v>54</v>
      </c>
      <c r="D122" s="12" t="s">
        <v>1780</v>
      </c>
      <c r="E122" s="12" t="s">
        <v>1781</v>
      </c>
      <c r="F122" s="12">
        <v>224</v>
      </c>
      <c r="G122" s="12">
        <v>118</v>
      </c>
      <c r="H122" s="12">
        <v>106</v>
      </c>
      <c r="I122" s="12">
        <v>78</v>
      </c>
      <c r="J122" s="12">
        <v>36544</v>
      </c>
      <c r="K122" s="12">
        <v>45605.05</v>
      </c>
      <c r="L122" s="12">
        <v>3873664</v>
      </c>
      <c r="M122" s="12">
        <v>4</v>
      </c>
      <c r="N122" s="12">
        <v>9</v>
      </c>
      <c r="O122" s="12">
        <v>4.0999999999999996</v>
      </c>
      <c r="P122" s="14">
        <v>46070</v>
      </c>
      <c r="Q122" s="12" t="s">
        <v>1775</v>
      </c>
    </row>
    <row r="123" spans="1:17" x14ac:dyDescent="0.3">
      <c r="A123" s="12" t="s">
        <v>1365</v>
      </c>
      <c r="B123" s="12" t="s">
        <v>1366</v>
      </c>
      <c r="C123" s="12" t="s">
        <v>54</v>
      </c>
      <c r="D123" s="12" t="s">
        <v>1778</v>
      </c>
      <c r="E123" s="12" t="s">
        <v>1774</v>
      </c>
      <c r="F123" s="12">
        <v>138</v>
      </c>
      <c r="G123" s="12">
        <v>119</v>
      </c>
      <c r="H123" s="12">
        <v>19</v>
      </c>
      <c r="I123" s="12">
        <v>20</v>
      </c>
      <c r="J123" s="12">
        <v>2472</v>
      </c>
      <c r="K123" s="12">
        <v>3192.22</v>
      </c>
      <c r="L123" s="12">
        <v>46968</v>
      </c>
      <c r="M123" s="12">
        <v>1</v>
      </c>
      <c r="N123" s="12">
        <v>9</v>
      </c>
      <c r="O123" s="12">
        <v>4.4000000000000004</v>
      </c>
      <c r="P123" s="14">
        <v>46118</v>
      </c>
      <c r="Q123" s="12" t="s">
        <v>1782</v>
      </c>
    </row>
    <row r="124" spans="1:17" x14ac:dyDescent="0.3">
      <c r="A124" s="12" t="s">
        <v>363</v>
      </c>
      <c r="B124" s="12" t="s">
        <v>364</v>
      </c>
      <c r="C124" s="12" t="s">
        <v>54</v>
      </c>
      <c r="D124" s="12" t="s">
        <v>1778</v>
      </c>
      <c r="E124" s="12" t="s">
        <v>1781</v>
      </c>
      <c r="F124" s="12">
        <v>330</v>
      </c>
      <c r="G124" s="12">
        <v>22</v>
      </c>
      <c r="H124" s="12">
        <v>308</v>
      </c>
      <c r="I124" s="12">
        <v>30</v>
      </c>
      <c r="J124" s="12">
        <v>52531</v>
      </c>
      <c r="K124" s="12">
        <v>59938.83</v>
      </c>
      <c r="L124" s="12">
        <v>16179548</v>
      </c>
      <c r="M124" s="12">
        <v>0</v>
      </c>
      <c r="N124" s="12">
        <v>2</v>
      </c>
      <c r="O124" s="12">
        <v>4.0999999999999996</v>
      </c>
      <c r="P124" s="14">
        <v>46036</v>
      </c>
      <c r="Q124" s="12" t="s">
        <v>1775</v>
      </c>
    </row>
    <row r="125" spans="1:17" x14ac:dyDescent="0.3">
      <c r="A125" s="12" t="s">
        <v>334</v>
      </c>
      <c r="B125" s="12" t="s">
        <v>335</v>
      </c>
      <c r="C125" s="12" t="s">
        <v>71</v>
      </c>
      <c r="D125" s="12" t="s">
        <v>1778</v>
      </c>
      <c r="E125" s="12" t="s">
        <v>1774</v>
      </c>
      <c r="F125" s="12">
        <v>278</v>
      </c>
      <c r="G125" s="12">
        <v>73</v>
      </c>
      <c r="H125" s="12">
        <v>205</v>
      </c>
      <c r="I125" s="12">
        <v>63</v>
      </c>
      <c r="J125" s="12">
        <v>36312</v>
      </c>
      <c r="K125" s="12">
        <v>48985.77</v>
      </c>
      <c r="L125" s="12">
        <v>7443960</v>
      </c>
      <c r="M125" s="12">
        <v>4</v>
      </c>
      <c r="N125" s="12">
        <v>2</v>
      </c>
      <c r="O125" s="12">
        <v>4.5999999999999996</v>
      </c>
      <c r="P125" s="14">
        <v>46156</v>
      </c>
      <c r="Q125" s="12" t="s">
        <v>1775</v>
      </c>
    </row>
    <row r="126" spans="1:17" x14ac:dyDescent="0.3">
      <c r="A126" s="12" t="s">
        <v>231</v>
      </c>
      <c r="B126" s="12" t="s">
        <v>232</v>
      </c>
      <c r="C126" s="12" t="s">
        <v>54</v>
      </c>
      <c r="D126" s="12" t="s">
        <v>1778</v>
      </c>
      <c r="E126" s="12" t="s">
        <v>1774</v>
      </c>
      <c r="F126" s="12">
        <v>184</v>
      </c>
      <c r="G126" s="12">
        <v>93</v>
      </c>
      <c r="H126" s="12">
        <v>91</v>
      </c>
      <c r="I126" s="12">
        <v>67</v>
      </c>
      <c r="J126" s="12">
        <v>49883</v>
      </c>
      <c r="K126" s="12">
        <v>60693.59</v>
      </c>
      <c r="L126" s="12">
        <v>4539353</v>
      </c>
      <c r="M126" s="12">
        <v>4</v>
      </c>
      <c r="N126" s="12">
        <v>9</v>
      </c>
      <c r="O126" s="12">
        <v>3.9</v>
      </c>
      <c r="P126" s="14">
        <v>46036</v>
      </c>
      <c r="Q126" s="12" t="s">
        <v>1775</v>
      </c>
    </row>
    <row r="127" spans="1:17" x14ac:dyDescent="0.3">
      <c r="A127" s="12" t="s">
        <v>231</v>
      </c>
      <c r="B127" s="12" t="s">
        <v>232</v>
      </c>
      <c r="C127" s="12" t="s">
        <v>54</v>
      </c>
      <c r="D127" s="12" t="s">
        <v>1780</v>
      </c>
      <c r="E127" s="12" t="s">
        <v>1781</v>
      </c>
      <c r="F127" s="12">
        <v>297</v>
      </c>
      <c r="G127" s="12">
        <v>47</v>
      </c>
      <c r="H127" s="12">
        <v>250</v>
      </c>
      <c r="I127" s="12">
        <v>74</v>
      </c>
      <c r="J127" s="12">
        <v>54243</v>
      </c>
      <c r="K127" s="12">
        <v>61976.35</v>
      </c>
      <c r="L127" s="12">
        <v>13560750</v>
      </c>
      <c r="M127" s="12">
        <v>2</v>
      </c>
      <c r="N127" s="12">
        <v>4</v>
      </c>
      <c r="O127" s="12">
        <v>4.5999999999999996</v>
      </c>
      <c r="P127" s="14">
        <v>46101</v>
      </c>
      <c r="Q127" s="12" t="s">
        <v>1775</v>
      </c>
    </row>
    <row r="128" spans="1:17" x14ac:dyDescent="0.3">
      <c r="A128" s="12" t="s">
        <v>824</v>
      </c>
      <c r="B128" s="12" t="s">
        <v>825</v>
      </c>
      <c r="C128" s="12" t="s">
        <v>71</v>
      </c>
      <c r="D128" s="12" t="s">
        <v>1778</v>
      </c>
      <c r="E128" s="12" t="s">
        <v>1779</v>
      </c>
      <c r="F128" s="12">
        <v>280</v>
      </c>
      <c r="G128" s="12">
        <v>186</v>
      </c>
      <c r="H128" s="12">
        <v>94</v>
      </c>
      <c r="I128" s="12">
        <v>54</v>
      </c>
      <c r="J128" s="12">
        <v>10596</v>
      </c>
      <c r="K128" s="12">
        <v>13287.67</v>
      </c>
      <c r="L128" s="12">
        <v>996024</v>
      </c>
      <c r="M128" s="12">
        <v>0</v>
      </c>
      <c r="N128" s="12">
        <v>15</v>
      </c>
      <c r="O128" s="12">
        <v>4.0999999999999996</v>
      </c>
      <c r="P128" s="14">
        <v>46195</v>
      </c>
      <c r="Q128" s="12" t="s">
        <v>1775</v>
      </c>
    </row>
    <row r="129" spans="1:17" x14ac:dyDescent="0.3">
      <c r="A129" s="12" t="s">
        <v>241</v>
      </c>
      <c r="B129" s="12" t="s">
        <v>242</v>
      </c>
      <c r="C129" s="12" t="s">
        <v>54</v>
      </c>
      <c r="D129" s="12" t="s">
        <v>1773</v>
      </c>
      <c r="E129" s="12" t="s">
        <v>1777</v>
      </c>
      <c r="F129" s="12">
        <v>102</v>
      </c>
      <c r="G129" s="12">
        <v>12</v>
      </c>
      <c r="H129" s="12">
        <v>90</v>
      </c>
      <c r="I129" s="12">
        <v>37</v>
      </c>
      <c r="J129" s="12">
        <v>44194</v>
      </c>
      <c r="K129" s="12">
        <v>53375.16</v>
      </c>
      <c r="L129" s="12">
        <v>3977460</v>
      </c>
      <c r="M129" s="12">
        <v>4</v>
      </c>
      <c r="N129" s="12">
        <v>7</v>
      </c>
      <c r="O129" s="12">
        <v>4.9000000000000004</v>
      </c>
      <c r="P129" s="14">
        <v>46133</v>
      </c>
      <c r="Q129" s="12" t="s">
        <v>1775</v>
      </c>
    </row>
    <row r="130" spans="1:17" x14ac:dyDescent="0.3">
      <c r="A130" s="12" t="s">
        <v>640</v>
      </c>
      <c r="B130" s="12" t="s">
        <v>641</v>
      </c>
      <c r="C130" s="12" t="s">
        <v>54</v>
      </c>
      <c r="D130" s="12" t="s">
        <v>1778</v>
      </c>
      <c r="E130" s="12" t="s">
        <v>1777</v>
      </c>
      <c r="F130" s="12">
        <v>313</v>
      </c>
      <c r="G130" s="12">
        <v>282</v>
      </c>
      <c r="H130" s="12">
        <v>31</v>
      </c>
      <c r="I130" s="12">
        <v>75</v>
      </c>
      <c r="J130" s="12">
        <v>38333</v>
      </c>
      <c r="K130" s="12">
        <v>45395.82</v>
      </c>
      <c r="L130" s="12">
        <v>1188323</v>
      </c>
      <c r="M130" s="12">
        <v>1</v>
      </c>
      <c r="N130" s="12">
        <v>7</v>
      </c>
      <c r="O130" s="12">
        <v>4.3</v>
      </c>
      <c r="P130" s="14">
        <v>46127</v>
      </c>
      <c r="Q130" s="12" t="s">
        <v>1782</v>
      </c>
    </row>
    <row r="131" spans="1:17" x14ac:dyDescent="0.3">
      <c r="A131" s="12" t="s">
        <v>189</v>
      </c>
      <c r="B131" s="12" t="s">
        <v>190</v>
      </c>
      <c r="C131" s="12" t="s">
        <v>102</v>
      </c>
      <c r="D131" s="12" t="s">
        <v>1778</v>
      </c>
      <c r="E131" s="12" t="s">
        <v>1781</v>
      </c>
      <c r="F131" s="12">
        <v>301</v>
      </c>
      <c r="G131" s="12">
        <v>231</v>
      </c>
      <c r="H131" s="12">
        <v>70</v>
      </c>
      <c r="I131" s="12">
        <v>57</v>
      </c>
      <c r="J131" s="12">
        <v>46688</v>
      </c>
      <c r="K131" s="12">
        <v>58140.15</v>
      </c>
      <c r="L131" s="12">
        <v>3268160</v>
      </c>
      <c r="M131" s="12">
        <v>1</v>
      </c>
      <c r="N131" s="12">
        <v>13</v>
      </c>
      <c r="O131" s="12">
        <v>4.7</v>
      </c>
      <c r="P131" s="14">
        <v>46089</v>
      </c>
      <c r="Q131" s="12" t="s">
        <v>1775</v>
      </c>
    </row>
    <row r="132" spans="1:17" x14ac:dyDescent="0.3">
      <c r="A132" s="12" t="s">
        <v>193</v>
      </c>
      <c r="B132" s="12" t="s">
        <v>194</v>
      </c>
      <c r="C132" s="12" t="s">
        <v>71</v>
      </c>
      <c r="D132" s="12" t="s">
        <v>1780</v>
      </c>
      <c r="E132" s="12" t="s">
        <v>1781</v>
      </c>
      <c r="F132" s="12">
        <v>336</v>
      </c>
      <c r="G132" s="12">
        <v>221</v>
      </c>
      <c r="H132" s="12">
        <v>115</v>
      </c>
      <c r="I132" s="12">
        <v>36</v>
      </c>
      <c r="J132" s="12">
        <v>56870</v>
      </c>
      <c r="K132" s="12">
        <v>66996.47</v>
      </c>
      <c r="L132" s="12">
        <v>6540050</v>
      </c>
      <c r="M132" s="12">
        <v>2</v>
      </c>
      <c r="N132" s="12">
        <v>7</v>
      </c>
      <c r="O132" s="12">
        <v>4.9000000000000004</v>
      </c>
      <c r="P132" s="14">
        <v>46093</v>
      </c>
      <c r="Q132" s="12" t="s">
        <v>1775</v>
      </c>
    </row>
    <row r="133" spans="1:17" x14ac:dyDescent="0.3">
      <c r="A133" s="12" t="s">
        <v>197</v>
      </c>
      <c r="B133" s="12" t="s">
        <v>198</v>
      </c>
      <c r="C133" s="12" t="s">
        <v>30</v>
      </c>
      <c r="D133" s="12" t="s">
        <v>1773</v>
      </c>
      <c r="E133" s="12" t="s">
        <v>1779</v>
      </c>
      <c r="F133" s="12">
        <v>67</v>
      </c>
      <c r="G133" s="12">
        <v>41</v>
      </c>
      <c r="H133" s="12">
        <v>26</v>
      </c>
      <c r="I133" s="12">
        <v>48</v>
      </c>
      <c r="J133" s="12">
        <v>37550</v>
      </c>
      <c r="K133" s="12">
        <v>52366.64</v>
      </c>
      <c r="L133" s="12">
        <v>976300</v>
      </c>
      <c r="M133" s="12">
        <v>2</v>
      </c>
      <c r="N133" s="12">
        <v>12</v>
      </c>
      <c r="O133" s="12">
        <v>4.4000000000000004</v>
      </c>
      <c r="P133" s="14">
        <v>46074</v>
      </c>
      <c r="Q133" s="12" t="s">
        <v>1782</v>
      </c>
    </row>
    <row r="134" spans="1:17" x14ac:dyDescent="0.3">
      <c r="A134" s="12" t="s">
        <v>42</v>
      </c>
      <c r="B134" s="12" t="s">
        <v>43</v>
      </c>
      <c r="C134" s="12" t="s">
        <v>30</v>
      </c>
      <c r="D134" s="12" t="s">
        <v>1773</v>
      </c>
      <c r="E134" s="12" t="s">
        <v>1777</v>
      </c>
      <c r="F134" s="12">
        <v>158</v>
      </c>
      <c r="G134" s="12">
        <v>0</v>
      </c>
      <c r="H134" s="12">
        <v>158</v>
      </c>
      <c r="I134" s="12">
        <v>50</v>
      </c>
      <c r="J134" s="12">
        <v>54933</v>
      </c>
      <c r="K134" s="12">
        <v>76499.11</v>
      </c>
      <c r="L134" s="12">
        <v>8679414</v>
      </c>
      <c r="M134" s="12">
        <v>5</v>
      </c>
      <c r="N134" s="12">
        <v>10</v>
      </c>
      <c r="O134" s="12">
        <v>4.0999999999999996</v>
      </c>
      <c r="P134" s="14">
        <v>46078</v>
      </c>
      <c r="Q134" s="12" t="s">
        <v>1775</v>
      </c>
    </row>
    <row r="135" spans="1:17" x14ac:dyDescent="0.3">
      <c r="A135" s="12" t="s">
        <v>387</v>
      </c>
      <c r="B135" s="12" t="s">
        <v>388</v>
      </c>
      <c r="C135" s="12" t="s">
        <v>54</v>
      </c>
      <c r="D135" s="12" t="s">
        <v>1780</v>
      </c>
      <c r="E135" s="12" t="s">
        <v>1781</v>
      </c>
      <c r="F135" s="12">
        <v>182</v>
      </c>
      <c r="G135" s="12">
        <v>146</v>
      </c>
      <c r="H135" s="12">
        <v>36</v>
      </c>
      <c r="I135" s="12">
        <v>36</v>
      </c>
      <c r="J135" s="12">
        <v>56864</v>
      </c>
      <c r="K135" s="12">
        <v>63279.77</v>
      </c>
      <c r="L135" s="12">
        <v>2047104</v>
      </c>
      <c r="M135" s="12">
        <v>1</v>
      </c>
      <c r="N135" s="12">
        <v>3</v>
      </c>
      <c r="O135" s="12">
        <v>3.6</v>
      </c>
      <c r="P135" s="14">
        <v>46056</v>
      </c>
      <c r="Q135" s="12" t="s">
        <v>1775</v>
      </c>
    </row>
    <row r="136" spans="1:17" x14ac:dyDescent="0.3">
      <c r="A136" s="12" t="s">
        <v>269</v>
      </c>
      <c r="B136" s="12" t="s">
        <v>270</v>
      </c>
      <c r="C136" s="12" t="s">
        <v>71</v>
      </c>
      <c r="D136" s="12" t="s">
        <v>1780</v>
      </c>
      <c r="E136" s="12" t="s">
        <v>1774</v>
      </c>
      <c r="F136" s="12">
        <v>475</v>
      </c>
      <c r="G136" s="12">
        <v>134</v>
      </c>
      <c r="H136" s="12">
        <v>341</v>
      </c>
      <c r="I136" s="12">
        <v>74</v>
      </c>
      <c r="J136" s="12">
        <v>54334</v>
      </c>
      <c r="K136" s="12">
        <v>65123.55</v>
      </c>
      <c r="L136" s="12">
        <v>18527894</v>
      </c>
      <c r="M136" s="12">
        <v>1</v>
      </c>
      <c r="N136" s="12">
        <v>12</v>
      </c>
      <c r="O136" s="12">
        <v>3.9</v>
      </c>
      <c r="P136" s="14">
        <v>46159</v>
      </c>
      <c r="Q136" s="12" t="s">
        <v>1775</v>
      </c>
    </row>
    <row r="137" spans="1:17" x14ac:dyDescent="0.3">
      <c r="A137" s="12" t="s">
        <v>168</v>
      </c>
      <c r="B137" s="12" t="s">
        <v>169</v>
      </c>
      <c r="C137" s="12" t="s">
        <v>102</v>
      </c>
      <c r="D137" s="12" t="s">
        <v>1773</v>
      </c>
      <c r="E137" s="12" t="s">
        <v>1779</v>
      </c>
      <c r="F137" s="12">
        <v>318</v>
      </c>
      <c r="G137" s="12">
        <v>186</v>
      </c>
      <c r="H137" s="12">
        <v>132</v>
      </c>
      <c r="I137" s="12">
        <v>48</v>
      </c>
      <c r="J137" s="12">
        <v>13644</v>
      </c>
      <c r="K137" s="12">
        <v>16677.38</v>
      </c>
      <c r="L137" s="12">
        <v>1801008</v>
      </c>
      <c r="M137" s="12">
        <v>2</v>
      </c>
      <c r="N137" s="12">
        <v>13</v>
      </c>
      <c r="O137" s="12">
        <v>4.4000000000000004</v>
      </c>
      <c r="P137" s="14">
        <v>46160</v>
      </c>
      <c r="Q137" s="12" t="s">
        <v>1775</v>
      </c>
    </row>
    <row r="138" spans="1:17" x14ac:dyDescent="0.3">
      <c r="A138" s="12" t="s">
        <v>69</v>
      </c>
      <c r="B138" s="12" t="s">
        <v>70</v>
      </c>
      <c r="C138" s="12" t="s">
        <v>71</v>
      </c>
      <c r="D138" s="12" t="s">
        <v>1778</v>
      </c>
      <c r="E138" s="12" t="s">
        <v>1777</v>
      </c>
      <c r="F138" s="12">
        <v>440</v>
      </c>
      <c r="G138" s="12">
        <v>174</v>
      </c>
      <c r="H138" s="12">
        <v>266</v>
      </c>
      <c r="I138" s="12">
        <v>65</v>
      </c>
      <c r="J138" s="12">
        <v>6843</v>
      </c>
      <c r="K138" s="12">
        <v>7772.86</v>
      </c>
      <c r="L138" s="12">
        <v>1820238</v>
      </c>
      <c r="M138" s="12">
        <v>1</v>
      </c>
      <c r="N138" s="12">
        <v>12</v>
      </c>
      <c r="O138" s="12">
        <v>4</v>
      </c>
      <c r="P138" s="14">
        <v>46129</v>
      </c>
      <c r="Q138" s="12" t="s">
        <v>1775</v>
      </c>
    </row>
    <row r="139" spans="1:17" x14ac:dyDescent="0.3">
      <c r="A139" s="12" t="s">
        <v>90</v>
      </c>
      <c r="B139" s="12" t="s">
        <v>91</v>
      </c>
      <c r="C139" s="12" t="s">
        <v>71</v>
      </c>
      <c r="D139" s="12" t="s">
        <v>1780</v>
      </c>
      <c r="E139" s="12" t="s">
        <v>1777</v>
      </c>
      <c r="F139" s="12">
        <v>141</v>
      </c>
      <c r="G139" s="12">
        <v>40</v>
      </c>
      <c r="H139" s="12">
        <v>101</v>
      </c>
      <c r="I139" s="12">
        <v>38</v>
      </c>
      <c r="J139" s="12">
        <v>48037</v>
      </c>
      <c r="K139" s="12">
        <v>63977.08</v>
      </c>
      <c r="L139" s="12">
        <v>4851737</v>
      </c>
      <c r="M139" s="12">
        <v>0</v>
      </c>
      <c r="N139" s="12">
        <v>4</v>
      </c>
      <c r="O139" s="12">
        <v>4.2</v>
      </c>
      <c r="P139" s="14">
        <v>46127</v>
      </c>
      <c r="Q139" s="12" t="s">
        <v>1775</v>
      </c>
    </row>
    <row r="140" spans="1:17" x14ac:dyDescent="0.3">
      <c r="A140" s="12" t="s">
        <v>367</v>
      </c>
      <c r="B140" s="12" t="s">
        <v>368</v>
      </c>
      <c r="C140" s="12" t="s">
        <v>71</v>
      </c>
      <c r="D140" s="12" t="s">
        <v>1778</v>
      </c>
      <c r="E140" s="12" t="s">
        <v>1777</v>
      </c>
      <c r="F140" s="12">
        <v>498</v>
      </c>
      <c r="G140" s="12">
        <v>396</v>
      </c>
      <c r="H140" s="12">
        <v>102</v>
      </c>
      <c r="I140" s="12">
        <v>63</v>
      </c>
      <c r="J140" s="12">
        <v>44448</v>
      </c>
      <c r="K140" s="12">
        <v>55013.8</v>
      </c>
      <c r="L140" s="12">
        <v>4533696</v>
      </c>
      <c r="M140" s="12">
        <v>3</v>
      </c>
      <c r="N140" s="12">
        <v>9</v>
      </c>
      <c r="O140" s="12">
        <v>4</v>
      </c>
      <c r="P140" s="14">
        <v>46174</v>
      </c>
      <c r="Q140" s="12" t="s">
        <v>1775</v>
      </c>
    </row>
    <row r="141" spans="1:17" x14ac:dyDescent="0.3">
      <c r="A141" s="12" t="s">
        <v>69</v>
      </c>
      <c r="B141" s="12" t="s">
        <v>70</v>
      </c>
      <c r="C141" s="12" t="s">
        <v>71</v>
      </c>
      <c r="D141" s="12" t="s">
        <v>1773</v>
      </c>
      <c r="E141" s="12" t="s">
        <v>1779</v>
      </c>
      <c r="F141" s="12">
        <v>97</v>
      </c>
      <c r="G141" s="12">
        <v>39</v>
      </c>
      <c r="H141" s="12">
        <v>58</v>
      </c>
      <c r="I141" s="12">
        <v>42</v>
      </c>
      <c r="J141" s="12">
        <v>13465</v>
      </c>
      <c r="K141" s="12">
        <v>17483.439999999999</v>
      </c>
      <c r="L141" s="12">
        <v>780970</v>
      </c>
      <c r="M141" s="12">
        <v>0</v>
      </c>
      <c r="N141" s="12">
        <v>12</v>
      </c>
      <c r="O141" s="12">
        <v>4.9000000000000004</v>
      </c>
      <c r="P141" s="14">
        <v>46197</v>
      </c>
      <c r="Q141" s="12" t="s">
        <v>1775</v>
      </c>
    </row>
    <row r="142" spans="1:17" x14ac:dyDescent="0.3">
      <c r="A142" s="12" t="s">
        <v>717</v>
      </c>
      <c r="B142" s="12" t="s">
        <v>718</v>
      </c>
      <c r="C142" s="12" t="s">
        <v>102</v>
      </c>
      <c r="D142" s="12" t="s">
        <v>1780</v>
      </c>
      <c r="E142" s="12" t="s">
        <v>1781</v>
      </c>
      <c r="F142" s="12">
        <v>347</v>
      </c>
      <c r="G142" s="12">
        <v>336</v>
      </c>
      <c r="H142" s="12">
        <v>11</v>
      </c>
      <c r="I142" s="12">
        <v>29</v>
      </c>
      <c r="J142" s="12">
        <v>1658</v>
      </c>
      <c r="K142" s="12">
        <v>2176.34</v>
      </c>
      <c r="L142" s="12">
        <v>18238</v>
      </c>
      <c r="M142" s="12">
        <v>4</v>
      </c>
      <c r="N142" s="12">
        <v>14</v>
      </c>
      <c r="O142" s="12">
        <v>3.6</v>
      </c>
      <c r="P142" s="14">
        <v>46173</v>
      </c>
      <c r="Q142" s="12" t="s">
        <v>1782</v>
      </c>
    </row>
    <row r="143" spans="1:17" x14ac:dyDescent="0.3">
      <c r="A143" s="12" t="s">
        <v>358</v>
      </c>
      <c r="B143" s="12" t="s">
        <v>359</v>
      </c>
      <c r="C143" s="12" t="s">
        <v>102</v>
      </c>
      <c r="D143" s="12" t="s">
        <v>1780</v>
      </c>
      <c r="E143" s="12" t="s">
        <v>1777</v>
      </c>
      <c r="F143" s="12">
        <v>331</v>
      </c>
      <c r="G143" s="12">
        <v>255</v>
      </c>
      <c r="H143" s="12">
        <v>76</v>
      </c>
      <c r="I143" s="12">
        <v>32</v>
      </c>
      <c r="J143" s="12">
        <v>50606</v>
      </c>
      <c r="K143" s="12">
        <v>59446.879999999997</v>
      </c>
      <c r="L143" s="12">
        <v>3846056</v>
      </c>
      <c r="M143" s="12">
        <v>5</v>
      </c>
      <c r="N143" s="12">
        <v>12</v>
      </c>
      <c r="O143" s="12">
        <v>4.8</v>
      </c>
      <c r="P143" s="14">
        <v>46096</v>
      </c>
      <c r="Q143" s="12" t="s">
        <v>1775</v>
      </c>
    </row>
    <row r="144" spans="1:17" x14ac:dyDescent="0.3">
      <c r="A144" s="12" t="s">
        <v>206</v>
      </c>
      <c r="B144" s="12" t="s">
        <v>207</v>
      </c>
      <c r="C144" s="12" t="s">
        <v>30</v>
      </c>
      <c r="D144" s="12" t="s">
        <v>1773</v>
      </c>
      <c r="E144" s="12" t="s">
        <v>1781</v>
      </c>
      <c r="F144" s="12">
        <v>442</v>
      </c>
      <c r="G144" s="12">
        <v>442</v>
      </c>
      <c r="H144" s="12">
        <v>0</v>
      </c>
      <c r="I144" s="12">
        <v>73</v>
      </c>
      <c r="J144" s="12">
        <v>1516</v>
      </c>
      <c r="K144" s="12">
        <v>1825.6</v>
      </c>
      <c r="L144" s="12">
        <v>0</v>
      </c>
      <c r="M144" s="12">
        <v>5</v>
      </c>
      <c r="N144" s="12">
        <v>2</v>
      </c>
      <c r="O144" s="12">
        <v>4.5</v>
      </c>
      <c r="P144" s="14">
        <v>46177</v>
      </c>
      <c r="Q144" s="12" t="s">
        <v>1783</v>
      </c>
    </row>
    <row r="145" spans="1:17" x14ac:dyDescent="0.3">
      <c r="A145" s="12" t="s">
        <v>678</v>
      </c>
      <c r="B145" s="12" t="s">
        <v>679</v>
      </c>
      <c r="C145" s="12" t="s">
        <v>54</v>
      </c>
      <c r="D145" s="12" t="s">
        <v>1773</v>
      </c>
      <c r="E145" s="12" t="s">
        <v>1781</v>
      </c>
      <c r="F145" s="12">
        <v>397</v>
      </c>
      <c r="G145" s="12">
        <v>229</v>
      </c>
      <c r="H145" s="12">
        <v>168</v>
      </c>
      <c r="I145" s="12">
        <v>50</v>
      </c>
      <c r="J145" s="12">
        <v>57849</v>
      </c>
      <c r="K145" s="12">
        <v>65567.53</v>
      </c>
      <c r="L145" s="12">
        <v>9718632</v>
      </c>
      <c r="M145" s="12">
        <v>1</v>
      </c>
      <c r="N145" s="12">
        <v>12</v>
      </c>
      <c r="O145" s="12">
        <v>4.3</v>
      </c>
      <c r="P145" s="14">
        <v>46063</v>
      </c>
      <c r="Q145" s="12" t="s">
        <v>1775</v>
      </c>
    </row>
    <row r="146" spans="1:17" x14ac:dyDescent="0.3">
      <c r="A146" s="12" t="s">
        <v>172</v>
      </c>
      <c r="B146" s="12" t="s">
        <v>173</v>
      </c>
      <c r="C146" s="12" t="s">
        <v>54</v>
      </c>
      <c r="D146" s="12" t="s">
        <v>1778</v>
      </c>
      <c r="E146" s="12" t="s">
        <v>1779</v>
      </c>
      <c r="F146" s="12">
        <v>401</v>
      </c>
      <c r="G146" s="12">
        <v>263</v>
      </c>
      <c r="H146" s="12">
        <v>138</v>
      </c>
      <c r="I146" s="12">
        <v>80</v>
      </c>
      <c r="J146" s="12">
        <v>4844</v>
      </c>
      <c r="K146" s="12">
        <v>6516.45</v>
      </c>
      <c r="L146" s="12">
        <v>668472</v>
      </c>
      <c r="M146" s="12">
        <v>4</v>
      </c>
      <c r="N146" s="12">
        <v>12</v>
      </c>
      <c r="O146" s="12">
        <v>4.2</v>
      </c>
      <c r="P146" s="14">
        <v>46185</v>
      </c>
      <c r="Q146" s="12" t="s">
        <v>1775</v>
      </c>
    </row>
    <row r="147" spans="1:17" x14ac:dyDescent="0.3">
      <c r="A147" s="12" t="s">
        <v>553</v>
      </c>
      <c r="B147" s="12" t="s">
        <v>554</v>
      </c>
      <c r="C147" s="12" t="s">
        <v>54</v>
      </c>
      <c r="D147" s="12" t="s">
        <v>1778</v>
      </c>
      <c r="E147" s="12" t="s">
        <v>1779</v>
      </c>
      <c r="F147" s="12">
        <v>146</v>
      </c>
      <c r="G147" s="12">
        <v>108</v>
      </c>
      <c r="H147" s="12">
        <v>38</v>
      </c>
      <c r="I147" s="12">
        <v>58</v>
      </c>
      <c r="J147" s="12">
        <v>2323</v>
      </c>
      <c r="K147" s="12">
        <v>2753.22</v>
      </c>
      <c r="L147" s="12">
        <v>88274</v>
      </c>
      <c r="M147" s="12">
        <v>4</v>
      </c>
      <c r="N147" s="12">
        <v>3</v>
      </c>
      <c r="O147" s="12">
        <v>4.5</v>
      </c>
      <c r="P147" s="14">
        <v>46056</v>
      </c>
      <c r="Q147" s="12" t="s">
        <v>1782</v>
      </c>
    </row>
    <row r="148" spans="1:17" x14ac:dyDescent="0.3">
      <c r="A148" s="12" t="s">
        <v>213</v>
      </c>
      <c r="B148" s="12" t="s">
        <v>214</v>
      </c>
      <c r="C148" s="12" t="s">
        <v>54</v>
      </c>
      <c r="D148" s="12" t="s">
        <v>1778</v>
      </c>
      <c r="E148" s="12" t="s">
        <v>1774</v>
      </c>
      <c r="F148" s="12">
        <v>279</v>
      </c>
      <c r="G148" s="12">
        <v>20</v>
      </c>
      <c r="H148" s="12">
        <v>259</v>
      </c>
      <c r="I148" s="12">
        <v>41</v>
      </c>
      <c r="J148" s="12">
        <v>54453</v>
      </c>
      <c r="K148" s="12">
        <v>62530.47</v>
      </c>
      <c r="L148" s="12">
        <v>14103327</v>
      </c>
      <c r="M148" s="12">
        <v>0</v>
      </c>
      <c r="N148" s="12">
        <v>8</v>
      </c>
      <c r="O148" s="12">
        <v>4.0999999999999996</v>
      </c>
      <c r="P148" s="14">
        <v>46088</v>
      </c>
      <c r="Q148" s="12" t="s">
        <v>1775</v>
      </c>
    </row>
    <row r="149" spans="1:17" x14ac:dyDescent="0.3">
      <c r="A149" s="12" t="s">
        <v>306</v>
      </c>
      <c r="B149" s="12" t="s">
        <v>307</v>
      </c>
      <c r="C149" s="12" t="s">
        <v>71</v>
      </c>
      <c r="D149" s="12" t="s">
        <v>1776</v>
      </c>
      <c r="E149" s="12" t="s">
        <v>1777</v>
      </c>
      <c r="F149" s="12">
        <v>178</v>
      </c>
      <c r="G149" s="12">
        <v>1</v>
      </c>
      <c r="H149" s="12">
        <v>177</v>
      </c>
      <c r="I149" s="12">
        <v>69</v>
      </c>
      <c r="J149" s="12">
        <v>34031</v>
      </c>
      <c r="K149" s="12">
        <v>45331.13</v>
      </c>
      <c r="L149" s="12">
        <v>6023487</v>
      </c>
      <c r="M149" s="12">
        <v>0</v>
      </c>
      <c r="N149" s="12">
        <v>6</v>
      </c>
      <c r="O149" s="12">
        <v>4.5999999999999996</v>
      </c>
      <c r="P149" s="14">
        <v>46130</v>
      </c>
      <c r="Q149" s="12" t="s">
        <v>1775</v>
      </c>
    </row>
    <row r="150" spans="1:17" x14ac:dyDescent="0.3">
      <c r="A150" s="12" t="s">
        <v>106</v>
      </c>
      <c r="B150" s="12" t="s">
        <v>107</v>
      </c>
      <c r="C150" s="12" t="s">
        <v>30</v>
      </c>
      <c r="D150" s="12" t="s">
        <v>1780</v>
      </c>
      <c r="E150" s="12" t="s">
        <v>1774</v>
      </c>
      <c r="F150" s="12">
        <v>295</v>
      </c>
      <c r="G150" s="12">
        <v>62</v>
      </c>
      <c r="H150" s="12">
        <v>233</v>
      </c>
      <c r="I150" s="12">
        <v>30</v>
      </c>
      <c r="J150" s="12">
        <v>5689</v>
      </c>
      <c r="K150" s="12">
        <v>7743.88</v>
      </c>
      <c r="L150" s="12">
        <v>1325537</v>
      </c>
      <c r="M150" s="12">
        <v>4</v>
      </c>
      <c r="N150" s="12">
        <v>8</v>
      </c>
      <c r="O150" s="12">
        <v>4.5999999999999996</v>
      </c>
      <c r="P150" s="14">
        <v>46119</v>
      </c>
      <c r="Q150" s="12" t="s">
        <v>1775</v>
      </c>
    </row>
    <row r="151" spans="1:17" x14ac:dyDescent="0.3">
      <c r="A151" s="12" t="s">
        <v>334</v>
      </c>
      <c r="B151" s="12" t="s">
        <v>335</v>
      </c>
      <c r="C151" s="12" t="s">
        <v>71</v>
      </c>
      <c r="D151" s="12" t="s">
        <v>1773</v>
      </c>
      <c r="E151" s="12" t="s">
        <v>1779</v>
      </c>
      <c r="F151" s="12">
        <v>75</v>
      </c>
      <c r="G151" s="12">
        <v>35</v>
      </c>
      <c r="H151" s="12">
        <v>40</v>
      </c>
      <c r="I151" s="12">
        <v>40</v>
      </c>
      <c r="J151" s="12">
        <v>23748</v>
      </c>
      <c r="K151" s="12">
        <v>31823.48</v>
      </c>
      <c r="L151" s="12">
        <v>949920</v>
      </c>
      <c r="M151" s="12">
        <v>2</v>
      </c>
      <c r="N151" s="12">
        <v>7</v>
      </c>
      <c r="O151" s="12">
        <v>4.7</v>
      </c>
      <c r="P151" s="14">
        <v>46101</v>
      </c>
      <c r="Q151" s="12" t="s">
        <v>1775</v>
      </c>
    </row>
    <row r="152" spans="1:17" x14ac:dyDescent="0.3">
      <c r="A152" s="12" t="s">
        <v>118</v>
      </c>
      <c r="B152" s="12" t="s">
        <v>119</v>
      </c>
      <c r="C152" s="12" t="s">
        <v>54</v>
      </c>
      <c r="D152" s="12" t="s">
        <v>1776</v>
      </c>
      <c r="E152" s="12" t="s">
        <v>1774</v>
      </c>
      <c r="F152" s="12">
        <v>271</v>
      </c>
      <c r="G152" s="12">
        <v>113</v>
      </c>
      <c r="H152" s="12">
        <v>158</v>
      </c>
      <c r="I152" s="12">
        <v>76</v>
      </c>
      <c r="J152" s="12">
        <v>8715</v>
      </c>
      <c r="K152" s="12">
        <v>11466.63</v>
      </c>
      <c r="L152" s="12">
        <v>1376970</v>
      </c>
      <c r="M152" s="12">
        <v>3</v>
      </c>
      <c r="N152" s="12">
        <v>5</v>
      </c>
      <c r="O152" s="12">
        <v>4.5999999999999996</v>
      </c>
      <c r="P152" s="14">
        <v>46182</v>
      </c>
      <c r="Q152" s="12" t="s">
        <v>1775</v>
      </c>
    </row>
    <row r="153" spans="1:17" x14ac:dyDescent="0.3">
      <c r="A153" s="12" t="s">
        <v>526</v>
      </c>
      <c r="B153" s="12" t="s">
        <v>527</v>
      </c>
      <c r="C153" s="12" t="s">
        <v>71</v>
      </c>
      <c r="D153" s="12" t="s">
        <v>1778</v>
      </c>
      <c r="E153" s="12" t="s">
        <v>1779</v>
      </c>
      <c r="F153" s="12">
        <v>455</v>
      </c>
      <c r="G153" s="12">
        <v>281</v>
      </c>
      <c r="H153" s="12">
        <v>174</v>
      </c>
      <c r="I153" s="12">
        <v>66</v>
      </c>
      <c r="J153" s="12">
        <v>20889</v>
      </c>
      <c r="K153" s="12">
        <v>25963.7</v>
      </c>
      <c r="L153" s="12">
        <v>3634686</v>
      </c>
      <c r="M153" s="12">
        <v>3</v>
      </c>
      <c r="N153" s="12">
        <v>8</v>
      </c>
      <c r="O153" s="12">
        <v>4.2</v>
      </c>
      <c r="P153" s="14">
        <v>46157</v>
      </c>
      <c r="Q153" s="12" t="s">
        <v>1775</v>
      </c>
    </row>
    <row r="154" spans="1:17" x14ac:dyDescent="0.3">
      <c r="A154" s="12" t="s">
        <v>193</v>
      </c>
      <c r="B154" s="12" t="s">
        <v>194</v>
      </c>
      <c r="C154" s="12" t="s">
        <v>71</v>
      </c>
      <c r="D154" s="12" t="s">
        <v>1776</v>
      </c>
      <c r="E154" s="12" t="s">
        <v>1777</v>
      </c>
      <c r="F154" s="12">
        <v>255</v>
      </c>
      <c r="G154" s="12">
        <v>3</v>
      </c>
      <c r="H154" s="12">
        <v>252</v>
      </c>
      <c r="I154" s="12">
        <v>35</v>
      </c>
      <c r="J154" s="12">
        <v>46244</v>
      </c>
      <c r="K154" s="12">
        <v>64352.79</v>
      </c>
      <c r="L154" s="12">
        <v>11653488</v>
      </c>
      <c r="M154" s="12">
        <v>3</v>
      </c>
      <c r="N154" s="12">
        <v>13</v>
      </c>
      <c r="O154" s="12">
        <v>4.5</v>
      </c>
      <c r="P154" s="14">
        <v>46144</v>
      </c>
      <c r="Q154" s="12" t="s">
        <v>1775</v>
      </c>
    </row>
    <row r="155" spans="1:17" x14ac:dyDescent="0.3">
      <c r="A155" s="12" t="s">
        <v>295</v>
      </c>
      <c r="B155" s="12" t="s">
        <v>296</v>
      </c>
      <c r="C155" s="12" t="s">
        <v>30</v>
      </c>
      <c r="D155" s="12" t="s">
        <v>1776</v>
      </c>
      <c r="E155" s="12" t="s">
        <v>1781</v>
      </c>
      <c r="F155" s="12">
        <v>182</v>
      </c>
      <c r="G155" s="12">
        <v>106</v>
      </c>
      <c r="H155" s="12">
        <v>76</v>
      </c>
      <c r="I155" s="12">
        <v>60</v>
      </c>
      <c r="J155" s="12">
        <v>9302</v>
      </c>
      <c r="K155" s="12">
        <v>12920.62</v>
      </c>
      <c r="L155" s="12">
        <v>706952</v>
      </c>
      <c r="M155" s="12">
        <v>2</v>
      </c>
      <c r="N155" s="12">
        <v>15</v>
      </c>
      <c r="O155" s="12">
        <v>3.9</v>
      </c>
      <c r="P155" s="14">
        <v>46138</v>
      </c>
      <c r="Q155" s="12" t="s">
        <v>1775</v>
      </c>
    </row>
    <row r="156" spans="1:17" x14ac:dyDescent="0.3">
      <c r="A156" s="12" t="s">
        <v>118</v>
      </c>
      <c r="B156" s="12" t="s">
        <v>119</v>
      </c>
      <c r="C156" s="12" t="s">
        <v>54</v>
      </c>
      <c r="D156" s="12" t="s">
        <v>1776</v>
      </c>
      <c r="E156" s="12" t="s">
        <v>1777</v>
      </c>
      <c r="F156" s="12">
        <v>140</v>
      </c>
      <c r="G156" s="12">
        <v>12</v>
      </c>
      <c r="H156" s="12">
        <v>128</v>
      </c>
      <c r="I156" s="12">
        <v>34</v>
      </c>
      <c r="J156" s="12">
        <v>44131</v>
      </c>
      <c r="K156" s="12">
        <v>60544.480000000003</v>
      </c>
      <c r="L156" s="12">
        <v>5648768</v>
      </c>
      <c r="M156" s="12">
        <v>0</v>
      </c>
      <c r="N156" s="12">
        <v>14</v>
      </c>
      <c r="O156" s="12">
        <v>4.3</v>
      </c>
      <c r="P156" s="14">
        <v>46115</v>
      </c>
      <c r="Q156" s="12" t="s">
        <v>1775</v>
      </c>
    </row>
    <row r="157" spans="1:17" x14ac:dyDescent="0.3">
      <c r="A157" s="12" t="s">
        <v>299</v>
      </c>
      <c r="B157" s="12" t="s">
        <v>300</v>
      </c>
      <c r="C157" s="12" t="s">
        <v>71</v>
      </c>
      <c r="D157" s="12" t="s">
        <v>1778</v>
      </c>
      <c r="E157" s="12" t="s">
        <v>1781</v>
      </c>
      <c r="F157" s="12">
        <v>157</v>
      </c>
      <c r="G157" s="12">
        <v>5</v>
      </c>
      <c r="H157" s="12">
        <v>152</v>
      </c>
      <c r="I157" s="12">
        <v>62</v>
      </c>
      <c r="J157" s="12">
        <v>57986</v>
      </c>
      <c r="K157" s="12">
        <v>65349.01</v>
      </c>
      <c r="L157" s="12">
        <v>8813872</v>
      </c>
      <c r="M157" s="12">
        <v>5</v>
      </c>
      <c r="N157" s="12">
        <v>10</v>
      </c>
      <c r="O157" s="12">
        <v>3.9</v>
      </c>
      <c r="P157" s="14">
        <v>46107</v>
      </c>
      <c r="Q157" s="12" t="s">
        <v>1775</v>
      </c>
    </row>
    <row r="158" spans="1:17" x14ac:dyDescent="0.3">
      <c r="A158" s="12" t="s">
        <v>541</v>
      </c>
      <c r="B158" s="12" t="s">
        <v>542</v>
      </c>
      <c r="C158" s="12" t="s">
        <v>54</v>
      </c>
      <c r="D158" s="12" t="s">
        <v>1776</v>
      </c>
      <c r="E158" s="12" t="s">
        <v>1779</v>
      </c>
      <c r="F158" s="12">
        <v>498</v>
      </c>
      <c r="G158" s="12">
        <v>374</v>
      </c>
      <c r="H158" s="12">
        <v>124</v>
      </c>
      <c r="I158" s="12">
        <v>43</v>
      </c>
      <c r="J158" s="12">
        <v>57157</v>
      </c>
      <c r="K158" s="12">
        <v>65706.64</v>
      </c>
      <c r="L158" s="12">
        <v>7087468</v>
      </c>
      <c r="M158" s="12">
        <v>0</v>
      </c>
      <c r="N158" s="12">
        <v>3</v>
      </c>
      <c r="O158" s="12">
        <v>4.5</v>
      </c>
      <c r="P158" s="14">
        <v>46184</v>
      </c>
      <c r="Q158" s="12" t="s">
        <v>1775</v>
      </c>
    </row>
    <row r="159" spans="1:17" x14ac:dyDescent="0.3">
      <c r="A159" s="12" t="s">
        <v>284</v>
      </c>
      <c r="B159" s="12" t="s">
        <v>285</v>
      </c>
      <c r="C159" s="12" t="s">
        <v>54</v>
      </c>
      <c r="D159" s="12" t="s">
        <v>1778</v>
      </c>
      <c r="E159" s="12" t="s">
        <v>1781</v>
      </c>
      <c r="F159" s="12">
        <v>108</v>
      </c>
      <c r="G159" s="12">
        <v>49</v>
      </c>
      <c r="H159" s="12">
        <v>59</v>
      </c>
      <c r="I159" s="12">
        <v>78</v>
      </c>
      <c r="J159" s="12">
        <v>18754</v>
      </c>
      <c r="K159" s="12">
        <v>24380.89</v>
      </c>
      <c r="L159" s="12">
        <v>1106486</v>
      </c>
      <c r="M159" s="12">
        <v>4</v>
      </c>
      <c r="N159" s="12">
        <v>8</v>
      </c>
      <c r="O159" s="12">
        <v>3.8</v>
      </c>
      <c r="P159" s="14">
        <v>46176</v>
      </c>
      <c r="Q159" s="12" t="s">
        <v>1782</v>
      </c>
    </row>
    <row r="160" spans="1:17" x14ac:dyDescent="0.3">
      <c r="A160" s="12" t="s">
        <v>574</v>
      </c>
      <c r="B160" s="12" t="s">
        <v>575</v>
      </c>
      <c r="C160" s="12" t="s">
        <v>30</v>
      </c>
      <c r="D160" s="12" t="s">
        <v>1780</v>
      </c>
      <c r="E160" s="12" t="s">
        <v>1777</v>
      </c>
      <c r="F160" s="12">
        <v>56</v>
      </c>
      <c r="G160" s="12">
        <v>18</v>
      </c>
      <c r="H160" s="12">
        <v>38</v>
      </c>
      <c r="I160" s="12">
        <v>44</v>
      </c>
      <c r="J160" s="12">
        <v>15798</v>
      </c>
      <c r="K160" s="12">
        <v>20417.45</v>
      </c>
      <c r="L160" s="12">
        <v>600324</v>
      </c>
      <c r="M160" s="12">
        <v>4</v>
      </c>
      <c r="N160" s="12">
        <v>8</v>
      </c>
      <c r="O160" s="12">
        <v>4.9000000000000004</v>
      </c>
      <c r="P160" s="14">
        <v>46034</v>
      </c>
      <c r="Q160" s="12" t="s">
        <v>1782</v>
      </c>
    </row>
    <row r="161" spans="1:17" x14ac:dyDescent="0.3">
      <c r="A161" s="12" t="s">
        <v>387</v>
      </c>
      <c r="B161" s="12" t="s">
        <v>388</v>
      </c>
      <c r="C161" s="12" t="s">
        <v>54</v>
      </c>
      <c r="D161" s="12" t="s">
        <v>1776</v>
      </c>
      <c r="E161" s="12" t="s">
        <v>1781</v>
      </c>
      <c r="F161" s="12">
        <v>300</v>
      </c>
      <c r="G161" s="12">
        <v>6</v>
      </c>
      <c r="H161" s="12">
        <v>294</v>
      </c>
      <c r="I161" s="12">
        <v>38</v>
      </c>
      <c r="J161" s="12">
        <v>30814</v>
      </c>
      <c r="K161" s="12">
        <v>34938.31</v>
      </c>
      <c r="L161" s="12">
        <v>9059316</v>
      </c>
      <c r="M161" s="12">
        <v>3</v>
      </c>
      <c r="N161" s="12">
        <v>15</v>
      </c>
      <c r="O161" s="12">
        <v>3.5</v>
      </c>
      <c r="P161" s="14">
        <v>46187</v>
      </c>
      <c r="Q161" s="12" t="s">
        <v>1775</v>
      </c>
    </row>
    <row r="162" spans="1:17" x14ac:dyDescent="0.3">
      <c r="A162" s="12" t="s">
        <v>85</v>
      </c>
      <c r="B162" s="12" t="s">
        <v>86</v>
      </c>
      <c r="C162" s="12" t="s">
        <v>71</v>
      </c>
      <c r="D162" s="12" t="s">
        <v>1780</v>
      </c>
      <c r="E162" s="12" t="s">
        <v>1779</v>
      </c>
      <c r="F162" s="12">
        <v>476</v>
      </c>
      <c r="G162" s="12">
        <v>464</v>
      </c>
      <c r="H162" s="12">
        <v>12</v>
      </c>
      <c r="I162" s="12">
        <v>39</v>
      </c>
      <c r="J162" s="12">
        <v>13495</v>
      </c>
      <c r="K162" s="12">
        <v>14945.49</v>
      </c>
      <c r="L162" s="12">
        <v>161940</v>
      </c>
      <c r="M162" s="12">
        <v>1</v>
      </c>
      <c r="N162" s="12">
        <v>12</v>
      </c>
      <c r="O162" s="12">
        <v>4.7</v>
      </c>
      <c r="P162" s="14">
        <v>46050</v>
      </c>
      <c r="Q162" s="12" t="s">
        <v>1782</v>
      </c>
    </row>
    <row r="163" spans="1:17" x14ac:dyDescent="0.3">
      <c r="A163" s="12" t="s">
        <v>160</v>
      </c>
      <c r="B163" s="12" t="s">
        <v>161</v>
      </c>
      <c r="C163" s="12" t="s">
        <v>102</v>
      </c>
      <c r="D163" s="12" t="s">
        <v>1780</v>
      </c>
      <c r="E163" s="12" t="s">
        <v>1781</v>
      </c>
      <c r="F163" s="12">
        <v>179</v>
      </c>
      <c r="G163" s="12">
        <v>168</v>
      </c>
      <c r="H163" s="12">
        <v>11</v>
      </c>
      <c r="I163" s="12">
        <v>27</v>
      </c>
      <c r="J163" s="12">
        <v>16934</v>
      </c>
      <c r="K163" s="12">
        <v>21409.97</v>
      </c>
      <c r="L163" s="12">
        <v>186274</v>
      </c>
      <c r="M163" s="12">
        <v>4</v>
      </c>
      <c r="N163" s="12">
        <v>14</v>
      </c>
      <c r="O163" s="12">
        <v>3.7</v>
      </c>
      <c r="P163" s="14">
        <v>46145</v>
      </c>
      <c r="Q163" s="12" t="s">
        <v>1782</v>
      </c>
    </row>
    <row r="164" spans="1:17" x14ac:dyDescent="0.3">
      <c r="A164" s="12" t="s">
        <v>371</v>
      </c>
      <c r="B164" s="12" t="s">
        <v>372</v>
      </c>
      <c r="C164" s="12" t="s">
        <v>71</v>
      </c>
      <c r="D164" s="12" t="s">
        <v>1773</v>
      </c>
      <c r="E164" s="12" t="s">
        <v>1781</v>
      </c>
      <c r="F164" s="12">
        <v>496</v>
      </c>
      <c r="G164" s="12">
        <v>153</v>
      </c>
      <c r="H164" s="12">
        <v>343</v>
      </c>
      <c r="I164" s="12">
        <v>39</v>
      </c>
      <c r="J164" s="12">
        <v>19474</v>
      </c>
      <c r="K164" s="12">
        <v>25280.37</v>
      </c>
      <c r="L164" s="12">
        <v>6679582</v>
      </c>
      <c r="M164" s="12">
        <v>2</v>
      </c>
      <c r="N164" s="12">
        <v>10</v>
      </c>
      <c r="O164" s="12">
        <v>3.6</v>
      </c>
      <c r="P164" s="14">
        <v>46066</v>
      </c>
      <c r="Q164" s="12" t="s">
        <v>1775</v>
      </c>
    </row>
    <row r="165" spans="1:17" x14ac:dyDescent="0.3">
      <c r="A165" s="12" t="s">
        <v>257</v>
      </c>
      <c r="B165" s="12" t="s">
        <v>258</v>
      </c>
      <c r="C165" s="12" t="s">
        <v>71</v>
      </c>
      <c r="D165" s="12" t="s">
        <v>1778</v>
      </c>
      <c r="E165" s="12" t="s">
        <v>1777</v>
      </c>
      <c r="F165" s="12">
        <v>267</v>
      </c>
      <c r="G165" s="12">
        <v>146</v>
      </c>
      <c r="H165" s="12">
        <v>121</v>
      </c>
      <c r="I165" s="12">
        <v>38</v>
      </c>
      <c r="J165" s="12">
        <v>39551</v>
      </c>
      <c r="K165" s="12">
        <v>54162.44</v>
      </c>
      <c r="L165" s="12">
        <v>4785671</v>
      </c>
      <c r="M165" s="12">
        <v>5</v>
      </c>
      <c r="N165" s="12">
        <v>12</v>
      </c>
      <c r="O165" s="12">
        <v>3.8</v>
      </c>
      <c r="P165" s="14">
        <v>46144</v>
      </c>
      <c r="Q165" s="12" t="s">
        <v>1775</v>
      </c>
    </row>
    <row r="166" spans="1:17" x14ac:dyDescent="0.3">
      <c r="A166" s="12" t="s">
        <v>122</v>
      </c>
      <c r="B166" s="12" t="s">
        <v>123</v>
      </c>
      <c r="C166" s="12" t="s">
        <v>30</v>
      </c>
      <c r="D166" s="12" t="s">
        <v>1773</v>
      </c>
      <c r="E166" s="12" t="s">
        <v>1774</v>
      </c>
      <c r="F166" s="12">
        <v>373</v>
      </c>
      <c r="G166" s="12">
        <v>204</v>
      </c>
      <c r="H166" s="12">
        <v>169</v>
      </c>
      <c r="I166" s="12">
        <v>34</v>
      </c>
      <c r="J166" s="12">
        <v>40404</v>
      </c>
      <c r="K166" s="12">
        <v>52869.38</v>
      </c>
      <c r="L166" s="12">
        <v>6828276</v>
      </c>
      <c r="M166" s="12">
        <v>1</v>
      </c>
      <c r="N166" s="12">
        <v>10</v>
      </c>
      <c r="O166" s="12">
        <v>3.7</v>
      </c>
      <c r="P166" s="14">
        <v>46174</v>
      </c>
      <c r="Q166" s="12" t="s">
        <v>1775</v>
      </c>
    </row>
    <row r="167" spans="1:17" x14ac:dyDescent="0.3">
      <c r="A167" s="12" t="s">
        <v>141</v>
      </c>
      <c r="B167" s="12" t="s">
        <v>142</v>
      </c>
      <c r="C167" s="12" t="s">
        <v>71</v>
      </c>
      <c r="D167" s="12" t="s">
        <v>1773</v>
      </c>
      <c r="E167" s="12" t="s">
        <v>1779</v>
      </c>
      <c r="F167" s="12">
        <v>229</v>
      </c>
      <c r="G167" s="12">
        <v>71</v>
      </c>
      <c r="H167" s="12">
        <v>158</v>
      </c>
      <c r="I167" s="12">
        <v>38</v>
      </c>
      <c r="J167" s="12">
        <v>53447</v>
      </c>
      <c r="K167" s="12">
        <v>68045</v>
      </c>
      <c r="L167" s="12">
        <v>8444626</v>
      </c>
      <c r="M167" s="12">
        <v>0</v>
      </c>
      <c r="N167" s="12">
        <v>3</v>
      </c>
      <c r="O167" s="12">
        <v>3.6</v>
      </c>
      <c r="P167" s="14">
        <v>46139</v>
      </c>
      <c r="Q167" s="12" t="s">
        <v>1775</v>
      </c>
    </row>
    <row r="168" spans="1:17" x14ac:dyDescent="0.3">
      <c r="A168" s="12" t="s">
        <v>299</v>
      </c>
      <c r="B168" s="12" t="s">
        <v>300</v>
      </c>
      <c r="C168" s="12" t="s">
        <v>71</v>
      </c>
      <c r="D168" s="12" t="s">
        <v>1773</v>
      </c>
      <c r="E168" s="12" t="s">
        <v>1781</v>
      </c>
      <c r="F168" s="12">
        <v>476</v>
      </c>
      <c r="G168" s="12">
        <v>415</v>
      </c>
      <c r="H168" s="12">
        <v>61</v>
      </c>
      <c r="I168" s="12">
        <v>21</v>
      </c>
      <c r="J168" s="12">
        <v>31301</v>
      </c>
      <c r="K168" s="12">
        <v>41221.449999999997</v>
      </c>
      <c r="L168" s="12">
        <v>1909361</v>
      </c>
      <c r="M168" s="12">
        <v>5</v>
      </c>
      <c r="N168" s="12">
        <v>7</v>
      </c>
      <c r="O168" s="12">
        <v>3.5</v>
      </c>
      <c r="P168" s="14">
        <v>46111</v>
      </c>
      <c r="Q168" s="12" t="s">
        <v>1775</v>
      </c>
    </row>
    <row r="169" spans="1:17" x14ac:dyDescent="0.3">
      <c r="A169" s="12" t="s">
        <v>566</v>
      </c>
      <c r="B169" s="12" t="s">
        <v>567</v>
      </c>
      <c r="C169" s="12" t="s">
        <v>54</v>
      </c>
      <c r="D169" s="12" t="s">
        <v>1776</v>
      </c>
      <c r="E169" s="12" t="s">
        <v>1777</v>
      </c>
      <c r="F169" s="12">
        <v>212</v>
      </c>
      <c r="G169" s="12">
        <v>138</v>
      </c>
      <c r="H169" s="12">
        <v>74</v>
      </c>
      <c r="I169" s="12">
        <v>62</v>
      </c>
      <c r="J169" s="12">
        <v>50936</v>
      </c>
      <c r="K169" s="12">
        <v>60888.83</v>
      </c>
      <c r="L169" s="12">
        <v>3769264</v>
      </c>
      <c r="M169" s="12">
        <v>1</v>
      </c>
      <c r="N169" s="12">
        <v>8</v>
      </c>
      <c r="O169" s="12">
        <v>4.0999999999999996</v>
      </c>
      <c r="P169" s="14">
        <v>46117</v>
      </c>
      <c r="Q169" s="12" t="s">
        <v>1775</v>
      </c>
    </row>
    <row r="170" spans="1:17" x14ac:dyDescent="0.3">
      <c r="A170" s="12" t="s">
        <v>147</v>
      </c>
      <c r="B170" s="12" t="s">
        <v>148</v>
      </c>
      <c r="C170" s="12" t="s">
        <v>71</v>
      </c>
      <c r="D170" s="12" t="s">
        <v>1773</v>
      </c>
      <c r="E170" s="12" t="s">
        <v>1777</v>
      </c>
      <c r="F170" s="12">
        <v>284</v>
      </c>
      <c r="G170" s="12">
        <v>207</v>
      </c>
      <c r="H170" s="12">
        <v>77</v>
      </c>
      <c r="I170" s="12">
        <v>42</v>
      </c>
      <c r="J170" s="12">
        <v>16970</v>
      </c>
      <c r="K170" s="12">
        <v>21221.56</v>
      </c>
      <c r="L170" s="12">
        <v>1306690</v>
      </c>
      <c r="M170" s="12">
        <v>4</v>
      </c>
      <c r="N170" s="12">
        <v>3</v>
      </c>
      <c r="O170" s="12">
        <v>4.2</v>
      </c>
      <c r="P170" s="14">
        <v>46147</v>
      </c>
      <c r="Q170" s="12" t="s">
        <v>1775</v>
      </c>
    </row>
    <row r="171" spans="1:17" x14ac:dyDescent="0.3">
      <c r="A171" s="12" t="s">
        <v>447</v>
      </c>
      <c r="B171" s="12" t="s">
        <v>448</v>
      </c>
      <c r="C171" s="12" t="s">
        <v>71</v>
      </c>
      <c r="D171" s="12" t="s">
        <v>1773</v>
      </c>
      <c r="E171" s="12" t="s">
        <v>1781</v>
      </c>
      <c r="F171" s="12">
        <v>394</v>
      </c>
      <c r="G171" s="12">
        <v>250</v>
      </c>
      <c r="H171" s="12">
        <v>144</v>
      </c>
      <c r="I171" s="12">
        <v>41</v>
      </c>
      <c r="J171" s="12">
        <v>56649</v>
      </c>
      <c r="K171" s="12">
        <v>72794.320000000007</v>
      </c>
      <c r="L171" s="12">
        <v>8157456</v>
      </c>
      <c r="M171" s="12">
        <v>4</v>
      </c>
      <c r="N171" s="12">
        <v>15</v>
      </c>
      <c r="O171" s="12">
        <v>4</v>
      </c>
      <c r="P171" s="14">
        <v>46153</v>
      </c>
      <c r="Q171" s="12" t="s">
        <v>1775</v>
      </c>
    </row>
    <row r="172" spans="1:17" x14ac:dyDescent="0.3">
      <c r="A172" s="12" t="s">
        <v>447</v>
      </c>
      <c r="B172" s="12" t="s">
        <v>448</v>
      </c>
      <c r="C172" s="12" t="s">
        <v>71</v>
      </c>
      <c r="D172" s="12" t="s">
        <v>1778</v>
      </c>
      <c r="E172" s="12" t="s">
        <v>1777</v>
      </c>
      <c r="F172" s="12">
        <v>448</v>
      </c>
      <c r="G172" s="12">
        <v>414</v>
      </c>
      <c r="H172" s="12">
        <v>34</v>
      </c>
      <c r="I172" s="12">
        <v>64</v>
      </c>
      <c r="J172" s="12">
        <v>25478</v>
      </c>
      <c r="K172" s="12">
        <v>30807.99</v>
      </c>
      <c r="L172" s="12">
        <v>866252</v>
      </c>
      <c r="M172" s="12">
        <v>0</v>
      </c>
      <c r="N172" s="12">
        <v>7</v>
      </c>
      <c r="O172" s="12">
        <v>4.3</v>
      </c>
      <c r="P172" s="14">
        <v>46170</v>
      </c>
      <c r="Q172" s="12" t="s">
        <v>1782</v>
      </c>
    </row>
    <row r="173" spans="1:17" x14ac:dyDescent="0.3">
      <c r="A173" s="12" t="s">
        <v>295</v>
      </c>
      <c r="B173" s="12" t="s">
        <v>296</v>
      </c>
      <c r="C173" s="12" t="s">
        <v>30</v>
      </c>
      <c r="D173" s="12" t="s">
        <v>1778</v>
      </c>
      <c r="E173" s="12" t="s">
        <v>1774</v>
      </c>
      <c r="F173" s="12">
        <v>480</v>
      </c>
      <c r="G173" s="12">
        <v>28</v>
      </c>
      <c r="H173" s="12">
        <v>452</v>
      </c>
      <c r="I173" s="12">
        <v>38</v>
      </c>
      <c r="J173" s="12">
        <v>30626</v>
      </c>
      <c r="K173" s="12">
        <v>35391.18</v>
      </c>
      <c r="L173" s="12">
        <v>13842952</v>
      </c>
      <c r="M173" s="12">
        <v>1</v>
      </c>
      <c r="N173" s="12">
        <v>11</v>
      </c>
      <c r="O173" s="12">
        <v>3.9</v>
      </c>
      <c r="P173" s="14">
        <v>46101</v>
      </c>
      <c r="Q173" s="12" t="s">
        <v>1775</v>
      </c>
    </row>
    <row r="174" spans="1:17" x14ac:dyDescent="0.3">
      <c r="A174" s="12" t="s">
        <v>131</v>
      </c>
      <c r="B174" s="12" t="s">
        <v>132</v>
      </c>
      <c r="C174" s="12" t="s">
        <v>71</v>
      </c>
      <c r="D174" s="12" t="s">
        <v>1778</v>
      </c>
      <c r="E174" s="12" t="s">
        <v>1777</v>
      </c>
      <c r="F174" s="12">
        <v>451</v>
      </c>
      <c r="G174" s="12">
        <v>397</v>
      </c>
      <c r="H174" s="12">
        <v>54</v>
      </c>
      <c r="I174" s="12">
        <v>42</v>
      </c>
      <c r="J174" s="12">
        <v>36636</v>
      </c>
      <c r="K174" s="12">
        <v>47567.49</v>
      </c>
      <c r="L174" s="12">
        <v>1978344</v>
      </c>
      <c r="M174" s="12">
        <v>0</v>
      </c>
      <c r="N174" s="12">
        <v>14</v>
      </c>
      <c r="O174" s="12">
        <v>4.8</v>
      </c>
      <c r="P174" s="14">
        <v>46119</v>
      </c>
      <c r="Q174" s="12" t="s">
        <v>1775</v>
      </c>
    </row>
    <row r="175" spans="1:17" x14ac:dyDescent="0.3">
      <c r="A175" s="12" t="s">
        <v>284</v>
      </c>
      <c r="B175" s="12" t="s">
        <v>285</v>
      </c>
      <c r="C175" s="12" t="s">
        <v>54</v>
      </c>
      <c r="D175" s="12" t="s">
        <v>1780</v>
      </c>
      <c r="E175" s="12" t="s">
        <v>1774</v>
      </c>
      <c r="F175" s="12">
        <v>478</v>
      </c>
      <c r="G175" s="12">
        <v>400</v>
      </c>
      <c r="H175" s="12">
        <v>78</v>
      </c>
      <c r="I175" s="12">
        <v>77</v>
      </c>
      <c r="J175" s="12">
        <v>12790</v>
      </c>
      <c r="K175" s="12">
        <v>17203.79</v>
      </c>
      <c r="L175" s="12">
        <v>997620</v>
      </c>
      <c r="M175" s="12">
        <v>0</v>
      </c>
      <c r="N175" s="12">
        <v>10</v>
      </c>
      <c r="O175" s="12">
        <v>4.2</v>
      </c>
      <c r="P175" s="14">
        <v>46154</v>
      </c>
      <c r="Q175" s="12" t="s">
        <v>1775</v>
      </c>
    </row>
    <row r="176" spans="1:17" x14ac:dyDescent="0.3">
      <c r="A176" s="12" t="s">
        <v>210</v>
      </c>
      <c r="B176" s="12" t="s">
        <v>211</v>
      </c>
      <c r="C176" s="12" t="s">
        <v>102</v>
      </c>
      <c r="D176" s="12" t="s">
        <v>1778</v>
      </c>
      <c r="E176" s="12" t="s">
        <v>1774</v>
      </c>
      <c r="F176" s="12">
        <v>472</v>
      </c>
      <c r="G176" s="12">
        <v>436</v>
      </c>
      <c r="H176" s="12">
        <v>36</v>
      </c>
      <c r="I176" s="12">
        <v>35</v>
      </c>
      <c r="J176" s="12">
        <v>19783</v>
      </c>
      <c r="K176" s="12">
        <v>22317.51</v>
      </c>
      <c r="L176" s="12">
        <v>712188</v>
      </c>
      <c r="M176" s="12">
        <v>1</v>
      </c>
      <c r="N176" s="12">
        <v>15</v>
      </c>
      <c r="O176" s="12">
        <v>3.6</v>
      </c>
      <c r="P176" s="14">
        <v>46031</v>
      </c>
      <c r="Q176" s="12" t="s">
        <v>1775</v>
      </c>
    </row>
    <row r="177" spans="1:17" x14ac:dyDescent="0.3">
      <c r="A177" s="12" t="s">
        <v>324</v>
      </c>
      <c r="B177" s="12" t="s">
        <v>325</v>
      </c>
      <c r="C177" s="12" t="s">
        <v>54</v>
      </c>
      <c r="D177" s="12" t="s">
        <v>1773</v>
      </c>
      <c r="E177" s="12" t="s">
        <v>1777</v>
      </c>
      <c r="F177" s="12">
        <v>53</v>
      </c>
      <c r="G177" s="12">
        <v>41</v>
      </c>
      <c r="H177" s="12">
        <v>12</v>
      </c>
      <c r="I177" s="12">
        <v>22</v>
      </c>
      <c r="J177" s="12">
        <v>46631</v>
      </c>
      <c r="K177" s="12">
        <v>52185.95</v>
      </c>
      <c r="L177" s="12">
        <v>559572</v>
      </c>
      <c r="M177" s="12">
        <v>5</v>
      </c>
      <c r="N177" s="12">
        <v>11</v>
      </c>
      <c r="O177" s="12">
        <v>3.7</v>
      </c>
      <c r="P177" s="14">
        <v>46069</v>
      </c>
      <c r="Q177" s="12" t="s">
        <v>1782</v>
      </c>
    </row>
    <row r="178" spans="1:17" x14ac:dyDescent="0.3">
      <c r="A178" s="12" t="s">
        <v>135</v>
      </c>
      <c r="B178" s="12" t="s">
        <v>136</v>
      </c>
      <c r="C178" s="12" t="s">
        <v>30</v>
      </c>
      <c r="D178" s="12" t="s">
        <v>1773</v>
      </c>
      <c r="E178" s="12" t="s">
        <v>1774</v>
      </c>
      <c r="F178" s="12">
        <v>265</v>
      </c>
      <c r="G178" s="12">
        <v>2</v>
      </c>
      <c r="H178" s="12">
        <v>263</v>
      </c>
      <c r="I178" s="12">
        <v>72</v>
      </c>
      <c r="J178" s="12">
        <v>10656</v>
      </c>
      <c r="K178" s="12">
        <v>12774.78</v>
      </c>
      <c r="L178" s="12">
        <v>2802528</v>
      </c>
      <c r="M178" s="12">
        <v>5</v>
      </c>
      <c r="N178" s="12">
        <v>10</v>
      </c>
      <c r="O178" s="12">
        <v>4.8</v>
      </c>
      <c r="P178" s="14">
        <v>46093</v>
      </c>
      <c r="Q178" s="12" t="s">
        <v>1775</v>
      </c>
    </row>
    <row r="179" spans="1:17" x14ac:dyDescent="0.3">
      <c r="A179" s="12" t="s">
        <v>245</v>
      </c>
      <c r="B179" s="12" t="s">
        <v>246</v>
      </c>
      <c r="C179" s="12" t="s">
        <v>54</v>
      </c>
      <c r="D179" s="12" t="s">
        <v>1778</v>
      </c>
      <c r="E179" s="12" t="s">
        <v>1777</v>
      </c>
      <c r="F179" s="12">
        <v>232</v>
      </c>
      <c r="G179" s="12">
        <v>74</v>
      </c>
      <c r="H179" s="12">
        <v>158</v>
      </c>
      <c r="I179" s="12">
        <v>28</v>
      </c>
      <c r="J179" s="12">
        <v>57823</v>
      </c>
      <c r="K179" s="12">
        <v>69958.05</v>
      </c>
      <c r="L179" s="12">
        <v>9136034</v>
      </c>
      <c r="M179" s="12">
        <v>5</v>
      </c>
      <c r="N179" s="12">
        <v>13</v>
      </c>
      <c r="O179" s="12">
        <v>3.8</v>
      </c>
      <c r="P179" s="14">
        <v>46045</v>
      </c>
      <c r="Q179" s="12" t="s">
        <v>1775</v>
      </c>
    </row>
    <row r="180" spans="1:17" x14ac:dyDescent="0.3">
      <c r="A180" s="12" t="s">
        <v>391</v>
      </c>
      <c r="B180" s="12" t="s">
        <v>392</v>
      </c>
      <c r="C180" s="12" t="s">
        <v>54</v>
      </c>
      <c r="D180" s="12" t="s">
        <v>1780</v>
      </c>
      <c r="E180" s="12" t="s">
        <v>1777</v>
      </c>
      <c r="F180" s="12">
        <v>240</v>
      </c>
      <c r="G180" s="12">
        <v>162</v>
      </c>
      <c r="H180" s="12">
        <v>78</v>
      </c>
      <c r="I180" s="12">
        <v>35</v>
      </c>
      <c r="J180" s="12">
        <v>25231</v>
      </c>
      <c r="K180" s="12">
        <v>33355.839999999997</v>
      </c>
      <c r="L180" s="12">
        <v>1968018</v>
      </c>
      <c r="M180" s="12">
        <v>2</v>
      </c>
      <c r="N180" s="12">
        <v>12</v>
      </c>
      <c r="O180" s="12">
        <v>4.5999999999999996</v>
      </c>
      <c r="P180" s="14">
        <v>46040</v>
      </c>
      <c r="Q180" s="12" t="s">
        <v>1775</v>
      </c>
    </row>
    <row r="181" spans="1:17" x14ac:dyDescent="0.3">
      <c r="A181" s="12" t="s">
        <v>824</v>
      </c>
      <c r="B181" s="12" t="s">
        <v>825</v>
      </c>
      <c r="C181" s="12" t="s">
        <v>71</v>
      </c>
      <c r="D181" s="12" t="s">
        <v>1776</v>
      </c>
      <c r="E181" s="12" t="s">
        <v>1774</v>
      </c>
      <c r="F181" s="12">
        <v>76</v>
      </c>
      <c r="G181" s="12">
        <v>36</v>
      </c>
      <c r="H181" s="12">
        <v>40</v>
      </c>
      <c r="I181" s="12">
        <v>76</v>
      </c>
      <c r="J181" s="12">
        <v>5103</v>
      </c>
      <c r="K181" s="12">
        <v>5716.85</v>
      </c>
      <c r="L181" s="12">
        <v>204120</v>
      </c>
      <c r="M181" s="12">
        <v>3</v>
      </c>
      <c r="N181" s="12">
        <v>14</v>
      </c>
      <c r="O181" s="12">
        <v>4.5999999999999996</v>
      </c>
      <c r="P181" s="14">
        <v>46103</v>
      </c>
      <c r="Q181" s="12" t="s">
        <v>1782</v>
      </c>
    </row>
    <row r="182" spans="1:17" x14ac:dyDescent="0.3">
      <c r="A182" s="12" t="s">
        <v>257</v>
      </c>
      <c r="B182" s="12" t="s">
        <v>258</v>
      </c>
      <c r="C182" s="12" t="s">
        <v>71</v>
      </c>
      <c r="D182" s="12" t="s">
        <v>1773</v>
      </c>
      <c r="E182" s="12" t="s">
        <v>1779</v>
      </c>
      <c r="F182" s="12">
        <v>406</v>
      </c>
      <c r="G182" s="12">
        <v>48</v>
      </c>
      <c r="H182" s="12">
        <v>358</v>
      </c>
      <c r="I182" s="12">
        <v>71</v>
      </c>
      <c r="J182" s="12">
        <v>21152</v>
      </c>
      <c r="K182" s="12">
        <v>28464.639999999999</v>
      </c>
      <c r="L182" s="12">
        <v>7572416</v>
      </c>
      <c r="M182" s="12">
        <v>5</v>
      </c>
      <c r="N182" s="12">
        <v>12</v>
      </c>
      <c r="O182" s="12">
        <v>3.9</v>
      </c>
      <c r="P182" s="14">
        <v>46118</v>
      </c>
      <c r="Q182" s="12" t="s">
        <v>1775</v>
      </c>
    </row>
    <row r="183" spans="1:17" x14ac:dyDescent="0.3">
      <c r="A183" s="12" t="s">
        <v>431</v>
      </c>
      <c r="B183" s="12" t="s">
        <v>432</v>
      </c>
      <c r="C183" s="12" t="s">
        <v>30</v>
      </c>
      <c r="D183" s="12" t="s">
        <v>1776</v>
      </c>
      <c r="E183" s="12" t="s">
        <v>1781</v>
      </c>
      <c r="F183" s="12">
        <v>429</v>
      </c>
      <c r="G183" s="12">
        <v>72</v>
      </c>
      <c r="H183" s="12">
        <v>357</v>
      </c>
      <c r="I183" s="12">
        <v>60</v>
      </c>
      <c r="J183" s="12">
        <v>24331</v>
      </c>
      <c r="K183" s="12">
        <v>32541.32</v>
      </c>
      <c r="L183" s="12">
        <v>8686167</v>
      </c>
      <c r="M183" s="12">
        <v>0</v>
      </c>
      <c r="N183" s="12">
        <v>12</v>
      </c>
      <c r="O183" s="12">
        <v>4.0999999999999996</v>
      </c>
      <c r="P183" s="14">
        <v>46163</v>
      </c>
      <c r="Q183" s="12" t="s">
        <v>1775</v>
      </c>
    </row>
    <row r="184" spans="1:17" x14ac:dyDescent="0.3">
      <c r="A184" s="12" t="s">
        <v>396</v>
      </c>
      <c r="B184" s="12" t="s">
        <v>397</v>
      </c>
      <c r="C184" s="12" t="s">
        <v>54</v>
      </c>
      <c r="D184" s="12" t="s">
        <v>1773</v>
      </c>
      <c r="E184" s="12" t="s">
        <v>1774</v>
      </c>
      <c r="F184" s="12">
        <v>111</v>
      </c>
      <c r="G184" s="12">
        <v>26</v>
      </c>
      <c r="H184" s="12">
        <v>85</v>
      </c>
      <c r="I184" s="12">
        <v>54</v>
      </c>
      <c r="J184" s="12">
        <v>44107</v>
      </c>
      <c r="K184" s="12">
        <v>56382.879999999997</v>
      </c>
      <c r="L184" s="12">
        <v>3749095</v>
      </c>
      <c r="M184" s="12">
        <v>2</v>
      </c>
      <c r="N184" s="12">
        <v>9</v>
      </c>
      <c r="O184" s="12">
        <v>4.8</v>
      </c>
      <c r="P184" s="14">
        <v>46189</v>
      </c>
      <c r="Q184" s="12" t="s">
        <v>1775</v>
      </c>
    </row>
    <row r="185" spans="1:17" x14ac:dyDescent="0.3">
      <c r="A185" s="12" t="s">
        <v>156</v>
      </c>
      <c r="B185" s="12" t="s">
        <v>157</v>
      </c>
      <c r="C185" s="12" t="s">
        <v>30</v>
      </c>
      <c r="D185" s="12" t="s">
        <v>1780</v>
      </c>
      <c r="E185" s="12" t="s">
        <v>1779</v>
      </c>
      <c r="F185" s="12">
        <v>53</v>
      </c>
      <c r="G185" s="12">
        <v>4</v>
      </c>
      <c r="H185" s="12">
        <v>49</v>
      </c>
      <c r="I185" s="12">
        <v>52</v>
      </c>
      <c r="J185" s="12">
        <v>41934</v>
      </c>
      <c r="K185" s="12">
        <v>55713.1</v>
      </c>
      <c r="L185" s="12">
        <v>2054766</v>
      </c>
      <c r="M185" s="12">
        <v>1</v>
      </c>
      <c r="N185" s="12">
        <v>10</v>
      </c>
      <c r="O185" s="12">
        <v>4.8</v>
      </c>
      <c r="P185" s="14">
        <v>46180</v>
      </c>
      <c r="Q185" s="12" t="s">
        <v>1782</v>
      </c>
    </row>
    <row r="186" spans="1:17" x14ac:dyDescent="0.3">
      <c r="A186" s="12" t="s">
        <v>141</v>
      </c>
      <c r="B186" s="12" t="s">
        <v>142</v>
      </c>
      <c r="C186" s="12" t="s">
        <v>71</v>
      </c>
      <c r="D186" s="12" t="s">
        <v>1780</v>
      </c>
      <c r="E186" s="12" t="s">
        <v>1774</v>
      </c>
      <c r="F186" s="12">
        <v>219</v>
      </c>
      <c r="G186" s="12">
        <v>135</v>
      </c>
      <c r="H186" s="12">
        <v>84</v>
      </c>
      <c r="I186" s="12">
        <v>80</v>
      </c>
      <c r="J186" s="12">
        <v>34491</v>
      </c>
      <c r="K186" s="12">
        <v>44464.04</v>
      </c>
      <c r="L186" s="12">
        <v>2897244</v>
      </c>
      <c r="M186" s="12">
        <v>3</v>
      </c>
      <c r="N186" s="12">
        <v>14</v>
      </c>
      <c r="O186" s="12">
        <v>3.6</v>
      </c>
      <c r="P186" s="14">
        <v>46134</v>
      </c>
      <c r="Q186" s="12" t="s">
        <v>1775</v>
      </c>
    </row>
    <row r="187" spans="1:17" x14ac:dyDescent="0.3">
      <c r="A187" s="12" t="s">
        <v>100</v>
      </c>
      <c r="B187" s="12" t="s">
        <v>101</v>
      </c>
      <c r="C187" s="12" t="s">
        <v>102</v>
      </c>
      <c r="D187" s="12" t="s">
        <v>1773</v>
      </c>
      <c r="E187" s="12" t="s">
        <v>1781</v>
      </c>
      <c r="F187" s="12">
        <v>149</v>
      </c>
      <c r="G187" s="12">
        <v>59</v>
      </c>
      <c r="H187" s="12">
        <v>90</v>
      </c>
      <c r="I187" s="12">
        <v>36</v>
      </c>
      <c r="J187" s="12">
        <v>18620</v>
      </c>
      <c r="K187" s="12">
        <v>22844.58</v>
      </c>
      <c r="L187" s="12">
        <v>1675800</v>
      </c>
      <c r="M187" s="12">
        <v>2</v>
      </c>
      <c r="N187" s="12">
        <v>3</v>
      </c>
      <c r="O187" s="12">
        <v>3.7</v>
      </c>
      <c r="P187" s="14">
        <v>46196</v>
      </c>
      <c r="Q187" s="12" t="s">
        <v>1775</v>
      </c>
    </row>
    <row r="188" spans="1:17" x14ac:dyDescent="0.3">
      <c r="A188" s="12" t="s">
        <v>541</v>
      </c>
      <c r="B188" s="12" t="s">
        <v>542</v>
      </c>
      <c r="C188" s="12" t="s">
        <v>54</v>
      </c>
      <c r="D188" s="12" t="s">
        <v>1780</v>
      </c>
      <c r="E188" s="12" t="s">
        <v>1779</v>
      </c>
      <c r="F188" s="12">
        <v>155</v>
      </c>
      <c r="G188" s="12">
        <v>54</v>
      </c>
      <c r="H188" s="12">
        <v>101</v>
      </c>
      <c r="I188" s="12">
        <v>70</v>
      </c>
      <c r="J188" s="12">
        <v>39540</v>
      </c>
      <c r="K188" s="12">
        <v>51326.71</v>
      </c>
      <c r="L188" s="12">
        <v>3993540</v>
      </c>
      <c r="M188" s="12">
        <v>3</v>
      </c>
      <c r="N188" s="12">
        <v>7</v>
      </c>
      <c r="O188" s="12">
        <v>4.7</v>
      </c>
      <c r="P188" s="14">
        <v>46142</v>
      </c>
      <c r="Q188" s="12" t="s">
        <v>1775</v>
      </c>
    </row>
    <row r="189" spans="1:17" x14ac:dyDescent="0.3">
      <c r="A189" s="12" t="s">
        <v>457</v>
      </c>
      <c r="B189" s="12" t="s">
        <v>458</v>
      </c>
      <c r="C189" s="12" t="s">
        <v>71</v>
      </c>
      <c r="D189" s="12" t="s">
        <v>1773</v>
      </c>
      <c r="E189" s="12" t="s">
        <v>1779</v>
      </c>
      <c r="F189" s="12">
        <v>255</v>
      </c>
      <c r="G189" s="12">
        <v>250</v>
      </c>
      <c r="H189" s="12">
        <v>5</v>
      </c>
      <c r="I189" s="12">
        <v>49</v>
      </c>
      <c r="J189" s="12">
        <v>47674</v>
      </c>
      <c r="K189" s="12">
        <v>61068.06</v>
      </c>
      <c r="L189" s="12">
        <v>238370</v>
      </c>
      <c r="M189" s="12">
        <v>4</v>
      </c>
      <c r="N189" s="12">
        <v>13</v>
      </c>
      <c r="O189" s="12">
        <v>3.6</v>
      </c>
      <c r="P189" s="14">
        <v>46166</v>
      </c>
      <c r="Q189" s="12" t="s">
        <v>1782</v>
      </c>
    </row>
    <row r="190" spans="1:17" x14ac:dyDescent="0.3">
      <c r="A190" s="12" t="s">
        <v>152</v>
      </c>
      <c r="B190" s="12" t="s">
        <v>153</v>
      </c>
      <c r="C190" s="12" t="s">
        <v>54</v>
      </c>
      <c r="D190" s="12" t="s">
        <v>1780</v>
      </c>
      <c r="E190" s="12" t="s">
        <v>1774</v>
      </c>
      <c r="F190" s="12">
        <v>114</v>
      </c>
      <c r="G190" s="12">
        <v>93</v>
      </c>
      <c r="H190" s="12">
        <v>21</v>
      </c>
      <c r="I190" s="12">
        <v>48</v>
      </c>
      <c r="J190" s="12">
        <v>39569</v>
      </c>
      <c r="K190" s="12">
        <v>51875.73</v>
      </c>
      <c r="L190" s="12">
        <v>830949</v>
      </c>
      <c r="M190" s="12">
        <v>2</v>
      </c>
      <c r="N190" s="12">
        <v>2</v>
      </c>
      <c r="O190" s="12">
        <v>4.9000000000000004</v>
      </c>
      <c r="P190" s="14">
        <v>46111</v>
      </c>
      <c r="Q190" s="12" t="s">
        <v>1782</v>
      </c>
    </row>
    <row r="191" spans="1:17" x14ac:dyDescent="0.3">
      <c r="A191" s="12" t="s">
        <v>52</v>
      </c>
      <c r="B191" s="12" t="s">
        <v>53</v>
      </c>
      <c r="C191" s="12" t="s">
        <v>54</v>
      </c>
      <c r="D191" s="12" t="s">
        <v>1776</v>
      </c>
      <c r="E191" s="12" t="s">
        <v>1777</v>
      </c>
      <c r="F191" s="12">
        <v>498</v>
      </c>
      <c r="G191" s="12">
        <v>163</v>
      </c>
      <c r="H191" s="12">
        <v>335</v>
      </c>
      <c r="I191" s="12">
        <v>71</v>
      </c>
      <c r="J191" s="12">
        <v>14250</v>
      </c>
      <c r="K191" s="12">
        <v>18499.689999999999</v>
      </c>
      <c r="L191" s="12">
        <v>4773750</v>
      </c>
      <c r="M191" s="12">
        <v>5</v>
      </c>
      <c r="N191" s="12">
        <v>12</v>
      </c>
      <c r="O191" s="12">
        <v>4.9000000000000004</v>
      </c>
      <c r="P191" s="14">
        <v>46117</v>
      </c>
      <c r="Q191" s="12" t="s">
        <v>1775</v>
      </c>
    </row>
    <row r="192" spans="1:17" x14ac:dyDescent="0.3">
      <c r="A192" s="12" t="s">
        <v>338</v>
      </c>
      <c r="B192" s="12" t="s">
        <v>339</v>
      </c>
      <c r="C192" s="12" t="s">
        <v>54</v>
      </c>
      <c r="D192" s="12" t="s">
        <v>1778</v>
      </c>
      <c r="E192" s="12" t="s">
        <v>1774</v>
      </c>
      <c r="F192" s="12">
        <v>333</v>
      </c>
      <c r="G192" s="12">
        <v>173</v>
      </c>
      <c r="H192" s="12">
        <v>160</v>
      </c>
      <c r="I192" s="12">
        <v>44</v>
      </c>
      <c r="J192" s="12">
        <v>37440</v>
      </c>
      <c r="K192" s="12">
        <v>44718.42</v>
      </c>
      <c r="L192" s="12">
        <v>5990400</v>
      </c>
      <c r="M192" s="12">
        <v>0</v>
      </c>
      <c r="N192" s="12">
        <v>14</v>
      </c>
      <c r="O192" s="12">
        <v>4.2</v>
      </c>
      <c r="P192" s="14">
        <v>46036</v>
      </c>
      <c r="Q192" s="12" t="s">
        <v>1775</v>
      </c>
    </row>
    <row r="193" spans="1:17" x14ac:dyDescent="0.3">
      <c r="A193" s="12" t="s">
        <v>79</v>
      </c>
      <c r="B193" s="12" t="s">
        <v>80</v>
      </c>
      <c r="C193" s="12" t="s">
        <v>71</v>
      </c>
      <c r="D193" s="12" t="s">
        <v>1780</v>
      </c>
      <c r="E193" s="12" t="s">
        <v>1779</v>
      </c>
      <c r="F193" s="12">
        <v>420</v>
      </c>
      <c r="G193" s="12">
        <v>169</v>
      </c>
      <c r="H193" s="12">
        <v>251</v>
      </c>
      <c r="I193" s="12">
        <v>51</v>
      </c>
      <c r="J193" s="12">
        <v>10030</v>
      </c>
      <c r="K193" s="12">
        <v>12643.71</v>
      </c>
      <c r="L193" s="12">
        <v>2517530</v>
      </c>
      <c r="M193" s="12">
        <v>0</v>
      </c>
      <c r="N193" s="12">
        <v>15</v>
      </c>
      <c r="O193" s="12">
        <v>4.9000000000000004</v>
      </c>
      <c r="P193" s="14">
        <v>46107</v>
      </c>
      <c r="Q193" s="12" t="s">
        <v>1775</v>
      </c>
    </row>
    <row r="194" spans="1:17" x14ac:dyDescent="0.3">
      <c r="A194" s="12" t="s">
        <v>415</v>
      </c>
      <c r="B194" s="12" t="s">
        <v>416</v>
      </c>
      <c r="C194" s="12" t="s">
        <v>30</v>
      </c>
      <c r="D194" s="12" t="s">
        <v>1778</v>
      </c>
      <c r="E194" s="12" t="s">
        <v>1781</v>
      </c>
      <c r="F194" s="12">
        <v>470</v>
      </c>
      <c r="G194" s="12">
        <v>12</v>
      </c>
      <c r="H194" s="12">
        <v>458</v>
      </c>
      <c r="I194" s="12">
        <v>21</v>
      </c>
      <c r="J194" s="12">
        <v>12282</v>
      </c>
      <c r="K194" s="12">
        <v>16851.07</v>
      </c>
      <c r="L194" s="12">
        <v>5625156</v>
      </c>
      <c r="M194" s="12">
        <v>0</v>
      </c>
      <c r="N194" s="12">
        <v>3</v>
      </c>
      <c r="O194" s="12">
        <v>4.8</v>
      </c>
      <c r="P194" s="14">
        <v>46202</v>
      </c>
      <c r="Q194" s="12" t="s">
        <v>1775</v>
      </c>
    </row>
    <row r="195" spans="1:17" x14ac:dyDescent="0.3">
      <c r="A195" s="12" t="s">
        <v>387</v>
      </c>
      <c r="B195" s="12" t="s">
        <v>388</v>
      </c>
      <c r="C195" s="12" t="s">
        <v>54</v>
      </c>
      <c r="D195" s="12" t="s">
        <v>1778</v>
      </c>
      <c r="E195" s="12" t="s">
        <v>1774</v>
      </c>
      <c r="F195" s="12">
        <v>383</v>
      </c>
      <c r="G195" s="12">
        <v>305</v>
      </c>
      <c r="H195" s="12">
        <v>78</v>
      </c>
      <c r="I195" s="12">
        <v>51</v>
      </c>
      <c r="J195" s="12">
        <v>47187</v>
      </c>
      <c r="K195" s="12">
        <v>58169.18</v>
      </c>
      <c r="L195" s="12">
        <v>3680586</v>
      </c>
      <c r="M195" s="12">
        <v>3</v>
      </c>
      <c r="N195" s="12">
        <v>7</v>
      </c>
      <c r="O195" s="12">
        <v>4.4000000000000004</v>
      </c>
      <c r="P195" s="14">
        <v>46029</v>
      </c>
      <c r="Q195" s="12" t="s">
        <v>1775</v>
      </c>
    </row>
    <row r="196" spans="1:17" x14ac:dyDescent="0.3">
      <c r="A196" s="12" t="s">
        <v>415</v>
      </c>
      <c r="B196" s="12" t="s">
        <v>416</v>
      </c>
      <c r="C196" s="12" t="s">
        <v>30</v>
      </c>
      <c r="D196" s="12" t="s">
        <v>1773</v>
      </c>
      <c r="E196" s="12" t="s">
        <v>1781</v>
      </c>
      <c r="F196" s="12">
        <v>126</v>
      </c>
      <c r="G196" s="12">
        <v>125</v>
      </c>
      <c r="H196" s="12">
        <v>1</v>
      </c>
      <c r="I196" s="12">
        <v>48</v>
      </c>
      <c r="J196" s="12">
        <v>6997</v>
      </c>
      <c r="K196" s="12">
        <v>7797.13</v>
      </c>
      <c r="L196" s="12">
        <v>6997</v>
      </c>
      <c r="M196" s="12">
        <v>4</v>
      </c>
      <c r="N196" s="12">
        <v>7</v>
      </c>
      <c r="O196" s="12">
        <v>4.4000000000000004</v>
      </c>
      <c r="P196" s="14">
        <v>46088</v>
      </c>
      <c r="Q196" s="12" t="s">
        <v>1782</v>
      </c>
    </row>
    <row r="197" spans="1:17" x14ac:dyDescent="0.3">
      <c r="A197" s="12" t="s">
        <v>324</v>
      </c>
      <c r="B197" s="12" t="s">
        <v>325</v>
      </c>
      <c r="C197" s="12" t="s">
        <v>54</v>
      </c>
      <c r="D197" s="12" t="s">
        <v>1780</v>
      </c>
      <c r="E197" s="12" t="s">
        <v>1781</v>
      </c>
      <c r="F197" s="12">
        <v>225</v>
      </c>
      <c r="G197" s="12">
        <v>61</v>
      </c>
      <c r="H197" s="12">
        <v>164</v>
      </c>
      <c r="I197" s="12">
        <v>37</v>
      </c>
      <c r="J197" s="12">
        <v>5297</v>
      </c>
      <c r="K197" s="12">
        <v>7373.41</v>
      </c>
      <c r="L197" s="12">
        <v>868708</v>
      </c>
      <c r="M197" s="12">
        <v>3</v>
      </c>
      <c r="N197" s="12">
        <v>8</v>
      </c>
      <c r="O197" s="12">
        <v>5</v>
      </c>
      <c r="P197" s="14">
        <v>46078</v>
      </c>
      <c r="Q197" s="12" t="s">
        <v>1775</v>
      </c>
    </row>
    <row r="198" spans="1:17" x14ac:dyDescent="0.3">
      <c r="A198" s="12" t="s">
        <v>147</v>
      </c>
      <c r="B198" s="12" t="s">
        <v>148</v>
      </c>
      <c r="C198" s="12" t="s">
        <v>71</v>
      </c>
      <c r="D198" s="12" t="s">
        <v>1773</v>
      </c>
      <c r="E198" s="12" t="s">
        <v>1779</v>
      </c>
      <c r="F198" s="12">
        <v>293</v>
      </c>
      <c r="G198" s="12">
        <v>58</v>
      </c>
      <c r="H198" s="12">
        <v>235</v>
      </c>
      <c r="I198" s="12">
        <v>78</v>
      </c>
      <c r="J198" s="12">
        <v>59665</v>
      </c>
      <c r="K198" s="12">
        <v>81307.100000000006</v>
      </c>
      <c r="L198" s="12">
        <v>14021275</v>
      </c>
      <c r="M198" s="12">
        <v>0</v>
      </c>
      <c r="N198" s="12">
        <v>2</v>
      </c>
      <c r="O198" s="12">
        <v>4.7</v>
      </c>
      <c r="P198" s="14">
        <v>46077</v>
      </c>
      <c r="Q198" s="12" t="s">
        <v>1775</v>
      </c>
    </row>
    <row r="199" spans="1:17" x14ac:dyDescent="0.3">
      <c r="A199" s="12" t="s">
        <v>127</v>
      </c>
      <c r="B199" s="12" t="s">
        <v>128</v>
      </c>
      <c r="C199" s="12" t="s">
        <v>102</v>
      </c>
      <c r="D199" s="12" t="s">
        <v>1773</v>
      </c>
      <c r="E199" s="12" t="s">
        <v>1774</v>
      </c>
      <c r="F199" s="12">
        <v>139</v>
      </c>
      <c r="G199" s="12">
        <v>4</v>
      </c>
      <c r="H199" s="12">
        <v>135</v>
      </c>
      <c r="I199" s="12">
        <v>57</v>
      </c>
      <c r="J199" s="12">
        <v>18066</v>
      </c>
      <c r="K199" s="12">
        <v>21293.91</v>
      </c>
      <c r="L199" s="12">
        <v>2438910</v>
      </c>
      <c r="M199" s="12">
        <v>5</v>
      </c>
      <c r="N199" s="12">
        <v>3</v>
      </c>
      <c r="O199" s="12">
        <v>4.8</v>
      </c>
      <c r="P199" s="14">
        <v>46065</v>
      </c>
      <c r="Q199" s="12" t="s">
        <v>1775</v>
      </c>
    </row>
    <row r="200" spans="1:17" x14ac:dyDescent="0.3">
      <c r="A200" s="12" t="s">
        <v>526</v>
      </c>
      <c r="B200" s="12" t="s">
        <v>527</v>
      </c>
      <c r="C200" s="12" t="s">
        <v>71</v>
      </c>
      <c r="D200" s="12" t="s">
        <v>1780</v>
      </c>
      <c r="E200" s="12" t="s">
        <v>1774</v>
      </c>
      <c r="F200" s="12">
        <v>169</v>
      </c>
      <c r="G200" s="12">
        <v>116</v>
      </c>
      <c r="H200" s="12">
        <v>53</v>
      </c>
      <c r="I200" s="12">
        <v>72</v>
      </c>
      <c r="J200" s="12">
        <v>37151</v>
      </c>
      <c r="K200" s="12">
        <v>47595.5</v>
      </c>
      <c r="L200" s="12">
        <v>1969003</v>
      </c>
      <c r="M200" s="12">
        <v>0</v>
      </c>
      <c r="N200" s="12">
        <v>14</v>
      </c>
      <c r="O200" s="12">
        <v>4.8</v>
      </c>
      <c r="P200" s="14">
        <v>46137</v>
      </c>
      <c r="Q200" s="12" t="s">
        <v>1782</v>
      </c>
    </row>
    <row r="201" spans="1:17" x14ac:dyDescent="0.3">
      <c r="A201" s="12" t="s">
        <v>367</v>
      </c>
      <c r="B201" s="12" t="s">
        <v>368</v>
      </c>
      <c r="C201" s="12" t="s">
        <v>71</v>
      </c>
      <c r="D201" s="12" t="s">
        <v>1780</v>
      </c>
      <c r="E201" s="12" t="s">
        <v>1777</v>
      </c>
      <c r="F201" s="12">
        <v>482</v>
      </c>
      <c r="G201" s="12">
        <v>268</v>
      </c>
      <c r="H201" s="12">
        <v>214</v>
      </c>
      <c r="I201" s="12">
        <v>22</v>
      </c>
      <c r="J201" s="12">
        <v>41369</v>
      </c>
      <c r="K201" s="12">
        <v>47961.72</v>
      </c>
      <c r="L201" s="12">
        <v>8852966</v>
      </c>
      <c r="M201" s="12">
        <v>5</v>
      </c>
      <c r="N201" s="12">
        <v>8</v>
      </c>
      <c r="O201" s="12">
        <v>4.7</v>
      </c>
      <c r="P201" s="14">
        <v>46130</v>
      </c>
      <c r="Q201" s="12" t="s">
        <v>1775</v>
      </c>
    </row>
    <row r="202" spans="1:17" x14ac:dyDescent="0.3">
      <c r="A202" s="12" t="s">
        <v>391</v>
      </c>
      <c r="B202" s="12" t="s">
        <v>392</v>
      </c>
      <c r="C202" s="12" t="s">
        <v>54</v>
      </c>
      <c r="D202" s="12" t="s">
        <v>1776</v>
      </c>
      <c r="E202" s="12" t="s">
        <v>1777</v>
      </c>
      <c r="F202" s="12">
        <v>269</v>
      </c>
      <c r="G202" s="12">
        <v>29</v>
      </c>
      <c r="H202" s="12">
        <v>240</v>
      </c>
      <c r="I202" s="12">
        <v>35</v>
      </c>
      <c r="J202" s="12">
        <v>19158</v>
      </c>
      <c r="K202" s="12">
        <v>23842.79</v>
      </c>
      <c r="L202" s="12">
        <v>4597920</v>
      </c>
      <c r="M202" s="12">
        <v>5</v>
      </c>
      <c r="N202" s="12">
        <v>5</v>
      </c>
      <c r="O202" s="12">
        <v>4.2</v>
      </c>
      <c r="P202" s="14">
        <v>46158</v>
      </c>
      <c r="Q202" s="12" t="s">
        <v>1775</v>
      </c>
    </row>
    <row r="203" spans="1:17" x14ac:dyDescent="0.3">
      <c r="A203" s="12" t="s">
        <v>342</v>
      </c>
      <c r="B203" s="12" t="s">
        <v>343</v>
      </c>
      <c r="C203" s="12" t="s">
        <v>54</v>
      </c>
      <c r="D203" s="12" t="s">
        <v>1773</v>
      </c>
      <c r="E203" s="12" t="s">
        <v>1774</v>
      </c>
      <c r="F203" s="12">
        <v>438</v>
      </c>
      <c r="G203" s="12">
        <v>80</v>
      </c>
      <c r="H203" s="12">
        <v>358</v>
      </c>
      <c r="I203" s="12">
        <v>48</v>
      </c>
      <c r="J203" s="12">
        <v>23186</v>
      </c>
      <c r="K203" s="12">
        <v>30291.03</v>
      </c>
      <c r="L203" s="12">
        <v>8300588</v>
      </c>
      <c r="M203" s="12">
        <v>0</v>
      </c>
      <c r="N203" s="12">
        <v>7</v>
      </c>
      <c r="O203" s="12">
        <v>3.8</v>
      </c>
      <c r="P203" s="14">
        <v>46059</v>
      </c>
      <c r="Q203" s="12" t="s">
        <v>1775</v>
      </c>
    </row>
    <row r="204" spans="1:17" x14ac:dyDescent="0.3">
      <c r="A204" s="12" t="s">
        <v>106</v>
      </c>
      <c r="B204" s="12" t="s">
        <v>107</v>
      </c>
      <c r="C204" s="12" t="s">
        <v>30</v>
      </c>
      <c r="D204" s="12" t="s">
        <v>1778</v>
      </c>
      <c r="E204" s="12" t="s">
        <v>1777</v>
      </c>
      <c r="F204" s="12">
        <v>431</v>
      </c>
      <c r="G204" s="12">
        <v>123</v>
      </c>
      <c r="H204" s="12">
        <v>308</v>
      </c>
      <c r="I204" s="12">
        <v>29</v>
      </c>
      <c r="J204" s="12">
        <v>10649</v>
      </c>
      <c r="K204" s="12">
        <v>13575.53</v>
      </c>
      <c r="L204" s="12">
        <v>3279892</v>
      </c>
      <c r="M204" s="12">
        <v>5</v>
      </c>
      <c r="N204" s="12">
        <v>15</v>
      </c>
      <c r="O204" s="12">
        <v>4.4000000000000004</v>
      </c>
      <c r="P204" s="14">
        <v>46191</v>
      </c>
      <c r="Q204" s="12" t="s">
        <v>1775</v>
      </c>
    </row>
    <row r="205" spans="1:17" x14ac:dyDescent="0.3">
      <c r="A205" s="12" t="s">
        <v>526</v>
      </c>
      <c r="B205" s="12" t="s">
        <v>527</v>
      </c>
      <c r="C205" s="12" t="s">
        <v>71</v>
      </c>
      <c r="D205" s="12" t="s">
        <v>1780</v>
      </c>
      <c r="E205" s="12" t="s">
        <v>1781</v>
      </c>
      <c r="F205" s="12">
        <v>131</v>
      </c>
      <c r="G205" s="12">
        <v>109</v>
      </c>
      <c r="H205" s="12">
        <v>22</v>
      </c>
      <c r="I205" s="12">
        <v>24</v>
      </c>
      <c r="J205" s="12">
        <v>29623</v>
      </c>
      <c r="K205" s="12">
        <v>37864.019999999997</v>
      </c>
      <c r="L205" s="12">
        <v>651706</v>
      </c>
      <c r="M205" s="12">
        <v>1</v>
      </c>
      <c r="N205" s="12">
        <v>11</v>
      </c>
      <c r="O205" s="12">
        <v>4.3</v>
      </c>
      <c r="P205" s="14">
        <v>46180</v>
      </c>
      <c r="Q205" s="12" t="s">
        <v>1782</v>
      </c>
    </row>
    <row r="206" spans="1:17" x14ac:dyDescent="0.3">
      <c r="A206" s="12" t="s">
        <v>678</v>
      </c>
      <c r="B206" s="12" t="s">
        <v>679</v>
      </c>
      <c r="C206" s="12" t="s">
        <v>54</v>
      </c>
      <c r="D206" s="12" t="s">
        <v>1780</v>
      </c>
      <c r="E206" s="12" t="s">
        <v>1781</v>
      </c>
      <c r="F206" s="12">
        <v>183</v>
      </c>
      <c r="G206" s="12">
        <v>108</v>
      </c>
      <c r="H206" s="12">
        <v>75</v>
      </c>
      <c r="I206" s="12">
        <v>22</v>
      </c>
      <c r="J206" s="12">
        <v>57717</v>
      </c>
      <c r="K206" s="12">
        <v>68071.8</v>
      </c>
      <c r="L206" s="12">
        <v>4328775</v>
      </c>
      <c r="M206" s="12">
        <v>3</v>
      </c>
      <c r="N206" s="12">
        <v>7</v>
      </c>
      <c r="O206" s="12">
        <v>4.8</v>
      </c>
      <c r="P206" s="14">
        <v>46066</v>
      </c>
      <c r="Q206" s="12" t="s">
        <v>1775</v>
      </c>
    </row>
    <row r="207" spans="1:17" x14ac:dyDescent="0.3">
      <c r="A207" s="12" t="s">
        <v>762</v>
      </c>
      <c r="B207" s="12" t="s">
        <v>763</v>
      </c>
      <c r="C207" s="12" t="s">
        <v>54</v>
      </c>
      <c r="D207" s="12" t="s">
        <v>1776</v>
      </c>
      <c r="E207" s="12" t="s">
        <v>1781</v>
      </c>
      <c r="F207" s="12">
        <v>156</v>
      </c>
      <c r="G207" s="12">
        <v>6</v>
      </c>
      <c r="H207" s="12">
        <v>150</v>
      </c>
      <c r="I207" s="12">
        <v>41</v>
      </c>
      <c r="J207" s="12">
        <v>16807</v>
      </c>
      <c r="K207" s="12">
        <v>18984.240000000002</v>
      </c>
      <c r="L207" s="12">
        <v>2521050</v>
      </c>
      <c r="M207" s="12">
        <v>0</v>
      </c>
      <c r="N207" s="12">
        <v>8</v>
      </c>
      <c r="O207" s="12">
        <v>4.5</v>
      </c>
      <c r="P207" s="14">
        <v>46144</v>
      </c>
      <c r="Q207" s="12" t="s">
        <v>1775</v>
      </c>
    </row>
    <row r="208" spans="1:17" x14ac:dyDescent="0.3">
      <c r="A208" s="12" t="s">
        <v>261</v>
      </c>
      <c r="B208" s="12" t="s">
        <v>262</v>
      </c>
      <c r="C208" s="12" t="s">
        <v>102</v>
      </c>
      <c r="D208" s="12" t="s">
        <v>1776</v>
      </c>
      <c r="E208" s="12" t="s">
        <v>1774</v>
      </c>
      <c r="F208" s="12">
        <v>498</v>
      </c>
      <c r="G208" s="12">
        <v>143</v>
      </c>
      <c r="H208" s="12">
        <v>355</v>
      </c>
      <c r="I208" s="12">
        <v>50</v>
      </c>
      <c r="J208" s="12">
        <v>53455</v>
      </c>
      <c r="K208" s="12">
        <v>61134.6</v>
      </c>
      <c r="L208" s="12">
        <v>18976525</v>
      </c>
      <c r="M208" s="12">
        <v>4</v>
      </c>
      <c r="N208" s="12">
        <v>10</v>
      </c>
      <c r="O208" s="12">
        <v>3.9</v>
      </c>
      <c r="P208" s="14">
        <v>46106</v>
      </c>
      <c r="Q208" s="12" t="s">
        <v>1775</v>
      </c>
    </row>
    <row r="209" spans="1:17" x14ac:dyDescent="0.3">
      <c r="A209" s="12" t="s">
        <v>496</v>
      </c>
      <c r="B209" s="12" t="s">
        <v>497</v>
      </c>
      <c r="C209" s="12" t="s">
        <v>30</v>
      </c>
      <c r="D209" s="12" t="s">
        <v>1778</v>
      </c>
      <c r="E209" s="12" t="s">
        <v>1774</v>
      </c>
      <c r="F209" s="12">
        <v>380</v>
      </c>
      <c r="G209" s="12">
        <v>301</v>
      </c>
      <c r="H209" s="12">
        <v>79</v>
      </c>
      <c r="I209" s="12">
        <v>36</v>
      </c>
      <c r="J209" s="12">
        <v>15283</v>
      </c>
      <c r="K209" s="12">
        <v>21029.83</v>
      </c>
      <c r="L209" s="12">
        <v>1207357</v>
      </c>
      <c r="M209" s="12">
        <v>1</v>
      </c>
      <c r="N209" s="12">
        <v>4</v>
      </c>
      <c r="O209" s="12">
        <v>4</v>
      </c>
      <c r="P209" s="14">
        <v>46141</v>
      </c>
      <c r="Q209" s="12" t="s">
        <v>1775</v>
      </c>
    </row>
    <row r="210" spans="1:17" x14ac:dyDescent="0.3">
      <c r="A210" s="12" t="s">
        <v>457</v>
      </c>
      <c r="B210" s="12" t="s">
        <v>458</v>
      </c>
      <c r="C210" s="12" t="s">
        <v>71</v>
      </c>
      <c r="D210" s="12" t="s">
        <v>1778</v>
      </c>
      <c r="E210" s="12" t="s">
        <v>1781</v>
      </c>
      <c r="F210" s="12">
        <v>435</v>
      </c>
      <c r="G210" s="12">
        <v>246</v>
      </c>
      <c r="H210" s="12">
        <v>189</v>
      </c>
      <c r="I210" s="12">
        <v>25</v>
      </c>
      <c r="J210" s="12">
        <v>39426</v>
      </c>
      <c r="K210" s="12">
        <v>52374.37</v>
      </c>
      <c r="L210" s="12">
        <v>7451514</v>
      </c>
      <c r="M210" s="12">
        <v>2</v>
      </c>
      <c r="N210" s="12">
        <v>15</v>
      </c>
      <c r="O210" s="12">
        <v>4.2</v>
      </c>
      <c r="P210" s="14">
        <v>46052</v>
      </c>
      <c r="Q210" s="12" t="s">
        <v>1775</v>
      </c>
    </row>
    <row r="211" spans="1:17" x14ac:dyDescent="0.3">
      <c r="A211" s="12" t="s">
        <v>762</v>
      </c>
      <c r="B211" s="12" t="s">
        <v>763</v>
      </c>
      <c r="C211" s="12" t="s">
        <v>54</v>
      </c>
      <c r="D211" s="12" t="s">
        <v>1778</v>
      </c>
      <c r="E211" s="12" t="s">
        <v>1781</v>
      </c>
      <c r="F211" s="12">
        <v>331</v>
      </c>
      <c r="G211" s="12">
        <v>137</v>
      </c>
      <c r="H211" s="12">
        <v>194</v>
      </c>
      <c r="I211" s="12">
        <v>21</v>
      </c>
      <c r="J211" s="12">
        <v>18722</v>
      </c>
      <c r="K211" s="12">
        <v>25365.3</v>
      </c>
      <c r="L211" s="12">
        <v>3632068</v>
      </c>
      <c r="M211" s="12">
        <v>3</v>
      </c>
      <c r="N211" s="12">
        <v>8</v>
      </c>
      <c r="O211" s="12">
        <v>3.8</v>
      </c>
      <c r="P211" s="14">
        <v>46100</v>
      </c>
      <c r="Q211" s="12" t="s">
        <v>1775</v>
      </c>
    </row>
    <row r="212" spans="1:17" x14ac:dyDescent="0.3">
      <c r="A212" s="12" t="s">
        <v>717</v>
      </c>
      <c r="B212" s="12" t="s">
        <v>718</v>
      </c>
      <c r="C212" s="12" t="s">
        <v>102</v>
      </c>
      <c r="D212" s="12" t="s">
        <v>1778</v>
      </c>
      <c r="E212" s="12" t="s">
        <v>1777</v>
      </c>
      <c r="F212" s="12">
        <v>88</v>
      </c>
      <c r="G212" s="12">
        <v>41</v>
      </c>
      <c r="H212" s="12">
        <v>47</v>
      </c>
      <c r="I212" s="12">
        <v>25</v>
      </c>
      <c r="J212" s="12">
        <v>43460</v>
      </c>
      <c r="K212" s="12">
        <v>54098.02</v>
      </c>
      <c r="L212" s="12">
        <v>2042620</v>
      </c>
      <c r="M212" s="12">
        <v>1</v>
      </c>
      <c r="N212" s="12">
        <v>6</v>
      </c>
      <c r="O212" s="12">
        <v>4.9000000000000004</v>
      </c>
      <c r="P212" s="14">
        <v>46095</v>
      </c>
      <c r="Q212" s="12" t="s">
        <v>1775</v>
      </c>
    </row>
    <row r="213" spans="1:17" x14ac:dyDescent="0.3">
      <c r="A213" s="12" t="s">
        <v>164</v>
      </c>
      <c r="B213" s="12" t="s">
        <v>165</v>
      </c>
      <c r="C213" s="12" t="s">
        <v>102</v>
      </c>
      <c r="D213" s="12" t="s">
        <v>1773</v>
      </c>
      <c r="E213" s="12" t="s">
        <v>1781</v>
      </c>
      <c r="F213" s="12">
        <v>312</v>
      </c>
      <c r="G213" s="12">
        <v>82</v>
      </c>
      <c r="H213" s="12">
        <v>230</v>
      </c>
      <c r="I213" s="12">
        <v>60</v>
      </c>
      <c r="J213" s="12">
        <v>4729</v>
      </c>
      <c r="K213" s="12">
        <v>5968.29</v>
      </c>
      <c r="L213" s="12">
        <v>1087670</v>
      </c>
      <c r="M213" s="12">
        <v>0</v>
      </c>
      <c r="N213" s="12">
        <v>15</v>
      </c>
      <c r="O213" s="12">
        <v>4.7</v>
      </c>
      <c r="P213" s="14">
        <v>46153</v>
      </c>
      <c r="Q213" s="12" t="s">
        <v>1775</v>
      </c>
    </row>
    <row r="214" spans="1:17" x14ac:dyDescent="0.3">
      <c r="A214" s="12" t="s">
        <v>387</v>
      </c>
      <c r="B214" s="12" t="s">
        <v>388</v>
      </c>
      <c r="C214" s="12" t="s">
        <v>54</v>
      </c>
      <c r="D214" s="12" t="s">
        <v>1778</v>
      </c>
      <c r="E214" s="12" t="s">
        <v>1781</v>
      </c>
      <c r="F214" s="12">
        <v>177</v>
      </c>
      <c r="G214" s="12">
        <v>2</v>
      </c>
      <c r="H214" s="12">
        <v>175</v>
      </c>
      <c r="I214" s="12">
        <v>50</v>
      </c>
      <c r="J214" s="12">
        <v>47986</v>
      </c>
      <c r="K214" s="12">
        <v>55462.05</v>
      </c>
      <c r="L214" s="12">
        <v>8397550</v>
      </c>
      <c r="M214" s="12">
        <v>2</v>
      </c>
      <c r="N214" s="12">
        <v>14</v>
      </c>
      <c r="O214" s="12">
        <v>3.9</v>
      </c>
      <c r="P214" s="14">
        <v>46141</v>
      </c>
      <c r="Q214" s="12" t="s">
        <v>1775</v>
      </c>
    </row>
    <row r="215" spans="1:17" x14ac:dyDescent="0.3">
      <c r="A215" s="12" t="s">
        <v>306</v>
      </c>
      <c r="B215" s="12" t="s">
        <v>307</v>
      </c>
      <c r="C215" s="12" t="s">
        <v>71</v>
      </c>
      <c r="D215" s="12" t="s">
        <v>1773</v>
      </c>
      <c r="E215" s="12" t="s">
        <v>1774</v>
      </c>
      <c r="F215" s="12">
        <v>158</v>
      </c>
      <c r="G215" s="12">
        <v>93</v>
      </c>
      <c r="H215" s="12">
        <v>65</v>
      </c>
      <c r="I215" s="12">
        <v>47</v>
      </c>
      <c r="J215" s="12">
        <v>58103</v>
      </c>
      <c r="K215" s="12">
        <v>76464.800000000003</v>
      </c>
      <c r="L215" s="12">
        <v>3776695</v>
      </c>
      <c r="M215" s="12">
        <v>0</v>
      </c>
      <c r="N215" s="12">
        <v>7</v>
      </c>
      <c r="O215" s="12">
        <v>4.4000000000000004</v>
      </c>
      <c r="P215" s="14">
        <v>46062</v>
      </c>
      <c r="Q215" s="12" t="s">
        <v>1775</v>
      </c>
    </row>
    <row r="216" spans="1:17" x14ac:dyDescent="0.3">
      <c r="A216" s="12" t="s">
        <v>816</v>
      </c>
      <c r="B216" s="12" t="s">
        <v>817</v>
      </c>
      <c r="C216" s="12" t="s">
        <v>54</v>
      </c>
      <c r="D216" s="12" t="s">
        <v>1773</v>
      </c>
      <c r="E216" s="12" t="s">
        <v>1781</v>
      </c>
      <c r="F216" s="12">
        <v>387</v>
      </c>
      <c r="G216" s="12">
        <v>135</v>
      </c>
      <c r="H216" s="12">
        <v>252</v>
      </c>
      <c r="I216" s="12">
        <v>41</v>
      </c>
      <c r="J216" s="12">
        <v>42912</v>
      </c>
      <c r="K216" s="12">
        <v>49921.35</v>
      </c>
      <c r="L216" s="12">
        <v>10813824</v>
      </c>
      <c r="M216" s="12">
        <v>1</v>
      </c>
      <c r="N216" s="12">
        <v>3</v>
      </c>
      <c r="O216" s="12">
        <v>3.8</v>
      </c>
      <c r="P216" s="14">
        <v>46105</v>
      </c>
      <c r="Q216" s="12" t="s">
        <v>1775</v>
      </c>
    </row>
    <row r="217" spans="1:17" x14ac:dyDescent="0.3">
      <c r="A217" s="12" t="s">
        <v>100</v>
      </c>
      <c r="B217" s="12" t="s">
        <v>101</v>
      </c>
      <c r="C217" s="12" t="s">
        <v>102</v>
      </c>
      <c r="D217" s="12" t="s">
        <v>1780</v>
      </c>
      <c r="E217" s="12" t="s">
        <v>1777</v>
      </c>
      <c r="F217" s="12">
        <v>456</v>
      </c>
      <c r="G217" s="12">
        <v>134</v>
      </c>
      <c r="H217" s="12">
        <v>322</v>
      </c>
      <c r="I217" s="12">
        <v>20</v>
      </c>
      <c r="J217" s="12">
        <v>4594</v>
      </c>
      <c r="K217" s="12">
        <v>5996.3</v>
      </c>
      <c r="L217" s="12">
        <v>1479268</v>
      </c>
      <c r="M217" s="12">
        <v>1</v>
      </c>
      <c r="N217" s="12">
        <v>2</v>
      </c>
      <c r="O217" s="12">
        <v>4.5999999999999996</v>
      </c>
      <c r="P217" s="14">
        <v>46144</v>
      </c>
      <c r="Q217" s="12" t="s">
        <v>1775</v>
      </c>
    </row>
    <row r="218" spans="1:17" x14ac:dyDescent="0.3">
      <c r="A218" s="12" t="s">
        <v>52</v>
      </c>
      <c r="B218" s="12" t="s">
        <v>53</v>
      </c>
      <c r="C218" s="12" t="s">
        <v>54</v>
      </c>
      <c r="D218" s="12" t="s">
        <v>1780</v>
      </c>
      <c r="E218" s="12" t="s">
        <v>1781</v>
      </c>
      <c r="F218" s="12">
        <v>141</v>
      </c>
      <c r="G218" s="12">
        <v>119</v>
      </c>
      <c r="H218" s="12">
        <v>22</v>
      </c>
      <c r="I218" s="12">
        <v>44</v>
      </c>
      <c r="J218" s="12">
        <v>5126</v>
      </c>
      <c r="K218" s="12">
        <v>6918.75</v>
      </c>
      <c r="L218" s="12">
        <v>112772</v>
      </c>
      <c r="M218" s="12">
        <v>2</v>
      </c>
      <c r="N218" s="12">
        <v>5</v>
      </c>
      <c r="O218" s="12">
        <v>4.0999999999999996</v>
      </c>
      <c r="P218" s="14">
        <v>46183</v>
      </c>
      <c r="Q218" s="12" t="s">
        <v>1782</v>
      </c>
    </row>
    <row r="219" spans="1:17" x14ac:dyDescent="0.3">
      <c r="A219" s="12" t="s">
        <v>106</v>
      </c>
      <c r="B219" s="12" t="s">
        <v>107</v>
      </c>
      <c r="C219" s="12" t="s">
        <v>30</v>
      </c>
      <c r="D219" s="12" t="s">
        <v>1776</v>
      </c>
      <c r="E219" s="12" t="s">
        <v>1777</v>
      </c>
      <c r="F219" s="12">
        <v>456</v>
      </c>
      <c r="G219" s="12">
        <v>58</v>
      </c>
      <c r="H219" s="12">
        <v>398</v>
      </c>
      <c r="I219" s="12">
        <v>20</v>
      </c>
      <c r="J219" s="12">
        <v>41955</v>
      </c>
      <c r="K219" s="12">
        <v>46811.33</v>
      </c>
      <c r="L219" s="12">
        <v>16698090</v>
      </c>
      <c r="M219" s="12">
        <v>5</v>
      </c>
      <c r="N219" s="12">
        <v>2</v>
      </c>
      <c r="O219" s="12">
        <v>3.5</v>
      </c>
      <c r="P219" s="14">
        <v>46126</v>
      </c>
      <c r="Q219" s="12" t="s">
        <v>1775</v>
      </c>
    </row>
    <row r="220" spans="1:17" x14ac:dyDescent="0.3">
      <c r="A220" s="12" t="s">
        <v>160</v>
      </c>
      <c r="B220" s="12" t="s">
        <v>161</v>
      </c>
      <c r="C220" s="12" t="s">
        <v>102</v>
      </c>
      <c r="D220" s="12" t="s">
        <v>1773</v>
      </c>
      <c r="E220" s="12" t="s">
        <v>1777</v>
      </c>
      <c r="F220" s="12">
        <v>198</v>
      </c>
      <c r="G220" s="12">
        <v>59</v>
      </c>
      <c r="H220" s="12">
        <v>139</v>
      </c>
      <c r="I220" s="12">
        <v>65</v>
      </c>
      <c r="J220" s="12">
        <v>42594</v>
      </c>
      <c r="K220" s="12">
        <v>49837.26</v>
      </c>
      <c r="L220" s="12">
        <v>5920566</v>
      </c>
      <c r="M220" s="12">
        <v>5</v>
      </c>
      <c r="N220" s="12">
        <v>14</v>
      </c>
      <c r="O220" s="12">
        <v>4.7</v>
      </c>
      <c r="P220" s="14">
        <v>46104</v>
      </c>
      <c r="Q220" s="12" t="s">
        <v>1775</v>
      </c>
    </row>
    <row r="221" spans="1:17" x14ac:dyDescent="0.3">
      <c r="A221" s="12" t="s">
        <v>172</v>
      </c>
      <c r="B221" s="12" t="s">
        <v>173</v>
      </c>
      <c r="C221" s="12" t="s">
        <v>54</v>
      </c>
      <c r="D221" s="12" t="s">
        <v>1778</v>
      </c>
      <c r="E221" s="12" t="s">
        <v>1781</v>
      </c>
      <c r="F221" s="12">
        <v>488</v>
      </c>
      <c r="G221" s="12">
        <v>202</v>
      </c>
      <c r="H221" s="12">
        <v>286</v>
      </c>
      <c r="I221" s="12">
        <v>43</v>
      </c>
      <c r="J221" s="12">
        <v>14590</v>
      </c>
      <c r="K221" s="12">
        <v>19862.84</v>
      </c>
      <c r="L221" s="12">
        <v>4172740</v>
      </c>
      <c r="M221" s="12">
        <v>2</v>
      </c>
      <c r="N221" s="12">
        <v>13</v>
      </c>
      <c r="O221" s="12">
        <v>4.3</v>
      </c>
      <c r="P221" s="14">
        <v>46024</v>
      </c>
      <c r="Q221" s="12" t="s">
        <v>1775</v>
      </c>
    </row>
    <row r="222" spans="1:17" x14ac:dyDescent="0.3">
      <c r="A222" s="12" t="s">
        <v>371</v>
      </c>
      <c r="B222" s="12" t="s">
        <v>372</v>
      </c>
      <c r="C222" s="12" t="s">
        <v>71</v>
      </c>
      <c r="D222" s="12" t="s">
        <v>1773</v>
      </c>
      <c r="E222" s="12" t="s">
        <v>1777</v>
      </c>
      <c r="F222" s="12">
        <v>277</v>
      </c>
      <c r="G222" s="12">
        <v>172</v>
      </c>
      <c r="H222" s="12">
        <v>105</v>
      </c>
      <c r="I222" s="12">
        <v>24</v>
      </c>
      <c r="J222" s="12">
        <v>34132</v>
      </c>
      <c r="K222" s="12">
        <v>39527.58</v>
      </c>
      <c r="L222" s="12">
        <v>3583860</v>
      </c>
      <c r="M222" s="12">
        <v>5</v>
      </c>
      <c r="N222" s="12">
        <v>2</v>
      </c>
      <c r="O222" s="12">
        <v>3.7</v>
      </c>
      <c r="P222" s="14">
        <v>46192</v>
      </c>
      <c r="Q222" s="12" t="s">
        <v>1775</v>
      </c>
    </row>
    <row r="223" spans="1:17" x14ac:dyDescent="0.3">
      <c r="A223" s="12" t="s">
        <v>440</v>
      </c>
      <c r="B223" s="12" t="s">
        <v>441</v>
      </c>
      <c r="C223" s="12" t="s">
        <v>30</v>
      </c>
      <c r="D223" s="12" t="s">
        <v>1773</v>
      </c>
      <c r="E223" s="12" t="s">
        <v>1777</v>
      </c>
      <c r="F223" s="12">
        <v>296</v>
      </c>
      <c r="G223" s="12">
        <v>35</v>
      </c>
      <c r="H223" s="12">
        <v>261</v>
      </c>
      <c r="I223" s="12">
        <v>35</v>
      </c>
      <c r="J223" s="12">
        <v>57320</v>
      </c>
      <c r="K223" s="12">
        <v>77295.45</v>
      </c>
      <c r="L223" s="12">
        <v>14960520</v>
      </c>
      <c r="M223" s="12">
        <v>3</v>
      </c>
      <c r="N223" s="12">
        <v>5</v>
      </c>
      <c r="O223" s="12">
        <v>3.7</v>
      </c>
      <c r="P223" s="14">
        <v>46049</v>
      </c>
      <c r="Q223" s="12" t="s">
        <v>1775</v>
      </c>
    </row>
    <row r="224" spans="1:17" x14ac:dyDescent="0.3">
      <c r="A224" s="12" t="s">
        <v>62</v>
      </c>
      <c r="B224" s="12" t="s">
        <v>63</v>
      </c>
      <c r="C224" s="12" t="s">
        <v>54</v>
      </c>
      <c r="D224" s="12" t="s">
        <v>1780</v>
      </c>
      <c r="E224" s="12" t="s">
        <v>1774</v>
      </c>
      <c r="F224" s="12">
        <v>129</v>
      </c>
      <c r="G224" s="12">
        <v>20</v>
      </c>
      <c r="H224" s="12">
        <v>109</v>
      </c>
      <c r="I224" s="12">
        <v>60</v>
      </c>
      <c r="J224" s="12">
        <v>28004</v>
      </c>
      <c r="K224" s="12">
        <v>32252.92</v>
      </c>
      <c r="L224" s="12">
        <v>3052436</v>
      </c>
      <c r="M224" s="12">
        <v>2</v>
      </c>
      <c r="N224" s="12">
        <v>9</v>
      </c>
      <c r="O224" s="12">
        <v>4</v>
      </c>
      <c r="P224" s="14">
        <v>46126</v>
      </c>
      <c r="Q224" s="12" t="s">
        <v>1775</v>
      </c>
    </row>
    <row r="225" spans="1:17" x14ac:dyDescent="0.3">
      <c r="A225" s="12" t="s">
        <v>342</v>
      </c>
      <c r="B225" s="12" t="s">
        <v>343</v>
      </c>
      <c r="C225" s="12" t="s">
        <v>54</v>
      </c>
      <c r="D225" s="12" t="s">
        <v>1773</v>
      </c>
      <c r="E225" s="12" t="s">
        <v>1777</v>
      </c>
      <c r="F225" s="12">
        <v>53</v>
      </c>
      <c r="G225" s="12">
        <v>31</v>
      </c>
      <c r="H225" s="12">
        <v>22</v>
      </c>
      <c r="I225" s="12">
        <v>27</v>
      </c>
      <c r="J225" s="12">
        <v>7266</v>
      </c>
      <c r="K225" s="12">
        <v>8381.9699999999993</v>
      </c>
      <c r="L225" s="12">
        <v>159852</v>
      </c>
      <c r="M225" s="12">
        <v>3</v>
      </c>
      <c r="N225" s="12">
        <v>14</v>
      </c>
      <c r="O225" s="12">
        <v>4.0999999999999996</v>
      </c>
      <c r="P225" s="14">
        <v>46040</v>
      </c>
      <c r="Q225" s="12" t="s">
        <v>1782</v>
      </c>
    </row>
    <row r="226" spans="1:17" x14ac:dyDescent="0.3">
      <c r="A226" s="12" t="s">
        <v>384</v>
      </c>
      <c r="B226" s="12" t="s">
        <v>385</v>
      </c>
      <c r="C226" s="12" t="s">
        <v>102</v>
      </c>
      <c r="D226" s="12" t="s">
        <v>1780</v>
      </c>
      <c r="E226" s="12" t="s">
        <v>1781</v>
      </c>
      <c r="F226" s="12">
        <v>206</v>
      </c>
      <c r="G226" s="12">
        <v>154</v>
      </c>
      <c r="H226" s="12">
        <v>52</v>
      </c>
      <c r="I226" s="12">
        <v>32</v>
      </c>
      <c r="J226" s="12">
        <v>17254</v>
      </c>
      <c r="K226" s="12">
        <v>19347.55</v>
      </c>
      <c r="L226" s="12">
        <v>897208</v>
      </c>
      <c r="M226" s="12">
        <v>3</v>
      </c>
      <c r="N226" s="12">
        <v>4</v>
      </c>
      <c r="O226" s="12">
        <v>4.5999999999999996</v>
      </c>
      <c r="P226" s="14">
        <v>46096</v>
      </c>
      <c r="Q226" s="12" t="s">
        <v>1775</v>
      </c>
    </row>
    <row r="227" spans="1:17" x14ac:dyDescent="0.3">
      <c r="A227" s="12" t="s">
        <v>457</v>
      </c>
      <c r="B227" s="12" t="s">
        <v>458</v>
      </c>
      <c r="C227" s="12" t="s">
        <v>71</v>
      </c>
      <c r="D227" s="12" t="s">
        <v>1778</v>
      </c>
      <c r="E227" s="12" t="s">
        <v>1774</v>
      </c>
      <c r="F227" s="12">
        <v>63</v>
      </c>
      <c r="G227" s="12">
        <v>24</v>
      </c>
      <c r="H227" s="12">
        <v>39</v>
      </c>
      <c r="I227" s="12">
        <v>74</v>
      </c>
      <c r="J227" s="12">
        <v>23980</v>
      </c>
      <c r="K227" s="12">
        <v>28102</v>
      </c>
      <c r="L227" s="12">
        <v>935220</v>
      </c>
      <c r="M227" s="12">
        <v>1</v>
      </c>
      <c r="N227" s="12">
        <v>15</v>
      </c>
      <c r="O227" s="12">
        <v>4.4000000000000004</v>
      </c>
      <c r="P227" s="14">
        <v>46111</v>
      </c>
      <c r="Q227" s="12" t="s">
        <v>1782</v>
      </c>
    </row>
    <row r="228" spans="1:17" x14ac:dyDescent="0.3">
      <c r="A228" s="12" t="s">
        <v>69</v>
      </c>
      <c r="B228" s="12" t="s">
        <v>70</v>
      </c>
      <c r="C228" s="12" t="s">
        <v>71</v>
      </c>
      <c r="D228" s="12" t="s">
        <v>1776</v>
      </c>
      <c r="E228" s="12" t="s">
        <v>1774</v>
      </c>
      <c r="F228" s="12">
        <v>490</v>
      </c>
      <c r="G228" s="12">
        <v>245</v>
      </c>
      <c r="H228" s="12">
        <v>245</v>
      </c>
      <c r="I228" s="12">
        <v>64</v>
      </c>
      <c r="J228" s="12">
        <v>48503</v>
      </c>
      <c r="K228" s="12">
        <v>66945.45</v>
      </c>
      <c r="L228" s="12">
        <v>11883235</v>
      </c>
      <c r="M228" s="12">
        <v>2</v>
      </c>
      <c r="N228" s="12">
        <v>6</v>
      </c>
      <c r="O228" s="12">
        <v>3.9</v>
      </c>
      <c r="P228" s="14">
        <v>46144</v>
      </c>
      <c r="Q228" s="12" t="s">
        <v>1775</v>
      </c>
    </row>
    <row r="229" spans="1:17" x14ac:dyDescent="0.3">
      <c r="A229" s="12" t="s">
        <v>546</v>
      </c>
      <c r="B229" s="12" t="s">
        <v>547</v>
      </c>
      <c r="C229" s="12" t="s">
        <v>71</v>
      </c>
      <c r="D229" s="12" t="s">
        <v>1778</v>
      </c>
      <c r="E229" s="12" t="s">
        <v>1777</v>
      </c>
      <c r="F229" s="12">
        <v>346</v>
      </c>
      <c r="G229" s="12">
        <v>133</v>
      </c>
      <c r="H229" s="12">
        <v>213</v>
      </c>
      <c r="I229" s="12">
        <v>73</v>
      </c>
      <c r="J229" s="12">
        <v>37954</v>
      </c>
      <c r="K229" s="12">
        <v>51241.33</v>
      </c>
      <c r="L229" s="12">
        <v>8084202</v>
      </c>
      <c r="M229" s="12">
        <v>2</v>
      </c>
      <c r="N229" s="12">
        <v>14</v>
      </c>
      <c r="O229" s="12">
        <v>4.9000000000000004</v>
      </c>
      <c r="P229" s="14">
        <v>46084</v>
      </c>
      <c r="Q229" s="12" t="s">
        <v>1775</v>
      </c>
    </row>
    <row r="230" spans="1:17" x14ac:dyDescent="0.3">
      <c r="A230" s="12" t="s">
        <v>440</v>
      </c>
      <c r="B230" s="12" t="s">
        <v>441</v>
      </c>
      <c r="C230" s="12" t="s">
        <v>30</v>
      </c>
      <c r="D230" s="12" t="s">
        <v>1776</v>
      </c>
      <c r="E230" s="12" t="s">
        <v>1777</v>
      </c>
      <c r="F230" s="12">
        <v>383</v>
      </c>
      <c r="G230" s="12">
        <v>123</v>
      </c>
      <c r="H230" s="12">
        <v>260</v>
      </c>
      <c r="I230" s="12">
        <v>34</v>
      </c>
      <c r="J230" s="12">
        <v>44246</v>
      </c>
      <c r="K230" s="12">
        <v>56752.54</v>
      </c>
      <c r="L230" s="12">
        <v>11503960</v>
      </c>
      <c r="M230" s="12">
        <v>4</v>
      </c>
      <c r="N230" s="12">
        <v>6</v>
      </c>
      <c r="O230" s="12">
        <v>4.5999999999999996</v>
      </c>
      <c r="P230" s="14">
        <v>46039</v>
      </c>
      <c r="Q230" s="12" t="s">
        <v>1775</v>
      </c>
    </row>
    <row r="231" spans="1:17" x14ac:dyDescent="0.3">
      <c r="A231" s="12" t="s">
        <v>164</v>
      </c>
      <c r="B231" s="12" t="s">
        <v>165</v>
      </c>
      <c r="C231" s="12" t="s">
        <v>102</v>
      </c>
      <c r="D231" s="12" t="s">
        <v>1780</v>
      </c>
      <c r="E231" s="12" t="s">
        <v>1774</v>
      </c>
      <c r="F231" s="12">
        <v>286</v>
      </c>
      <c r="G231" s="12">
        <v>258</v>
      </c>
      <c r="H231" s="12">
        <v>28</v>
      </c>
      <c r="I231" s="12">
        <v>79</v>
      </c>
      <c r="J231" s="12">
        <v>16089</v>
      </c>
      <c r="K231" s="12">
        <v>21857.02</v>
      </c>
      <c r="L231" s="12">
        <v>450492</v>
      </c>
      <c r="M231" s="12">
        <v>4</v>
      </c>
      <c r="N231" s="12">
        <v>11</v>
      </c>
      <c r="O231" s="12">
        <v>4.3</v>
      </c>
      <c r="P231" s="14">
        <v>46084</v>
      </c>
      <c r="Q231" s="12" t="s">
        <v>1782</v>
      </c>
    </row>
    <row r="232" spans="1:17" x14ac:dyDescent="0.3">
      <c r="A232" s="12" t="s">
        <v>28</v>
      </c>
      <c r="B232" s="12" t="s">
        <v>29</v>
      </c>
      <c r="C232" s="12" t="s">
        <v>30</v>
      </c>
      <c r="D232" s="12" t="s">
        <v>1780</v>
      </c>
      <c r="E232" s="12" t="s">
        <v>1774</v>
      </c>
      <c r="F232" s="12">
        <v>463</v>
      </c>
      <c r="G232" s="12">
        <v>91</v>
      </c>
      <c r="H232" s="12">
        <v>372</v>
      </c>
      <c r="I232" s="12">
        <v>27</v>
      </c>
      <c r="J232" s="12">
        <v>50619</v>
      </c>
      <c r="K232" s="12">
        <v>61052.73</v>
      </c>
      <c r="L232" s="12">
        <v>18830268</v>
      </c>
      <c r="M232" s="12">
        <v>3</v>
      </c>
      <c r="N232" s="12">
        <v>9</v>
      </c>
      <c r="O232" s="12">
        <v>4.5</v>
      </c>
      <c r="P232" s="14">
        <v>46074</v>
      </c>
      <c r="Q232" s="12" t="s">
        <v>1775</v>
      </c>
    </row>
    <row r="233" spans="1:17" x14ac:dyDescent="0.3">
      <c r="A233" s="12" t="s">
        <v>168</v>
      </c>
      <c r="B233" s="12" t="s">
        <v>169</v>
      </c>
      <c r="C233" s="12" t="s">
        <v>102</v>
      </c>
      <c r="D233" s="12" t="s">
        <v>1773</v>
      </c>
      <c r="E233" s="12" t="s">
        <v>1781</v>
      </c>
      <c r="F233" s="12">
        <v>60</v>
      </c>
      <c r="G233" s="12">
        <v>58</v>
      </c>
      <c r="H233" s="12">
        <v>2</v>
      </c>
      <c r="I233" s="12">
        <v>55</v>
      </c>
      <c r="J233" s="12">
        <v>50678</v>
      </c>
      <c r="K233" s="12">
        <v>58256.57</v>
      </c>
      <c r="L233" s="12">
        <v>101356</v>
      </c>
      <c r="M233" s="12">
        <v>0</v>
      </c>
      <c r="N233" s="12">
        <v>9</v>
      </c>
      <c r="O233" s="12">
        <v>4.5</v>
      </c>
      <c r="P233" s="14">
        <v>46054</v>
      </c>
      <c r="Q233" s="12" t="s">
        <v>1782</v>
      </c>
    </row>
    <row r="234" spans="1:17" x14ac:dyDescent="0.3">
      <c r="A234" s="12" t="s">
        <v>131</v>
      </c>
      <c r="B234" s="12" t="s">
        <v>132</v>
      </c>
      <c r="C234" s="12" t="s">
        <v>71</v>
      </c>
      <c r="D234" s="12" t="s">
        <v>1780</v>
      </c>
      <c r="E234" s="12" t="s">
        <v>1774</v>
      </c>
      <c r="F234" s="12">
        <v>490</v>
      </c>
      <c r="G234" s="12">
        <v>272</v>
      </c>
      <c r="H234" s="12">
        <v>218</v>
      </c>
      <c r="I234" s="12">
        <v>29</v>
      </c>
      <c r="J234" s="12">
        <v>2876</v>
      </c>
      <c r="K234" s="12">
        <v>3828.02</v>
      </c>
      <c r="L234" s="12">
        <v>626968</v>
      </c>
      <c r="M234" s="12">
        <v>0</v>
      </c>
      <c r="N234" s="12">
        <v>3</v>
      </c>
      <c r="O234" s="12">
        <v>4.4000000000000004</v>
      </c>
      <c r="P234" s="14">
        <v>46154</v>
      </c>
      <c r="Q234" s="12" t="s">
        <v>1775</v>
      </c>
    </row>
    <row r="235" spans="1:17" x14ac:dyDescent="0.3">
      <c r="A235" s="12" t="s">
        <v>513</v>
      </c>
      <c r="B235" s="12" t="s">
        <v>514</v>
      </c>
      <c r="C235" s="12" t="s">
        <v>71</v>
      </c>
      <c r="D235" s="12" t="s">
        <v>1780</v>
      </c>
      <c r="E235" s="12" t="s">
        <v>1779</v>
      </c>
      <c r="F235" s="12">
        <v>53</v>
      </c>
      <c r="G235" s="12">
        <v>53</v>
      </c>
      <c r="H235" s="12">
        <v>0</v>
      </c>
      <c r="I235" s="12">
        <v>78</v>
      </c>
      <c r="J235" s="12">
        <v>16304</v>
      </c>
      <c r="K235" s="12">
        <v>22232.63</v>
      </c>
      <c r="L235" s="12">
        <v>0</v>
      </c>
      <c r="M235" s="12">
        <v>2</v>
      </c>
      <c r="N235" s="12">
        <v>12</v>
      </c>
      <c r="O235" s="12">
        <v>4.3</v>
      </c>
      <c r="P235" s="14">
        <v>46081</v>
      </c>
      <c r="Q235" s="12" t="s">
        <v>1783</v>
      </c>
    </row>
    <row r="236" spans="1:17" x14ac:dyDescent="0.3">
      <c r="A236" s="12" t="s">
        <v>224</v>
      </c>
      <c r="B236" s="12" t="s">
        <v>225</v>
      </c>
      <c r="C236" s="12" t="s">
        <v>102</v>
      </c>
      <c r="D236" s="12" t="s">
        <v>1780</v>
      </c>
      <c r="E236" s="12" t="s">
        <v>1781</v>
      </c>
      <c r="F236" s="12">
        <v>159</v>
      </c>
      <c r="G236" s="12">
        <v>119</v>
      </c>
      <c r="H236" s="12">
        <v>40</v>
      </c>
      <c r="I236" s="12">
        <v>68</v>
      </c>
      <c r="J236" s="12">
        <v>8581</v>
      </c>
      <c r="K236" s="12">
        <v>10282.48</v>
      </c>
      <c r="L236" s="12">
        <v>343240</v>
      </c>
      <c r="M236" s="12">
        <v>5</v>
      </c>
      <c r="N236" s="12">
        <v>6</v>
      </c>
      <c r="O236" s="12">
        <v>3.9</v>
      </c>
      <c r="P236" s="14">
        <v>46180</v>
      </c>
      <c r="Q236" s="12" t="s">
        <v>1782</v>
      </c>
    </row>
    <row r="237" spans="1:17" x14ac:dyDescent="0.3">
      <c r="A237" s="12" t="s">
        <v>526</v>
      </c>
      <c r="B237" s="12" t="s">
        <v>527</v>
      </c>
      <c r="C237" s="12" t="s">
        <v>71</v>
      </c>
      <c r="D237" s="12" t="s">
        <v>1780</v>
      </c>
      <c r="E237" s="12" t="s">
        <v>1779</v>
      </c>
      <c r="F237" s="12">
        <v>428</v>
      </c>
      <c r="G237" s="12">
        <v>349</v>
      </c>
      <c r="H237" s="12">
        <v>79</v>
      </c>
      <c r="I237" s="12">
        <v>41</v>
      </c>
      <c r="J237" s="12">
        <v>29485</v>
      </c>
      <c r="K237" s="12">
        <v>36138.21</v>
      </c>
      <c r="L237" s="12">
        <v>2329315</v>
      </c>
      <c r="M237" s="12">
        <v>0</v>
      </c>
      <c r="N237" s="12">
        <v>14</v>
      </c>
      <c r="O237" s="12">
        <v>4.9000000000000004</v>
      </c>
      <c r="P237" s="14">
        <v>46044</v>
      </c>
      <c r="Q237" s="12" t="s">
        <v>1775</v>
      </c>
    </row>
    <row r="238" spans="1:17" x14ac:dyDescent="0.3">
      <c r="A238" s="12" t="s">
        <v>85</v>
      </c>
      <c r="B238" s="12" t="s">
        <v>86</v>
      </c>
      <c r="C238" s="12" t="s">
        <v>71</v>
      </c>
      <c r="D238" s="12" t="s">
        <v>1776</v>
      </c>
      <c r="E238" s="12" t="s">
        <v>1777</v>
      </c>
      <c r="F238" s="12">
        <v>437</v>
      </c>
      <c r="G238" s="12">
        <v>87</v>
      </c>
      <c r="H238" s="12">
        <v>350</v>
      </c>
      <c r="I238" s="12">
        <v>41</v>
      </c>
      <c r="J238" s="12">
        <v>20843</v>
      </c>
      <c r="K238" s="12">
        <v>28689.01</v>
      </c>
      <c r="L238" s="12">
        <v>7295050</v>
      </c>
      <c r="M238" s="12">
        <v>4</v>
      </c>
      <c r="N238" s="12">
        <v>10</v>
      </c>
      <c r="O238" s="12">
        <v>4.5999999999999996</v>
      </c>
      <c r="P238" s="14">
        <v>46161</v>
      </c>
      <c r="Q238" s="12" t="s">
        <v>1775</v>
      </c>
    </row>
    <row r="239" spans="1:17" x14ac:dyDescent="0.3">
      <c r="A239" s="12" t="s">
        <v>52</v>
      </c>
      <c r="B239" s="12" t="s">
        <v>53</v>
      </c>
      <c r="C239" s="12" t="s">
        <v>54</v>
      </c>
      <c r="D239" s="12" t="s">
        <v>1776</v>
      </c>
      <c r="E239" s="12" t="s">
        <v>1781</v>
      </c>
      <c r="F239" s="12">
        <v>190</v>
      </c>
      <c r="G239" s="12">
        <v>90</v>
      </c>
      <c r="H239" s="12">
        <v>100</v>
      </c>
      <c r="I239" s="12">
        <v>69</v>
      </c>
      <c r="J239" s="12">
        <v>40069</v>
      </c>
      <c r="K239" s="12">
        <v>50710.86</v>
      </c>
      <c r="L239" s="12">
        <v>4006900</v>
      </c>
      <c r="M239" s="12">
        <v>5</v>
      </c>
      <c r="N239" s="12">
        <v>5</v>
      </c>
      <c r="O239" s="12">
        <v>4.2</v>
      </c>
      <c r="P239" s="14">
        <v>46061</v>
      </c>
      <c r="Q239" s="12" t="s">
        <v>1775</v>
      </c>
    </row>
    <row r="240" spans="1:17" x14ac:dyDescent="0.3">
      <c r="A240" s="12" t="s">
        <v>316</v>
      </c>
      <c r="B240" s="12" t="s">
        <v>317</v>
      </c>
      <c r="C240" s="12" t="s">
        <v>54</v>
      </c>
      <c r="D240" s="12" t="s">
        <v>1776</v>
      </c>
      <c r="E240" s="12" t="s">
        <v>1777</v>
      </c>
      <c r="F240" s="12">
        <v>92</v>
      </c>
      <c r="G240" s="12">
        <v>74</v>
      </c>
      <c r="H240" s="12">
        <v>18</v>
      </c>
      <c r="I240" s="12">
        <v>31</v>
      </c>
      <c r="J240" s="12">
        <v>50015</v>
      </c>
      <c r="K240" s="12">
        <v>55020.49</v>
      </c>
      <c r="L240" s="12">
        <v>900270</v>
      </c>
      <c r="M240" s="12">
        <v>5</v>
      </c>
      <c r="N240" s="12">
        <v>15</v>
      </c>
      <c r="O240" s="12">
        <v>4.7</v>
      </c>
      <c r="P240" s="14">
        <v>46088</v>
      </c>
      <c r="Q240" s="12" t="s">
        <v>1782</v>
      </c>
    </row>
    <row r="241" spans="1:17" x14ac:dyDescent="0.3">
      <c r="A241" s="12" t="s">
        <v>122</v>
      </c>
      <c r="B241" s="12" t="s">
        <v>123</v>
      </c>
      <c r="C241" s="12" t="s">
        <v>30</v>
      </c>
      <c r="D241" s="12" t="s">
        <v>1776</v>
      </c>
      <c r="E241" s="12" t="s">
        <v>1781</v>
      </c>
      <c r="F241" s="12">
        <v>402</v>
      </c>
      <c r="G241" s="12">
        <v>313</v>
      </c>
      <c r="H241" s="12">
        <v>89</v>
      </c>
      <c r="I241" s="12">
        <v>25</v>
      </c>
      <c r="J241" s="12">
        <v>57085</v>
      </c>
      <c r="K241" s="12">
        <v>76585.929999999993</v>
      </c>
      <c r="L241" s="12">
        <v>5080565</v>
      </c>
      <c r="M241" s="12">
        <v>2</v>
      </c>
      <c r="N241" s="12">
        <v>2</v>
      </c>
      <c r="O241" s="12">
        <v>4.3</v>
      </c>
      <c r="P241" s="14">
        <v>46121</v>
      </c>
      <c r="Q241" s="12" t="s">
        <v>1775</v>
      </c>
    </row>
    <row r="242" spans="1:17" x14ac:dyDescent="0.3">
      <c r="A242" s="12" t="s">
        <v>284</v>
      </c>
      <c r="B242" s="12" t="s">
        <v>285</v>
      </c>
      <c r="C242" s="12" t="s">
        <v>54</v>
      </c>
      <c r="D242" s="12" t="s">
        <v>1778</v>
      </c>
      <c r="E242" s="12" t="s">
        <v>1774</v>
      </c>
      <c r="F242" s="12">
        <v>64</v>
      </c>
      <c r="G242" s="12">
        <v>28</v>
      </c>
      <c r="H242" s="12">
        <v>36</v>
      </c>
      <c r="I242" s="12">
        <v>52</v>
      </c>
      <c r="J242" s="12">
        <v>46305</v>
      </c>
      <c r="K242" s="12">
        <v>52920.37</v>
      </c>
      <c r="L242" s="12">
        <v>1666980</v>
      </c>
      <c r="M242" s="12">
        <v>4</v>
      </c>
      <c r="N242" s="12">
        <v>2</v>
      </c>
      <c r="O242" s="12">
        <v>3.9</v>
      </c>
      <c r="P242" s="14">
        <v>46136</v>
      </c>
      <c r="Q242" s="12" t="s">
        <v>1782</v>
      </c>
    </row>
    <row r="243" spans="1:17" x14ac:dyDescent="0.3">
      <c r="A243" s="12" t="s">
        <v>396</v>
      </c>
      <c r="B243" s="12" t="s">
        <v>397</v>
      </c>
      <c r="C243" s="12" t="s">
        <v>54</v>
      </c>
      <c r="D243" s="12" t="s">
        <v>1773</v>
      </c>
      <c r="E243" s="12" t="s">
        <v>1779</v>
      </c>
      <c r="F243" s="12">
        <v>276</v>
      </c>
      <c r="G243" s="12">
        <v>216</v>
      </c>
      <c r="H243" s="12">
        <v>60</v>
      </c>
      <c r="I243" s="12">
        <v>73</v>
      </c>
      <c r="J243" s="12">
        <v>19601</v>
      </c>
      <c r="K243" s="12">
        <v>26162.04</v>
      </c>
      <c r="L243" s="12">
        <v>1176060</v>
      </c>
      <c r="M243" s="12">
        <v>4</v>
      </c>
      <c r="N243" s="12">
        <v>8</v>
      </c>
      <c r="O243" s="12">
        <v>3.7</v>
      </c>
      <c r="P243" s="14">
        <v>46088</v>
      </c>
      <c r="Q243" s="12" t="s">
        <v>1782</v>
      </c>
    </row>
    <row r="244" spans="1:17" x14ac:dyDescent="0.3">
      <c r="A244" s="12" t="s">
        <v>717</v>
      </c>
      <c r="B244" s="12" t="s">
        <v>718</v>
      </c>
      <c r="C244" s="12" t="s">
        <v>102</v>
      </c>
      <c r="D244" s="12" t="s">
        <v>1780</v>
      </c>
      <c r="E244" s="12" t="s">
        <v>1777</v>
      </c>
      <c r="F244" s="12">
        <v>111</v>
      </c>
      <c r="G244" s="12">
        <v>95</v>
      </c>
      <c r="H244" s="12">
        <v>16</v>
      </c>
      <c r="I244" s="12">
        <v>77</v>
      </c>
      <c r="J244" s="12">
        <v>7443</v>
      </c>
      <c r="K244" s="12">
        <v>9257.9699999999993</v>
      </c>
      <c r="L244" s="12">
        <v>119088</v>
      </c>
      <c r="M244" s="12">
        <v>5</v>
      </c>
      <c r="N244" s="12">
        <v>13</v>
      </c>
      <c r="O244" s="12">
        <v>3.6</v>
      </c>
      <c r="P244" s="14">
        <v>46158</v>
      </c>
      <c r="Q244" s="12" t="s">
        <v>1782</v>
      </c>
    </row>
    <row r="245" spans="1:17" x14ac:dyDescent="0.3">
      <c r="A245" s="12" t="s">
        <v>316</v>
      </c>
      <c r="B245" s="12" t="s">
        <v>317</v>
      </c>
      <c r="C245" s="12" t="s">
        <v>54</v>
      </c>
      <c r="D245" s="12" t="s">
        <v>1780</v>
      </c>
      <c r="E245" s="12" t="s">
        <v>1777</v>
      </c>
      <c r="F245" s="12">
        <v>181</v>
      </c>
      <c r="G245" s="12">
        <v>135</v>
      </c>
      <c r="H245" s="12">
        <v>46</v>
      </c>
      <c r="I245" s="12">
        <v>26</v>
      </c>
      <c r="J245" s="12">
        <v>58147</v>
      </c>
      <c r="K245" s="12">
        <v>65023.25</v>
      </c>
      <c r="L245" s="12">
        <v>2674762</v>
      </c>
      <c r="M245" s="12">
        <v>4</v>
      </c>
      <c r="N245" s="12">
        <v>2</v>
      </c>
      <c r="O245" s="12">
        <v>5</v>
      </c>
      <c r="P245" s="14">
        <v>46151</v>
      </c>
      <c r="Q245" s="12" t="s">
        <v>1775</v>
      </c>
    </row>
    <row r="246" spans="1:17" x14ac:dyDescent="0.3">
      <c r="A246" s="12" t="s">
        <v>1359</v>
      </c>
      <c r="B246" s="12" t="s">
        <v>1360</v>
      </c>
      <c r="C246" s="12" t="s">
        <v>71</v>
      </c>
      <c r="D246" s="12" t="s">
        <v>1776</v>
      </c>
      <c r="E246" s="12" t="s">
        <v>1774</v>
      </c>
      <c r="F246" s="12">
        <v>126</v>
      </c>
      <c r="G246" s="12">
        <v>40</v>
      </c>
      <c r="H246" s="12">
        <v>86</v>
      </c>
      <c r="I246" s="12">
        <v>62</v>
      </c>
      <c r="J246" s="12">
        <v>5629</v>
      </c>
      <c r="K246" s="12">
        <v>7339.71</v>
      </c>
      <c r="L246" s="12">
        <v>484094</v>
      </c>
      <c r="M246" s="12">
        <v>3</v>
      </c>
      <c r="N246" s="12">
        <v>9</v>
      </c>
      <c r="O246" s="12">
        <v>3.7</v>
      </c>
      <c r="P246" s="14">
        <v>46121</v>
      </c>
      <c r="Q246" s="12" t="s">
        <v>1775</v>
      </c>
    </row>
    <row r="247" spans="1:17" x14ac:dyDescent="0.3">
      <c r="A247" s="12" t="s">
        <v>574</v>
      </c>
      <c r="B247" s="12" t="s">
        <v>575</v>
      </c>
      <c r="C247" s="12" t="s">
        <v>30</v>
      </c>
      <c r="D247" s="12" t="s">
        <v>1780</v>
      </c>
      <c r="E247" s="12" t="s">
        <v>1781</v>
      </c>
      <c r="F247" s="12">
        <v>455</v>
      </c>
      <c r="G247" s="12">
        <v>33</v>
      </c>
      <c r="H247" s="12">
        <v>422</v>
      </c>
      <c r="I247" s="12">
        <v>64</v>
      </c>
      <c r="J247" s="12">
        <v>58099</v>
      </c>
      <c r="K247" s="12">
        <v>73915.66</v>
      </c>
      <c r="L247" s="12">
        <v>24517778</v>
      </c>
      <c r="M247" s="12">
        <v>5</v>
      </c>
      <c r="N247" s="12">
        <v>15</v>
      </c>
      <c r="O247" s="12">
        <v>4.5</v>
      </c>
      <c r="P247" s="14">
        <v>46076</v>
      </c>
      <c r="Q247" s="12" t="s">
        <v>1775</v>
      </c>
    </row>
    <row r="248" spans="1:17" x14ac:dyDescent="0.3">
      <c r="A248" s="12" t="s">
        <v>160</v>
      </c>
      <c r="B248" s="12" t="s">
        <v>161</v>
      </c>
      <c r="C248" s="12" t="s">
        <v>102</v>
      </c>
      <c r="D248" s="12" t="s">
        <v>1778</v>
      </c>
      <c r="E248" s="12" t="s">
        <v>1781</v>
      </c>
      <c r="F248" s="12">
        <v>122</v>
      </c>
      <c r="G248" s="12">
        <v>46</v>
      </c>
      <c r="H248" s="12">
        <v>76</v>
      </c>
      <c r="I248" s="12">
        <v>53</v>
      </c>
      <c r="J248" s="12">
        <v>55429</v>
      </c>
      <c r="K248" s="12">
        <v>62259.76</v>
      </c>
      <c r="L248" s="12">
        <v>4212604</v>
      </c>
      <c r="M248" s="12">
        <v>1</v>
      </c>
      <c r="N248" s="12">
        <v>15</v>
      </c>
      <c r="O248" s="12">
        <v>4.5999999999999996</v>
      </c>
      <c r="P248" s="14">
        <v>46129</v>
      </c>
      <c r="Q248" s="12" t="s">
        <v>1775</v>
      </c>
    </row>
    <row r="249" spans="1:17" x14ac:dyDescent="0.3">
      <c r="A249" s="12" t="s">
        <v>234</v>
      </c>
      <c r="B249" s="12" t="s">
        <v>235</v>
      </c>
      <c r="C249" s="12" t="s">
        <v>102</v>
      </c>
      <c r="D249" s="12" t="s">
        <v>1780</v>
      </c>
      <c r="E249" s="12" t="s">
        <v>1779</v>
      </c>
      <c r="F249" s="12">
        <v>156</v>
      </c>
      <c r="G249" s="12">
        <v>59</v>
      </c>
      <c r="H249" s="12">
        <v>97</v>
      </c>
      <c r="I249" s="12">
        <v>34</v>
      </c>
      <c r="J249" s="12">
        <v>17890</v>
      </c>
      <c r="K249" s="12">
        <v>24514.25</v>
      </c>
      <c r="L249" s="12">
        <v>1735330</v>
      </c>
      <c r="M249" s="12">
        <v>4</v>
      </c>
      <c r="N249" s="12">
        <v>15</v>
      </c>
      <c r="O249" s="12">
        <v>4.2</v>
      </c>
      <c r="P249" s="14">
        <v>46118</v>
      </c>
      <c r="Q249" s="12" t="s">
        <v>1775</v>
      </c>
    </row>
    <row r="250" spans="1:17" x14ac:dyDescent="0.3">
      <c r="A250" s="12" t="s">
        <v>574</v>
      </c>
      <c r="B250" s="12" t="s">
        <v>575</v>
      </c>
      <c r="C250" s="12" t="s">
        <v>30</v>
      </c>
      <c r="D250" s="12" t="s">
        <v>1773</v>
      </c>
      <c r="E250" s="12" t="s">
        <v>1777</v>
      </c>
      <c r="F250" s="12">
        <v>307</v>
      </c>
      <c r="G250" s="12">
        <v>126</v>
      </c>
      <c r="H250" s="12">
        <v>181</v>
      </c>
      <c r="I250" s="12">
        <v>62</v>
      </c>
      <c r="J250" s="12">
        <v>40203</v>
      </c>
      <c r="K250" s="12">
        <v>45907.76</v>
      </c>
      <c r="L250" s="12">
        <v>7276743</v>
      </c>
      <c r="M250" s="12">
        <v>2</v>
      </c>
      <c r="N250" s="12">
        <v>2</v>
      </c>
      <c r="O250" s="12">
        <v>3.7</v>
      </c>
      <c r="P250" s="14">
        <v>46171</v>
      </c>
      <c r="Q250" s="12" t="s">
        <v>1775</v>
      </c>
    </row>
    <row r="251" spans="1:17" x14ac:dyDescent="0.3">
      <c r="A251" s="12" t="s">
        <v>238</v>
      </c>
      <c r="B251" s="12" t="s">
        <v>239</v>
      </c>
      <c r="C251" s="12" t="s">
        <v>71</v>
      </c>
      <c r="D251" s="12" t="s">
        <v>1778</v>
      </c>
      <c r="E251" s="12" t="s">
        <v>1774</v>
      </c>
      <c r="F251" s="12">
        <v>74</v>
      </c>
      <c r="G251" s="12">
        <v>45</v>
      </c>
      <c r="H251" s="12">
        <v>29</v>
      </c>
      <c r="I251" s="12">
        <v>54</v>
      </c>
      <c r="J251" s="12">
        <v>36287</v>
      </c>
      <c r="K251" s="12">
        <v>40823.67</v>
      </c>
      <c r="L251" s="12">
        <v>1052323</v>
      </c>
      <c r="M251" s="12">
        <v>2</v>
      </c>
      <c r="N251" s="12">
        <v>4</v>
      </c>
      <c r="O251" s="12">
        <v>4.9000000000000004</v>
      </c>
      <c r="P251" s="14">
        <v>46039</v>
      </c>
      <c r="Q251" s="12" t="s">
        <v>1782</v>
      </c>
    </row>
    <row r="252" spans="1:17" x14ac:dyDescent="0.3">
      <c r="A252" s="12" t="s">
        <v>316</v>
      </c>
      <c r="B252" s="12" t="s">
        <v>317</v>
      </c>
      <c r="C252" s="12" t="s">
        <v>54</v>
      </c>
      <c r="D252" s="12" t="s">
        <v>1780</v>
      </c>
      <c r="E252" s="12" t="s">
        <v>1777</v>
      </c>
      <c r="F252" s="12">
        <v>408</v>
      </c>
      <c r="G252" s="12">
        <v>353</v>
      </c>
      <c r="H252" s="12">
        <v>55</v>
      </c>
      <c r="I252" s="12">
        <v>64</v>
      </c>
      <c r="J252" s="12">
        <v>26951</v>
      </c>
      <c r="K252" s="12">
        <v>36512.99</v>
      </c>
      <c r="L252" s="12">
        <v>1482305</v>
      </c>
      <c r="M252" s="12">
        <v>2</v>
      </c>
      <c r="N252" s="12">
        <v>5</v>
      </c>
      <c r="O252" s="12">
        <v>3.5</v>
      </c>
      <c r="P252" s="14">
        <v>46118</v>
      </c>
      <c r="Q252" s="12" t="s">
        <v>1782</v>
      </c>
    </row>
    <row r="253" spans="1:17" x14ac:dyDescent="0.3">
      <c r="A253" s="12" t="s">
        <v>396</v>
      </c>
      <c r="B253" s="12" t="s">
        <v>397</v>
      </c>
      <c r="C253" s="12" t="s">
        <v>54</v>
      </c>
      <c r="D253" s="12" t="s">
        <v>1778</v>
      </c>
      <c r="E253" s="12" t="s">
        <v>1779</v>
      </c>
      <c r="F253" s="12">
        <v>289</v>
      </c>
      <c r="G253" s="12">
        <v>135</v>
      </c>
      <c r="H253" s="12">
        <v>154</v>
      </c>
      <c r="I253" s="12">
        <v>21</v>
      </c>
      <c r="J253" s="12">
        <v>27216</v>
      </c>
      <c r="K253" s="12">
        <v>32595.48</v>
      </c>
      <c r="L253" s="12">
        <v>4191264</v>
      </c>
      <c r="M253" s="12">
        <v>1</v>
      </c>
      <c r="N253" s="12">
        <v>7</v>
      </c>
      <c r="O253" s="12">
        <v>4.0999999999999996</v>
      </c>
      <c r="P253" s="14">
        <v>46055</v>
      </c>
      <c r="Q253" s="12" t="s">
        <v>1775</v>
      </c>
    </row>
    <row r="254" spans="1:17" x14ac:dyDescent="0.3">
      <c r="A254" s="12" t="s">
        <v>504</v>
      </c>
      <c r="B254" s="12" t="s">
        <v>505</v>
      </c>
      <c r="C254" s="12" t="s">
        <v>54</v>
      </c>
      <c r="D254" s="12" t="s">
        <v>1778</v>
      </c>
      <c r="E254" s="12" t="s">
        <v>1779</v>
      </c>
      <c r="F254" s="12">
        <v>461</v>
      </c>
      <c r="G254" s="12">
        <v>1</v>
      </c>
      <c r="H254" s="12">
        <v>460</v>
      </c>
      <c r="I254" s="12">
        <v>49</v>
      </c>
      <c r="J254" s="12">
        <v>1221</v>
      </c>
      <c r="K254" s="12">
        <v>1393.4</v>
      </c>
      <c r="L254" s="12">
        <v>561660</v>
      </c>
      <c r="M254" s="12">
        <v>5</v>
      </c>
      <c r="N254" s="12">
        <v>5</v>
      </c>
      <c r="O254" s="12">
        <v>4</v>
      </c>
      <c r="P254" s="14">
        <v>46027</v>
      </c>
      <c r="Q254" s="12" t="s">
        <v>1775</v>
      </c>
    </row>
    <row r="255" spans="1:17" x14ac:dyDescent="0.3">
      <c r="A255" s="12" t="s">
        <v>141</v>
      </c>
      <c r="B255" s="12" t="s">
        <v>142</v>
      </c>
      <c r="C255" s="12" t="s">
        <v>71</v>
      </c>
      <c r="D255" s="12" t="s">
        <v>1780</v>
      </c>
      <c r="E255" s="12" t="s">
        <v>1779</v>
      </c>
      <c r="F255" s="12">
        <v>339</v>
      </c>
      <c r="G255" s="12">
        <v>328</v>
      </c>
      <c r="H255" s="12">
        <v>11</v>
      </c>
      <c r="I255" s="12">
        <v>72</v>
      </c>
      <c r="J255" s="12">
        <v>50267</v>
      </c>
      <c r="K255" s="12">
        <v>66130.45</v>
      </c>
      <c r="L255" s="12">
        <v>552937</v>
      </c>
      <c r="M255" s="12">
        <v>0</v>
      </c>
      <c r="N255" s="12">
        <v>13</v>
      </c>
      <c r="O255" s="12">
        <v>4.8</v>
      </c>
      <c r="P255" s="14">
        <v>46047</v>
      </c>
      <c r="Q255" s="12" t="s">
        <v>1782</v>
      </c>
    </row>
    <row r="256" spans="1:17" x14ac:dyDescent="0.3">
      <c r="A256" s="12" t="s">
        <v>277</v>
      </c>
      <c r="B256" s="12" t="s">
        <v>278</v>
      </c>
      <c r="C256" s="12" t="s">
        <v>71</v>
      </c>
      <c r="D256" s="12" t="s">
        <v>1780</v>
      </c>
      <c r="E256" s="12" t="s">
        <v>1779</v>
      </c>
      <c r="F256" s="12">
        <v>232</v>
      </c>
      <c r="G256" s="12">
        <v>169</v>
      </c>
      <c r="H256" s="12">
        <v>63</v>
      </c>
      <c r="I256" s="12">
        <v>29</v>
      </c>
      <c r="J256" s="12">
        <v>5178</v>
      </c>
      <c r="K256" s="12">
        <v>6396.67</v>
      </c>
      <c r="L256" s="12">
        <v>326214</v>
      </c>
      <c r="M256" s="12">
        <v>5</v>
      </c>
      <c r="N256" s="12">
        <v>15</v>
      </c>
      <c r="O256" s="12">
        <v>3.6</v>
      </c>
      <c r="P256" s="14">
        <v>46103</v>
      </c>
      <c r="Q256" s="12" t="s">
        <v>1775</v>
      </c>
    </row>
    <row r="257" spans="1:17" x14ac:dyDescent="0.3">
      <c r="A257" s="12" t="s">
        <v>224</v>
      </c>
      <c r="B257" s="12" t="s">
        <v>225</v>
      </c>
      <c r="C257" s="12" t="s">
        <v>102</v>
      </c>
      <c r="D257" s="12" t="s">
        <v>1776</v>
      </c>
      <c r="E257" s="12" t="s">
        <v>1777</v>
      </c>
      <c r="F257" s="12">
        <v>411</v>
      </c>
      <c r="G257" s="12">
        <v>236</v>
      </c>
      <c r="H257" s="12">
        <v>175</v>
      </c>
      <c r="I257" s="12">
        <v>46</v>
      </c>
      <c r="J257" s="12">
        <v>12646</v>
      </c>
      <c r="K257" s="12">
        <v>14534.87</v>
      </c>
      <c r="L257" s="12">
        <v>2213050</v>
      </c>
      <c r="M257" s="12">
        <v>3</v>
      </c>
      <c r="N257" s="12">
        <v>14</v>
      </c>
      <c r="O257" s="12">
        <v>3.8</v>
      </c>
      <c r="P257" s="14">
        <v>46147</v>
      </c>
      <c r="Q257" s="12" t="s">
        <v>1775</v>
      </c>
    </row>
    <row r="258" spans="1:17" x14ac:dyDescent="0.3">
      <c r="A258" s="12" t="s">
        <v>210</v>
      </c>
      <c r="B258" s="12" t="s">
        <v>211</v>
      </c>
      <c r="C258" s="12" t="s">
        <v>102</v>
      </c>
      <c r="D258" s="12" t="s">
        <v>1780</v>
      </c>
      <c r="E258" s="12" t="s">
        <v>1781</v>
      </c>
      <c r="F258" s="12">
        <v>114</v>
      </c>
      <c r="G258" s="12">
        <v>1</v>
      </c>
      <c r="H258" s="12">
        <v>113</v>
      </c>
      <c r="I258" s="12">
        <v>73</v>
      </c>
      <c r="J258" s="12">
        <v>9622</v>
      </c>
      <c r="K258" s="12">
        <v>10679.53</v>
      </c>
      <c r="L258" s="12">
        <v>1087286</v>
      </c>
      <c r="M258" s="12">
        <v>2</v>
      </c>
      <c r="N258" s="12">
        <v>3</v>
      </c>
      <c r="O258" s="12">
        <v>4.3</v>
      </c>
      <c r="P258" s="14">
        <v>46150</v>
      </c>
      <c r="Q258" s="12" t="s">
        <v>1775</v>
      </c>
    </row>
    <row r="259" spans="1:17" x14ac:dyDescent="0.3">
      <c r="A259" s="12" t="s">
        <v>367</v>
      </c>
      <c r="B259" s="12" t="s">
        <v>368</v>
      </c>
      <c r="C259" s="12" t="s">
        <v>71</v>
      </c>
      <c r="D259" s="12" t="s">
        <v>1773</v>
      </c>
      <c r="E259" s="12" t="s">
        <v>1777</v>
      </c>
      <c r="F259" s="12">
        <v>264</v>
      </c>
      <c r="G259" s="12">
        <v>89</v>
      </c>
      <c r="H259" s="12">
        <v>175</v>
      </c>
      <c r="I259" s="12">
        <v>49</v>
      </c>
      <c r="J259" s="12">
        <v>41751</v>
      </c>
      <c r="K259" s="12">
        <v>52132.57</v>
      </c>
      <c r="L259" s="12">
        <v>7306425</v>
      </c>
      <c r="M259" s="12">
        <v>5</v>
      </c>
      <c r="N259" s="12">
        <v>11</v>
      </c>
      <c r="O259" s="12">
        <v>4.4000000000000004</v>
      </c>
      <c r="P259" s="14">
        <v>46074</v>
      </c>
      <c r="Q259" s="12" t="s">
        <v>1775</v>
      </c>
    </row>
    <row r="260" spans="1:17" x14ac:dyDescent="0.3">
      <c r="A260" s="12" t="s">
        <v>79</v>
      </c>
      <c r="B260" s="12" t="s">
        <v>80</v>
      </c>
      <c r="C260" s="12" t="s">
        <v>71</v>
      </c>
      <c r="D260" s="12" t="s">
        <v>1773</v>
      </c>
      <c r="E260" s="12" t="s">
        <v>1781</v>
      </c>
      <c r="F260" s="12">
        <v>435</v>
      </c>
      <c r="G260" s="12">
        <v>42</v>
      </c>
      <c r="H260" s="12">
        <v>393</v>
      </c>
      <c r="I260" s="12">
        <v>44</v>
      </c>
      <c r="J260" s="12">
        <v>19754</v>
      </c>
      <c r="K260" s="12">
        <v>27613.22</v>
      </c>
      <c r="L260" s="12">
        <v>7763322</v>
      </c>
      <c r="M260" s="12">
        <v>2</v>
      </c>
      <c r="N260" s="12">
        <v>12</v>
      </c>
      <c r="O260" s="12">
        <v>4.2</v>
      </c>
      <c r="P260" s="14">
        <v>46118</v>
      </c>
      <c r="Q260" s="12" t="s">
        <v>1775</v>
      </c>
    </row>
    <row r="261" spans="1:17" x14ac:dyDescent="0.3">
      <c r="A261" s="12" t="s">
        <v>553</v>
      </c>
      <c r="B261" s="12" t="s">
        <v>554</v>
      </c>
      <c r="C261" s="12" t="s">
        <v>54</v>
      </c>
      <c r="D261" s="12" t="s">
        <v>1773</v>
      </c>
      <c r="E261" s="12" t="s">
        <v>1777</v>
      </c>
      <c r="F261" s="12">
        <v>349</v>
      </c>
      <c r="G261" s="12">
        <v>69</v>
      </c>
      <c r="H261" s="12">
        <v>280</v>
      </c>
      <c r="I261" s="12">
        <v>69</v>
      </c>
      <c r="J261" s="12">
        <v>24211</v>
      </c>
      <c r="K261" s="12">
        <v>27565.01</v>
      </c>
      <c r="L261" s="12">
        <v>6779080</v>
      </c>
      <c r="M261" s="12">
        <v>4</v>
      </c>
      <c r="N261" s="12">
        <v>8</v>
      </c>
      <c r="O261" s="12">
        <v>4</v>
      </c>
      <c r="P261" s="14">
        <v>46037</v>
      </c>
      <c r="Q261" s="12" t="s">
        <v>1775</v>
      </c>
    </row>
    <row r="262" spans="1:17" x14ac:dyDescent="0.3">
      <c r="A262" s="12" t="s">
        <v>1359</v>
      </c>
      <c r="B262" s="12" t="s">
        <v>1360</v>
      </c>
      <c r="C262" s="12" t="s">
        <v>71</v>
      </c>
      <c r="D262" s="12" t="s">
        <v>1776</v>
      </c>
      <c r="E262" s="12" t="s">
        <v>1779</v>
      </c>
      <c r="F262" s="12">
        <v>385</v>
      </c>
      <c r="G262" s="12">
        <v>338</v>
      </c>
      <c r="H262" s="12">
        <v>47</v>
      </c>
      <c r="I262" s="12">
        <v>55</v>
      </c>
      <c r="J262" s="12">
        <v>37829</v>
      </c>
      <c r="K262" s="12">
        <v>46799.27</v>
      </c>
      <c r="L262" s="12">
        <v>1777963</v>
      </c>
      <c r="M262" s="12">
        <v>4</v>
      </c>
      <c r="N262" s="12">
        <v>8</v>
      </c>
      <c r="O262" s="12">
        <v>4.5999999999999996</v>
      </c>
      <c r="P262" s="14">
        <v>46045</v>
      </c>
      <c r="Q262" s="12" t="s">
        <v>1782</v>
      </c>
    </row>
    <row r="263" spans="1:17" x14ac:dyDescent="0.3">
      <c r="A263" s="12" t="s">
        <v>257</v>
      </c>
      <c r="B263" s="12" t="s">
        <v>258</v>
      </c>
      <c r="C263" s="12" t="s">
        <v>71</v>
      </c>
      <c r="D263" s="12" t="s">
        <v>1773</v>
      </c>
      <c r="E263" s="12" t="s">
        <v>1779</v>
      </c>
      <c r="F263" s="12">
        <v>417</v>
      </c>
      <c r="G263" s="12">
        <v>256</v>
      </c>
      <c r="H263" s="12">
        <v>161</v>
      </c>
      <c r="I263" s="12">
        <v>48</v>
      </c>
      <c r="J263" s="12">
        <v>41729</v>
      </c>
      <c r="K263" s="12">
        <v>52809.98</v>
      </c>
      <c r="L263" s="12">
        <v>6718369</v>
      </c>
      <c r="M263" s="12">
        <v>1</v>
      </c>
      <c r="N263" s="12">
        <v>11</v>
      </c>
      <c r="O263" s="12">
        <v>3.5</v>
      </c>
      <c r="P263" s="14">
        <v>46073</v>
      </c>
      <c r="Q263" s="12" t="s">
        <v>1775</v>
      </c>
    </row>
    <row r="264" spans="1:17" x14ac:dyDescent="0.3">
      <c r="A264" s="12" t="s">
        <v>257</v>
      </c>
      <c r="B264" s="12" t="s">
        <v>258</v>
      </c>
      <c r="C264" s="12" t="s">
        <v>71</v>
      </c>
      <c r="D264" s="12" t="s">
        <v>1773</v>
      </c>
      <c r="E264" s="12" t="s">
        <v>1779</v>
      </c>
      <c r="F264" s="12">
        <v>401</v>
      </c>
      <c r="G264" s="12">
        <v>338</v>
      </c>
      <c r="H264" s="12">
        <v>63</v>
      </c>
      <c r="I264" s="12">
        <v>60</v>
      </c>
      <c r="J264" s="12">
        <v>26165</v>
      </c>
      <c r="K264" s="12">
        <v>34702.550000000003</v>
      </c>
      <c r="L264" s="12">
        <v>1648395</v>
      </c>
      <c r="M264" s="12">
        <v>1</v>
      </c>
      <c r="N264" s="12">
        <v>4</v>
      </c>
      <c r="O264" s="12">
        <v>4.3</v>
      </c>
      <c r="P264" s="14">
        <v>46073</v>
      </c>
      <c r="Q264" s="12" t="s">
        <v>1775</v>
      </c>
    </row>
    <row r="265" spans="1:17" x14ac:dyDescent="0.3">
      <c r="A265" s="12" t="s">
        <v>299</v>
      </c>
      <c r="B265" s="12" t="s">
        <v>300</v>
      </c>
      <c r="C265" s="12" t="s">
        <v>71</v>
      </c>
      <c r="D265" s="12" t="s">
        <v>1776</v>
      </c>
      <c r="E265" s="12" t="s">
        <v>1777</v>
      </c>
      <c r="F265" s="12">
        <v>370</v>
      </c>
      <c r="G265" s="12">
        <v>83</v>
      </c>
      <c r="H265" s="12">
        <v>287</v>
      </c>
      <c r="I265" s="12">
        <v>65</v>
      </c>
      <c r="J265" s="12">
        <v>3168</v>
      </c>
      <c r="K265" s="12">
        <v>3811.29</v>
      </c>
      <c r="L265" s="12">
        <v>909216</v>
      </c>
      <c r="M265" s="12">
        <v>4</v>
      </c>
      <c r="N265" s="12">
        <v>10</v>
      </c>
      <c r="O265" s="12">
        <v>3.9</v>
      </c>
      <c r="P265" s="14">
        <v>46146</v>
      </c>
      <c r="Q265" s="12" t="s">
        <v>1775</v>
      </c>
    </row>
    <row r="266" spans="1:17" x14ac:dyDescent="0.3">
      <c r="A266" s="12" t="s">
        <v>189</v>
      </c>
      <c r="B266" s="12" t="s">
        <v>190</v>
      </c>
      <c r="C266" s="12" t="s">
        <v>102</v>
      </c>
      <c r="D266" s="12" t="s">
        <v>1776</v>
      </c>
      <c r="E266" s="12" t="s">
        <v>1781</v>
      </c>
      <c r="F266" s="12">
        <v>292</v>
      </c>
      <c r="G266" s="12">
        <v>213</v>
      </c>
      <c r="H266" s="12">
        <v>79</v>
      </c>
      <c r="I266" s="12">
        <v>67</v>
      </c>
      <c r="J266" s="12">
        <v>35449</v>
      </c>
      <c r="K266" s="12">
        <v>40975.730000000003</v>
      </c>
      <c r="L266" s="12">
        <v>2800471</v>
      </c>
      <c r="M266" s="12">
        <v>4</v>
      </c>
      <c r="N266" s="12">
        <v>10</v>
      </c>
      <c r="O266" s="12">
        <v>4.9000000000000004</v>
      </c>
      <c r="P266" s="14">
        <v>46089</v>
      </c>
      <c r="Q266" s="12" t="s">
        <v>1775</v>
      </c>
    </row>
    <row r="267" spans="1:17" x14ac:dyDescent="0.3">
      <c r="A267" s="12" t="s">
        <v>52</v>
      </c>
      <c r="B267" s="12" t="s">
        <v>53</v>
      </c>
      <c r="C267" s="12" t="s">
        <v>54</v>
      </c>
      <c r="D267" s="12" t="s">
        <v>1776</v>
      </c>
      <c r="E267" s="12" t="s">
        <v>1777</v>
      </c>
      <c r="F267" s="12">
        <v>378</v>
      </c>
      <c r="G267" s="12">
        <v>291</v>
      </c>
      <c r="H267" s="12">
        <v>87</v>
      </c>
      <c r="I267" s="12">
        <v>38</v>
      </c>
      <c r="J267" s="12">
        <v>28980</v>
      </c>
      <c r="K267" s="12">
        <v>39068.449999999997</v>
      </c>
      <c r="L267" s="12">
        <v>2521260</v>
      </c>
      <c r="M267" s="12">
        <v>0</v>
      </c>
      <c r="N267" s="12">
        <v>11</v>
      </c>
      <c r="O267" s="12">
        <v>4</v>
      </c>
      <c r="P267" s="14">
        <v>46038</v>
      </c>
      <c r="Q267" s="12" t="s">
        <v>1775</v>
      </c>
    </row>
    <row r="268" spans="1:17" x14ac:dyDescent="0.3">
      <c r="A268" s="12" t="s">
        <v>234</v>
      </c>
      <c r="B268" s="12" t="s">
        <v>235</v>
      </c>
      <c r="C268" s="12" t="s">
        <v>102</v>
      </c>
      <c r="D268" s="12" t="s">
        <v>1773</v>
      </c>
      <c r="E268" s="12" t="s">
        <v>1779</v>
      </c>
      <c r="F268" s="12">
        <v>257</v>
      </c>
      <c r="G268" s="12">
        <v>22</v>
      </c>
      <c r="H268" s="12">
        <v>235</v>
      </c>
      <c r="I268" s="12">
        <v>63</v>
      </c>
      <c r="J268" s="12">
        <v>38416</v>
      </c>
      <c r="K268" s="12">
        <v>47545.11</v>
      </c>
      <c r="L268" s="12">
        <v>9027760</v>
      </c>
      <c r="M268" s="12">
        <v>4</v>
      </c>
      <c r="N268" s="12">
        <v>5</v>
      </c>
      <c r="O268" s="12">
        <v>4.5</v>
      </c>
      <c r="P268" s="14">
        <v>46200</v>
      </c>
      <c r="Q268" s="12" t="s">
        <v>1775</v>
      </c>
    </row>
    <row r="269" spans="1:17" x14ac:dyDescent="0.3">
      <c r="A269" s="12" t="s">
        <v>1359</v>
      </c>
      <c r="B269" s="12" t="s">
        <v>1360</v>
      </c>
      <c r="C269" s="12" t="s">
        <v>71</v>
      </c>
      <c r="D269" s="12" t="s">
        <v>1778</v>
      </c>
      <c r="E269" s="12" t="s">
        <v>1779</v>
      </c>
      <c r="F269" s="12">
        <v>454</v>
      </c>
      <c r="G269" s="12">
        <v>249</v>
      </c>
      <c r="H269" s="12">
        <v>205</v>
      </c>
      <c r="I269" s="12">
        <v>36</v>
      </c>
      <c r="J269" s="12">
        <v>2964</v>
      </c>
      <c r="K269" s="12">
        <v>4097.03</v>
      </c>
      <c r="L269" s="12">
        <v>607620</v>
      </c>
      <c r="M269" s="12">
        <v>1</v>
      </c>
      <c r="N269" s="12">
        <v>13</v>
      </c>
      <c r="O269" s="12">
        <v>4.0999999999999996</v>
      </c>
      <c r="P269" s="14">
        <v>46150</v>
      </c>
      <c r="Q269" s="12" t="s">
        <v>1775</v>
      </c>
    </row>
    <row r="270" spans="1:17" x14ac:dyDescent="0.3">
      <c r="A270" s="12" t="s">
        <v>28</v>
      </c>
      <c r="B270" s="12" t="s">
        <v>29</v>
      </c>
      <c r="C270" s="12" t="s">
        <v>30</v>
      </c>
      <c r="D270" s="12" t="s">
        <v>1776</v>
      </c>
      <c r="E270" s="12" t="s">
        <v>1777</v>
      </c>
      <c r="F270" s="12">
        <v>380</v>
      </c>
      <c r="G270" s="12">
        <v>182</v>
      </c>
      <c r="H270" s="12">
        <v>198</v>
      </c>
      <c r="I270" s="12">
        <v>36</v>
      </c>
      <c r="J270" s="12">
        <v>26540</v>
      </c>
      <c r="K270" s="12">
        <v>33211.06</v>
      </c>
      <c r="L270" s="12">
        <v>5254920</v>
      </c>
      <c r="M270" s="12">
        <v>3</v>
      </c>
      <c r="N270" s="12">
        <v>12</v>
      </c>
      <c r="O270" s="12">
        <v>4.3</v>
      </c>
      <c r="P270" s="14">
        <v>46157</v>
      </c>
      <c r="Q270" s="12" t="s">
        <v>1775</v>
      </c>
    </row>
    <row r="271" spans="1:17" x14ac:dyDescent="0.3">
      <c r="A271" s="12" t="s">
        <v>574</v>
      </c>
      <c r="B271" s="12" t="s">
        <v>575</v>
      </c>
      <c r="C271" s="12" t="s">
        <v>30</v>
      </c>
      <c r="D271" s="12" t="s">
        <v>1778</v>
      </c>
      <c r="E271" s="12" t="s">
        <v>1777</v>
      </c>
      <c r="F271" s="12">
        <v>211</v>
      </c>
      <c r="G271" s="12">
        <v>209</v>
      </c>
      <c r="H271" s="12">
        <v>2</v>
      </c>
      <c r="I271" s="12">
        <v>42</v>
      </c>
      <c r="J271" s="12">
        <v>57750</v>
      </c>
      <c r="K271" s="12">
        <v>66601.899999999994</v>
      </c>
      <c r="L271" s="12">
        <v>115500</v>
      </c>
      <c r="M271" s="12">
        <v>2</v>
      </c>
      <c r="N271" s="12">
        <v>2</v>
      </c>
      <c r="O271" s="12">
        <v>3.9</v>
      </c>
      <c r="P271" s="14">
        <v>46102</v>
      </c>
      <c r="Q271" s="12" t="s">
        <v>1782</v>
      </c>
    </row>
    <row r="272" spans="1:17" x14ac:dyDescent="0.3">
      <c r="A272" s="12" t="s">
        <v>180</v>
      </c>
      <c r="B272" s="12" t="s">
        <v>181</v>
      </c>
      <c r="C272" s="12" t="s">
        <v>54</v>
      </c>
      <c r="D272" s="12" t="s">
        <v>1776</v>
      </c>
      <c r="E272" s="12" t="s">
        <v>1774</v>
      </c>
      <c r="F272" s="12">
        <v>440</v>
      </c>
      <c r="G272" s="12">
        <v>376</v>
      </c>
      <c r="H272" s="12">
        <v>64</v>
      </c>
      <c r="I272" s="12">
        <v>69</v>
      </c>
      <c r="J272" s="12">
        <v>40155</v>
      </c>
      <c r="K272" s="12">
        <v>46376.27</v>
      </c>
      <c r="L272" s="12">
        <v>2569920</v>
      </c>
      <c r="M272" s="12">
        <v>2</v>
      </c>
      <c r="N272" s="12">
        <v>6</v>
      </c>
      <c r="O272" s="12">
        <v>4.3</v>
      </c>
      <c r="P272" s="14">
        <v>46164</v>
      </c>
      <c r="Q272" s="12" t="s">
        <v>1782</v>
      </c>
    </row>
    <row r="273" spans="1:17" x14ac:dyDescent="0.3">
      <c r="A273" s="12" t="s">
        <v>122</v>
      </c>
      <c r="B273" s="12" t="s">
        <v>123</v>
      </c>
      <c r="C273" s="12" t="s">
        <v>30</v>
      </c>
      <c r="D273" s="12" t="s">
        <v>1773</v>
      </c>
      <c r="E273" s="12" t="s">
        <v>1777</v>
      </c>
      <c r="F273" s="12">
        <v>390</v>
      </c>
      <c r="G273" s="12">
        <v>200</v>
      </c>
      <c r="H273" s="12">
        <v>190</v>
      </c>
      <c r="I273" s="12">
        <v>52</v>
      </c>
      <c r="J273" s="12">
        <v>26722</v>
      </c>
      <c r="K273" s="12">
        <v>32600.11</v>
      </c>
      <c r="L273" s="12">
        <v>5077180</v>
      </c>
      <c r="M273" s="12">
        <v>4</v>
      </c>
      <c r="N273" s="12">
        <v>13</v>
      </c>
      <c r="O273" s="12">
        <v>4.4000000000000004</v>
      </c>
      <c r="P273" s="14">
        <v>46055</v>
      </c>
      <c r="Q273" s="12" t="s">
        <v>1775</v>
      </c>
    </row>
    <row r="274" spans="1:17" x14ac:dyDescent="0.3">
      <c r="A274" s="12" t="s">
        <v>717</v>
      </c>
      <c r="B274" s="12" t="s">
        <v>718</v>
      </c>
      <c r="C274" s="12" t="s">
        <v>102</v>
      </c>
      <c r="D274" s="12" t="s">
        <v>1778</v>
      </c>
      <c r="E274" s="12" t="s">
        <v>1777</v>
      </c>
      <c r="F274" s="12">
        <v>200</v>
      </c>
      <c r="G274" s="12">
        <v>8</v>
      </c>
      <c r="H274" s="12">
        <v>192</v>
      </c>
      <c r="I274" s="12">
        <v>46</v>
      </c>
      <c r="J274" s="12">
        <v>44560</v>
      </c>
      <c r="K274" s="12">
        <v>56369.42</v>
      </c>
      <c r="L274" s="12">
        <v>8555520</v>
      </c>
      <c r="M274" s="12">
        <v>4</v>
      </c>
      <c r="N274" s="12">
        <v>7</v>
      </c>
      <c r="O274" s="12">
        <v>3.8</v>
      </c>
      <c r="P274" s="14">
        <v>46034</v>
      </c>
      <c r="Q274" s="12" t="s">
        <v>1775</v>
      </c>
    </row>
    <row r="275" spans="1:17" x14ac:dyDescent="0.3">
      <c r="A275" s="12" t="s">
        <v>479</v>
      </c>
      <c r="B275" s="12" t="s">
        <v>480</v>
      </c>
      <c r="C275" s="12" t="s">
        <v>71</v>
      </c>
      <c r="D275" s="12" t="s">
        <v>1778</v>
      </c>
      <c r="E275" s="12" t="s">
        <v>1777</v>
      </c>
      <c r="F275" s="12">
        <v>355</v>
      </c>
      <c r="G275" s="12">
        <v>326</v>
      </c>
      <c r="H275" s="12">
        <v>29</v>
      </c>
      <c r="I275" s="12">
        <v>40</v>
      </c>
      <c r="J275" s="12">
        <v>6060</v>
      </c>
      <c r="K275" s="12">
        <v>7498.3</v>
      </c>
      <c r="L275" s="12">
        <v>175740</v>
      </c>
      <c r="M275" s="12">
        <v>3</v>
      </c>
      <c r="N275" s="12">
        <v>2</v>
      </c>
      <c r="O275" s="12">
        <v>4.9000000000000004</v>
      </c>
      <c r="P275" s="14">
        <v>46156</v>
      </c>
      <c r="Q275" s="12" t="s">
        <v>1782</v>
      </c>
    </row>
    <row r="276" spans="1:17" x14ac:dyDescent="0.3">
      <c r="A276" s="12" t="s">
        <v>334</v>
      </c>
      <c r="B276" s="12" t="s">
        <v>335</v>
      </c>
      <c r="C276" s="12" t="s">
        <v>71</v>
      </c>
      <c r="D276" s="12" t="s">
        <v>1773</v>
      </c>
      <c r="E276" s="12" t="s">
        <v>1779</v>
      </c>
      <c r="F276" s="12">
        <v>121</v>
      </c>
      <c r="G276" s="12">
        <v>6</v>
      </c>
      <c r="H276" s="12">
        <v>115</v>
      </c>
      <c r="I276" s="12">
        <v>49</v>
      </c>
      <c r="J276" s="12">
        <v>3496</v>
      </c>
      <c r="K276" s="12">
        <v>4736.28</v>
      </c>
      <c r="L276" s="12">
        <v>402040</v>
      </c>
      <c r="M276" s="12">
        <v>2</v>
      </c>
      <c r="N276" s="12">
        <v>15</v>
      </c>
      <c r="O276" s="12">
        <v>4.8</v>
      </c>
      <c r="P276" s="14">
        <v>46136</v>
      </c>
      <c r="Q276" s="12" t="s">
        <v>1775</v>
      </c>
    </row>
    <row r="277" spans="1:17" x14ac:dyDescent="0.3">
      <c r="A277" s="12" t="s">
        <v>28</v>
      </c>
      <c r="B277" s="12" t="s">
        <v>29</v>
      </c>
      <c r="C277" s="12" t="s">
        <v>30</v>
      </c>
      <c r="D277" s="12" t="s">
        <v>1780</v>
      </c>
      <c r="E277" s="12" t="s">
        <v>1779</v>
      </c>
      <c r="F277" s="12">
        <v>460</v>
      </c>
      <c r="G277" s="12">
        <v>444</v>
      </c>
      <c r="H277" s="12">
        <v>16</v>
      </c>
      <c r="I277" s="12">
        <v>59</v>
      </c>
      <c r="J277" s="12">
        <v>32376</v>
      </c>
      <c r="K277" s="12">
        <v>38099.589999999997</v>
      </c>
      <c r="L277" s="12">
        <v>518016</v>
      </c>
      <c r="M277" s="12">
        <v>1</v>
      </c>
      <c r="N277" s="12">
        <v>9</v>
      </c>
      <c r="O277" s="12">
        <v>5</v>
      </c>
      <c r="P277" s="14">
        <v>46108</v>
      </c>
      <c r="Q277" s="12" t="s">
        <v>1782</v>
      </c>
    </row>
    <row r="278" spans="1:17" x14ac:dyDescent="0.3">
      <c r="A278" s="12" t="s">
        <v>717</v>
      </c>
      <c r="B278" s="12" t="s">
        <v>718</v>
      </c>
      <c r="C278" s="12" t="s">
        <v>102</v>
      </c>
      <c r="D278" s="12" t="s">
        <v>1773</v>
      </c>
      <c r="E278" s="12" t="s">
        <v>1774</v>
      </c>
      <c r="F278" s="12">
        <v>83</v>
      </c>
      <c r="G278" s="12">
        <v>76</v>
      </c>
      <c r="H278" s="12">
        <v>7</v>
      </c>
      <c r="I278" s="12">
        <v>30</v>
      </c>
      <c r="J278" s="12">
        <v>22523</v>
      </c>
      <c r="K278" s="12">
        <v>28289.33</v>
      </c>
      <c r="L278" s="12">
        <v>157661</v>
      </c>
      <c r="M278" s="12">
        <v>4</v>
      </c>
      <c r="N278" s="12">
        <v>3</v>
      </c>
      <c r="O278" s="12">
        <v>4.3</v>
      </c>
      <c r="P278" s="14">
        <v>46098</v>
      </c>
      <c r="Q278" s="12" t="s">
        <v>1782</v>
      </c>
    </row>
    <row r="279" spans="1:17" x14ac:dyDescent="0.3">
      <c r="A279" s="12" t="s">
        <v>358</v>
      </c>
      <c r="B279" s="12" t="s">
        <v>359</v>
      </c>
      <c r="C279" s="12" t="s">
        <v>102</v>
      </c>
      <c r="D279" s="12" t="s">
        <v>1773</v>
      </c>
      <c r="E279" s="12" t="s">
        <v>1779</v>
      </c>
      <c r="F279" s="12">
        <v>89</v>
      </c>
      <c r="G279" s="12">
        <v>58</v>
      </c>
      <c r="H279" s="12">
        <v>31</v>
      </c>
      <c r="I279" s="12">
        <v>60</v>
      </c>
      <c r="J279" s="12">
        <v>32877</v>
      </c>
      <c r="K279" s="12">
        <v>44416.86</v>
      </c>
      <c r="L279" s="12">
        <v>1019187</v>
      </c>
      <c r="M279" s="12">
        <v>1</v>
      </c>
      <c r="N279" s="12">
        <v>9</v>
      </c>
      <c r="O279" s="12">
        <v>4.5</v>
      </c>
      <c r="P279" s="14">
        <v>46026</v>
      </c>
      <c r="Q279" s="12" t="s">
        <v>1782</v>
      </c>
    </row>
    <row r="280" spans="1:17" x14ac:dyDescent="0.3">
      <c r="A280" s="12" t="s">
        <v>553</v>
      </c>
      <c r="B280" s="12" t="s">
        <v>554</v>
      </c>
      <c r="C280" s="12" t="s">
        <v>54</v>
      </c>
      <c r="D280" s="12" t="s">
        <v>1778</v>
      </c>
      <c r="E280" s="12" t="s">
        <v>1779</v>
      </c>
      <c r="F280" s="12">
        <v>185</v>
      </c>
      <c r="G280" s="12">
        <v>23</v>
      </c>
      <c r="H280" s="12">
        <v>162</v>
      </c>
      <c r="I280" s="12">
        <v>36</v>
      </c>
      <c r="J280" s="12">
        <v>57375</v>
      </c>
      <c r="K280" s="12">
        <v>68496.850000000006</v>
      </c>
      <c r="L280" s="12">
        <v>9294750</v>
      </c>
      <c r="M280" s="12">
        <v>4</v>
      </c>
      <c r="N280" s="12">
        <v>12</v>
      </c>
      <c r="O280" s="12">
        <v>4.5</v>
      </c>
      <c r="P280" s="14">
        <v>46104</v>
      </c>
      <c r="Q280" s="12" t="s">
        <v>1775</v>
      </c>
    </row>
    <row r="281" spans="1:17" x14ac:dyDescent="0.3">
      <c r="A281" s="12" t="s">
        <v>391</v>
      </c>
      <c r="B281" s="12" t="s">
        <v>392</v>
      </c>
      <c r="C281" s="12" t="s">
        <v>54</v>
      </c>
      <c r="D281" s="12" t="s">
        <v>1780</v>
      </c>
      <c r="E281" s="12" t="s">
        <v>1777</v>
      </c>
      <c r="F281" s="12">
        <v>459</v>
      </c>
      <c r="G281" s="12">
        <v>0</v>
      </c>
      <c r="H281" s="12">
        <v>459</v>
      </c>
      <c r="I281" s="12">
        <v>27</v>
      </c>
      <c r="J281" s="12">
        <v>35362</v>
      </c>
      <c r="K281" s="12">
        <v>43634.84</v>
      </c>
      <c r="L281" s="12">
        <v>16231158</v>
      </c>
      <c r="M281" s="12">
        <v>2</v>
      </c>
      <c r="N281" s="12">
        <v>7</v>
      </c>
      <c r="O281" s="12">
        <v>4.7</v>
      </c>
      <c r="P281" s="14">
        <v>46191</v>
      </c>
      <c r="Q281" s="12" t="s">
        <v>1775</v>
      </c>
    </row>
    <row r="282" spans="1:17" x14ac:dyDescent="0.3">
      <c r="A282" s="12" t="s">
        <v>184</v>
      </c>
      <c r="B282" s="12" t="s">
        <v>185</v>
      </c>
      <c r="C282" s="12" t="s">
        <v>102</v>
      </c>
      <c r="D282" s="12" t="s">
        <v>1773</v>
      </c>
      <c r="E282" s="12" t="s">
        <v>1777</v>
      </c>
      <c r="F282" s="12">
        <v>341</v>
      </c>
      <c r="G282" s="12">
        <v>324</v>
      </c>
      <c r="H282" s="12">
        <v>17</v>
      </c>
      <c r="I282" s="12">
        <v>68</v>
      </c>
      <c r="J282" s="12">
        <v>23034</v>
      </c>
      <c r="K282" s="12">
        <v>29049.91</v>
      </c>
      <c r="L282" s="12">
        <v>391578</v>
      </c>
      <c r="M282" s="12">
        <v>4</v>
      </c>
      <c r="N282" s="12">
        <v>12</v>
      </c>
      <c r="O282" s="12">
        <v>4</v>
      </c>
      <c r="P282" s="14">
        <v>46126</v>
      </c>
      <c r="Q282" s="12" t="s">
        <v>1782</v>
      </c>
    </row>
    <row r="283" spans="1:17" x14ac:dyDescent="0.3">
      <c r="A283" s="12" t="s">
        <v>127</v>
      </c>
      <c r="B283" s="12" t="s">
        <v>128</v>
      </c>
      <c r="C283" s="12" t="s">
        <v>102</v>
      </c>
      <c r="D283" s="12" t="s">
        <v>1778</v>
      </c>
      <c r="E283" s="12" t="s">
        <v>1781</v>
      </c>
      <c r="F283" s="12">
        <v>257</v>
      </c>
      <c r="G283" s="12">
        <v>226</v>
      </c>
      <c r="H283" s="12">
        <v>31</v>
      </c>
      <c r="I283" s="12">
        <v>75</v>
      </c>
      <c r="J283" s="12">
        <v>16369</v>
      </c>
      <c r="K283" s="12">
        <v>20553.2</v>
      </c>
      <c r="L283" s="12">
        <v>507439</v>
      </c>
      <c r="M283" s="12">
        <v>1</v>
      </c>
      <c r="N283" s="12">
        <v>4</v>
      </c>
      <c r="O283" s="12">
        <v>3.8</v>
      </c>
      <c r="P283" s="14">
        <v>46039</v>
      </c>
      <c r="Q283" s="12" t="s">
        <v>1782</v>
      </c>
    </row>
    <row r="284" spans="1:17" x14ac:dyDescent="0.3">
      <c r="A284" s="12" t="s">
        <v>213</v>
      </c>
      <c r="B284" s="12" t="s">
        <v>214</v>
      </c>
      <c r="C284" s="12" t="s">
        <v>54</v>
      </c>
      <c r="D284" s="12" t="s">
        <v>1773</v>
      </c>
      <c r="E284" s="12" t="s">
        <v>1779</v>
      </c>
      <c r="F284" s="12">
        <v>184</v>
      </c>
      <c r="G284" s="12">
        <v>162</v>
      </c>
      <c r="H284" s="12">
        <v>22</v>
      </c>
      <c r="I284" s="12">
        <v>68</v>
      </c>
      <c r="J284" s="12">
        <v>15046</v>
      </c>
      <c r="K284" s="12">
        <v>18886.439999999999</v>
      </c>
      <c r="L284" s="12">
        <v>331012</v>
      </c>
      <c r="M284" s="12">
        <v>1</v>
      </c>
      <c r="N284" s="12">
        <v>4</v>
      </c>
      <c r="O284" s="12">
        <v>4.5</v>
      </c>
      <c r="P284" s="14">
        <v>46065</v>
      </c>
      <c r="Q284" s="12" t="s">
        <v>1782</v>
      </c>
    </row>
    <row r="285" spans="1:17" x14ac:dyDescent="0.3">
      <c r="A285" s="12" t="s">
        <v>160</v>
      </c>
      <c r="B285" s="12" t="s">
        <v>161</v>
      </c>
      <c r="C285" s="12" t="s">
        <v>102</v>
      </c>
      <c r="D285" s="12" t="s">
        <v>1773</v>
      </c>
      <c r="E285" s="12" t="s">
        <v>1774</v>
      </c>
      <c r="F285" s="12">
        <v>171</v>
      </c>
      <c r="G285" s="12">
        <v>114</v>
      </c>
      <c r="H285" s="12">
        <v>57</v>
      </c>
      <c r="I285" s="12">
        <v>66</v>
      </c>
      <c r="J285" s="12">
        <v>785</v>
      </c>
      <c r="K285" s="12">
        <v>1002.26</v>
      </c>
      <c r="L285" s="12">
        <v>44745</v>
      </c>
      <c r="M285" s="12">
        <v>1</v>
      </c>
      <c r="N285" s="12">
        <v>12</v>
      </c>
      <c r="O285" s="12">
        <v>4.2</v>
      </c>
      <c r="P285" s="14">
        <v>46023</v>
      </c>
      <c r="Q285" s="12" t="s">
        <v>1782</v>
      </c>
    </row>
    <row r="286" spans="1:17" x14ac:dyDescent="0.3">
      <c r="A286" s="12" t="s">
        <v>52</v>
      </c>
      <c r="B286" s="12" t="s">
        <v>53</v>
      </c>
      <c r="C286" s="12" t="s">
        <v>54</v>
      </c>
      <c r="D286" s="12" t="s">
        <v>1780</v>
      </c>
      <c r="E286" s="12" t="s">
        <v>1777</v>
      </c>
      <c r="F286" s="12">
        <v>143</v>
      </c>
      <c r="G286" s="12">
        <v>50</v>
      </c>
      <c r="H286" s="12">
        <v>93</v>
      </c>
      <c r="I286" s="12">
        <v>62</v>
      </c>
      <c r="J286" s="12">
        <v>34387</v>
      </c>
      <c r="K286" s="12">
        <v>44384.14</v>
      </c>
      <c r="L286" s="12">
        <v>3197991</v>
      </c>
      <c r="M286" s="12">
        <v>2</v>
      </c>
      <c r="N286" s="12">
        <v>10</v>
      </c>
      <c r="O286" s="12">
        <v>4.3</v>
      </c>
      <c r="P286" s="14">
        <v>46089</v>
      </c>
      <c r="Q286" s="12" t="s">
        <v>1775</v>
      </c>
    </row>
    <row r="287" spans="1:17" x14ac:dyDescent="0.3">
      <c r="A287" s="12" t="s">
        <v>231</v>
      </c>
      <c r="B287" s="12" t="s">
        <v>232</v>
      </c>
      <c r="C287" s="12" t="s">
        <v>54</v>
      </c>
      <c r="D287" s="12" t="s">
        <v>1773</v>
      </c>
      <c r="E287" s="12" t="s">
        <v>1779</v>
      </c>
      <c r="F287" s="12">
        <v>163</v>
      </c>
      <c r="G287" s="12">
        <v>89</v>
      </c>
      <c r="H287" s="12">
        <v>74</v>
      </c>
      <c r="I287" s="12">
        <v>29</v>
      </c>
      <c r="J287" s="12">
        <v>2141</v>
      </c>
      <c r="K287" s="12">
        <v>2722.97</v>
      </c>
      <c r="L287" s="12">
        <v>158434</v>
      </c>
      <c r="M287" s="12">
        <v>0</v>
      </c>
      <c r="N287" s="12">
        <v>8</v>
      </c>
      <c r="O287" s="12">
        <v>4.4000000000000004</v>
      </c>
      <c r="P287" s="14">
        <v>46130</v>
      </c>
      <c r="Q287" s="12" t="s">
        <v>1775</v>
      </c>
    </row>
    <row r="288" spans="1:17" x14ac:dyDescent="0.3">
      <c r="A288" s="12" t="s">
        <v>431</v>
      </c>
      <c r="B288" s="12" t="s">
        <v>432</v>
      </c>
      <c r="C288" s="12" t="s">
        <v>30</v>
      </c>
      <c r="D288" s="12" t="s">
        <v>1778</v>
      </c>
      <c r="E288" s="12" t="s">
        <v>1774</v>
      </c>
      <c r="F288" s="12">
        <v>202</v>
      </c>
      <c r="G288" s="12">
        <v>36</v>
      </c>
      <c r="H288" s="12">
        <v>166</v>
      </c>
      <c r="I288" s="12">
        <v>64</v>
      </c>
      <c r="J288" s="12">
        <v>57645</v>
      </c>
      <c r="K288" s="12">
        <v>77354.64</v>
      </c>
      <c r="L288" s="12">
        <v>9569070</v>
      </c>
      <c r="M288" s="12">
        <v>2</v>
      </c>
      <c r="N288" s="12">
        <v>2</v>
      </c>
      <c r="O288" s="12">
        <v>3.7</v>
      </c>
      <c r="P288" s="14">
        <v>46174</v>
      </c>
      <c r="Q288" s="12" t="s">
        <v>1775</v>
      </c>
    </row>
    <row r="289" spans="1:17" x14ac:dyDescent="0.3">
      <c r="A289" s="12" t="s">
        <v>447</v>
      </c>
      <c r="B289" s="12" t="s">
        <v>448</v>
      </c>
      <c r="C289" s="12" t="s">
        <v>71</v>
      </c>
      <c r="D289" s="12" t="s">
        <v>1773</v>
      </c>
      <c r="E289" s="12" t="s">
        <v>1774</v>
      </c>
      <c r="F289" s="12">
        <v>349</v>
      </c>
      <c r="G289" s="12">
        <v>157</v>
      </c>
      <c r="H289" s="12">
        <v>192</v>
      </c>
      <c r="I289" s="12">
        <v>31</v>
      </c>
      <c r="J289" s="12">
        <v>50225</v>
      </c>
      <c r="K289" s="12">
        <v>66623.03</v>
      </c>
      <c r="L289" s="12">
        <v>9643200</v>
      </c>
      <c r="M289" s="12">
        <v>1</v>
      </c>
      <c r="N289" s="12">
        <v>15</v>
      </c>
      <c r="O289" s="12">
        <v>4.0999999999999996</v>
      </c>
      <c r="P289" s="14">
        <v>46188</v>
      </c>
      <c r="Q289" s="12" t="s">
        <v>1775</v>
      </c>
    </row>
    <row r="290" spans="1:17" x14ac:dyDescent="0.3">
      <c r="A290" s="12" t="s">
        <v>762</v>
      </c>
      <c r="B290" s="12" t="s">
        <v>763</v>
      </c>
      <c r="C290" s="12" t="s">
        <v>54</v>
      </c>
      <c r="D290" s="12" t="s">
        <v>1773</v>
      </c>
      <c r="E290" s="12" t="s">
        <v>1781</v>
      </c>
      <c r="F290" s="12">
        <v>422</v>
      </c>
      <c r="G290" s="12">
        <v>334</v>
      </c>
      <c r="H290" s="12">
        <v>88</v>
      </c>
      <c r="I290" s="12">
        <v>23</v>
      </c>
      <c r="J290" s="12">
        <v>56182</v>
      </c>
      <c r="K290" s="12">
        <v>66141.06</v>
      </c>
      <c r="L290" s="12">
        <v>4944016</v>
      </c>
      <c r="M290" s="12">
        <v>5</v>
      </c>
      <c r="N290" s="12">
        <v>8</v>
      </c>
      <c r="O290" s="12">
        <v>4.5999999999999996</v>
      </c>
      <c r="P290" s="14">
        <v>46033</v>
      </c>
      <c r="Q290" s="12" t="s">
        <v>1775</v>
      </c>
    </row>
    <row r="291" spans="1:17" x14ac:dyDescent="0.3">
      <c r="A291" s="12" t="s">
        <v>415</v>
      </c>
      <c r="B291" s="12" t="s">
        <v>416</v>
      </c>
      <c r="C291" s="12" t="s">
        <v>30</v>
      </c>
      <c r="D291" s="12" t="s">
        <v>1773</v>
      </c>
      <c r="E291" s="12" t="s">
        <v>1781</v>
      </c>
      <c r="F291" s="12">
        <v>241</v>
      </c>
      <c r="G291" s="12">
        <v>134</v>
      </c>
      <c r="H291" s="12">
        <v>107</v>
      </c>
      <c r="I291" s="12">
        <v>34</v>
      </c>
      <c r="J291" s="12">
        <v>33571</v>
      </c>
      <c r="K291" s="12">
        <v>44394</v>
      </c>
      <c r="L291" s="12">
        <v>3592097</v>
      </c>
      <c r="M291" s="12">
        <v>0</v>
      </c>
      <c r="N291" s="12">
        <v>9</v>
      </c>
      <c r="O291" s="12">
        <v>4.9000000000000004</v>
      </c>
      <c r="P291" s="14">
        <v>46095</v>
      </c>
      <c r="Q291" s="12" t="s">
        <v>1775</v>
      </c>
    </row>
    <row r="292" spans="1:17" x14ac:dyDescent="0.3">
      <c r="A292" s="12" t="s">
        <v>678</v>
      </c>
      <c r="B292" s="12" t="s">
        <v>679</v>
      </c>
      <c r="C292" s="12" t="s">
        <v>54</v>
      </c>
      <c r="D292" s="12" t="s">
        <v>1776</v>
      </c>
      <c r="E292" s="12" t="s">
        <v>1774</v>
      </c>
      <c r="F292" s="12">
        <v>215</v>
      </c>
      <c r="G292" s="12">
        <v>149</v>
      </c>
      <c r="H292" s="12">
        <v>66</v>
      </c>
      <c r="I292" s="12">
        <v>27</v>
      </c>
      <c r="J292" s="12">
        <v>21825</v>
      </c>
      <c r="K292" s="12">
        <v>25007.73</v>
      </c>
      <c r="L292" s="12">
        <v>1440450</v>
      </c>
      <c r="M292" s="12">
        <v>4</v>
      </c>
      <c r="N292" s="12">
        <v>5</v>
      </c>
      <c r="O292" s="12">
        <v>5</v>
      </c>
      <c r="P292" s="14">
        <v>46090</v>
      </c>
      <c r="Q292" s="12" t="s">
        <v>1775</v>
      </c>
    </row>
    <row r="293" spans="1:17" x14ac:dyDescent="0.3">
      <c r="A293" s="12" t="s">
        <v>406</v>
      </c>
      <c r="B293" s="12" t="s">
        <v>407</v>
      </c>
      <c r="C293" s="12" t="s">
        <v>30</v>
      </c>
      <c r="D293" s="12" t="s">
        <v>1776</v>
      </c>
      <c r="E293" s="12" t="s">
        <v>1777</v>
      </c>
      <c r="F293" s="12">
        <v>287</v>
      </c>
      <c r="G293" s="12">
        <v>106</v>
      </c>
      <c r="H293" s="12">
        <v>181</v>
      </c>
      <c r="I293" s="12">
        <v>60</v>
      </c>
      <c r="J293" s="12">
        <v>33481</v>
      </c>
      <c r="K293" s="12">
        <v>38809.360000000001</v>
      </c>
      <c r="L293" s="12">
        <v>6060061</v>
      </c>
      <c r="M293" s="12">
        <v>5</v>
      </c>
      <c r="N293" s="12">
        <v>5</v>
      </c>
      <c r="O293" s="12">
        <v>4.5999999999999996</v>
      </c>
      <c r="P293" s="14">
        <v>46192</v>
      </c>
      <c r="Q293" s="12" t="s">
        <v>1775</v>
      </c>
    </row>
    <row r="294" spans="1:17" x14ac:dyDescent="0.3">
      <c r="A294" s="12" t="s">
        <v>396</v>
      </c>
      <c r="B294" s="12" t="s">
        <v>397</v>
      </c>
      <c r="C294" s="12" t="s">
        <v>54</v>
      </c>
      <c r="D294" s="12" t="s">
        <v>1776</v>
      </c>
      <c r="E294" s="12" t="s">
        <v>1777</v>
      </c>
      <c r="F294" s="12">
        <v>147</v>
      </c>
      <c r="G294" s="12">
        <v>82</v>
      </c>
      <c r="H294" s="12">
        <v>65</v>
      </c>
      <c r="I294" s="12">
        <v>66</v>
      </c>
      <c r="J294" s="12">
        <v>36916</v>
      </c>
      <c r="K294" s="12">
        <v>46112.42</v>
      </c>
      <c r="L294" s="12">
        <v>2399540</v>
      </c>
      <c r="M294" s="12">
        <v>2</v>
      </c>
      <c r="N294" s="12">
        <v>11</v>
      </c>
      <c r="O294" s="12">
        <v>4.4000000000000004</v>
      </c>
      <c r="P294" s="14">
        <v>46068</v>
      </c>
      <c r="Q294" s="12" t="s">
        <v>1782</v>
      </c>
    </row>
    <row r="295" spans="1:17" x14ac:dyDescent="0.3">
      <c r="A295" s="12" t="s">
        <v>100</v>
      </c>
      <c r="B295" s="12" t="s">
        <v>101</v>
      </c>
      <c r="C295" s="12" t="s">
        <v>102</v>
      </c>
      <c r="D295" s="12" t="s">
        <v>1773</v>
      </c>
      <c r="E295" s="12" t="s">
        <v>1774</v>
      </c>
      <c r="F295" s="12">
        <v>500</v>
      </c>
      <c r="G295" s="12">
        <v>448</v>
      </c>
      <c r="H295" s="12">
        <v>52</v>
      </c>
      <c r="I295" s="12">
        <v>76</v>
      </c>
      <c r="J295" s="12">
        <v>37914</v>
      </c>
      <c r="K295" s="12">
        <v>48128.27</v>
      </c>
      <c r="L295" s="12">
        <v>1971528</v>
      </c>
      <c r="M295" s="12">
        <v>5</v>
      </c>
      <c r="N295" s="12">
        <v>12</v>
      </c>
      <c r="O295" s="12">
        <v>5</v>
      </c>
      <c r="P295" s="14">
        <v>46107</v>
      </c>
      <c r="Q295" s="12" t="s">
        <v>1782</v>
      </c>
    </row>
    <row r="296" spans="1:17" x14ac:dyDescent="0.3">
      <c r="A296" s="12" t="s">
        <v>440</v>
      </c>
      <c r="B296" s="12" t="s">
        <v>441</v>
      </c>
      <c r="C296" s="12" t="s">
        <v>30</v>
      </c>
      <c r="D296" s="12" t="s">
        <v>1773</v>
      </c>
      <c r="E296" s="12" t="s">
        <v>1781</v>
      </c>
      <c r="F296" s="12">
        <v>224</v>
      </c>
      <c r="G296" s="12">
        <v>96</v>
      </c>
      <c r="H296" s="12">
        <v>128</v>
      </c>
      <c r="I296" s="12">
        <v>64</v>
      </c>
      <c r="J296" s="12">
        <v>8591</v>
      </c>
      <c r="K296" s="12">
        <v>9468.32</v>
      </c>
      <c r="L296" s="12">
        <v>1099648</v>
      </c>
      <c r="M296" s="12">
        <v>1</v>
      </c>
      <c r="N296" s="12">
        <v>7</v>
      </c>
      <c r="O296" s="12">
        <v>4.5</v>
      </c>
      <c r="P296" s="14">
        <v>46042</v>
      </c>
      <c r="Q296" s="12" t="s">
        <v>1775</v>
      </c>
    </row>
    <row r="297" spans="1:17" x14ac:dyDescent="0.3">
      <c r="A297" s="12" t="s">
        <v>406</v>
      </c>
      <c r="B297" s="12" t="s">
        <v>407</v>
      </c>
      <c r="C297" s="12" t="s">
        <v>30</v>
      </c>
      <c r="D297" s="12" t="s">
        <v>1776</v>
      </c>
      <c r="E297" s="12" t="s">
        <v>1781</v>
      </c>
      <c r="F297" s="12">
        <v>78</v>
      </c>
      <c r="G297" s="12">
        <v>66</v>
      </c>
      <c r="H297" s="12">
        <v>12</v>
      </c>
      <c r="I297" s="12">
        <v>77</v>
      </c>
      <c r="J297" s="12">
        <v>28816</v>
      </c>
      <c r="K297" s="12">
        <v>35248.449999999997</v>
      </c>
      <c r="L297" s="12">
        <v>345792</v>
      </c>
      <c r="M297" s="12">
        <v>3</v>
      </c>
      <c r="N297" s="12">
        <v>12</v>
      </c>
      <c r="O297" s="12">
        <v>3.7</v>
      </c>
      <c r="P297" s="14">
        <v>46170</v>
      </c>
      <c r="Q297" s="12" t="s">
        <v>1782</v>
      </c>
    </row>
    <row r="298" spans="1:17" x14ac:dyDescent="0.3">
      <c r="A298" s="12" t="s">
        <v>553</v>
      </c>
      <c r="B298" s="12" t="s">
        <v>554</v>
      </c>
      <c r="C298" s="12" t="s">
        <v>54</v>
      </c>
      <c r="D298" s="12" t="s">
        <v>1778</v>
      </c>
      <c r="E298" s="12" t="s">
        <v>1781</v>
      </c>
      <c r="F298" s="12">
        <v>170</v>
      </c>
      <c r="G298" s="12">
        <v>104</v>
      </c>
      <c r="H298" s="12">
        <v>66</v>
      </c>
      <c r="I298" s="12">
        <v>30</v>
      </c>
      <c r="J298" s="12">
        <v>15541</v>
      </c>
      <c r="K298" s="12">
        <v>17796.95</v>
      </c>
      <c r="L298" s="12">
        <v>1025706</v>
      </c>
      <c r="M298" s="12">
        <v>4</v>
      </c>
      <c r="N298" s="12">
        <v>8</v>
      </c>
      <c r="O298" s="12">
        <v>3.6</v>
      </c>
      <c r="P298" s="14">
        <v>46067</v>
      </c>
      <c r="Q298" s="12" t="s">
        <v>1775</v>
      </c>
    </row>
    <row r="299" spans="1:17" x14ac:dyDescent="0.3">
      <c r="A299" s="12" t="s">
        <v>338</v>
      </c>
      <c r="B299" s="12" t="s">
        <v>339</v>
      </c>
      <c r="C299" s="12" t="s">
        <v>54</v>
      </c>
      <c r="D299" s="12" t="s">
        <v>1778</v>
      </c>
      <c r="E299" s="12" t="s">
        <v>1781</v>
      </c>
      <c r="F299" s="12">
        <v>165</v>
      </c>
      <c r="G299" s="12">
        <v>75</v>
      </c>
      <c r="H299" s="12">
        <v>90</v>
      </c>
      <c r="I299" s="12">
        <v>35</v>
      </c>
      <c r="J299" s="12">
        <v>32607</v>
      </c>
      <c r="K299" s="12">
        <v>44529.65</v>
      </c>
      <c r="L299" s="12">
        <v>2934630</v>
      </c>
      <c r="M299" s="12">
        <v>4</v>
      </c>
      <c r="N299" s="12">
        <v>9</v>
      </c>
      <c r="O299" s="12">
        <v>3.6</v>
      </c>
      <c r="P299" s="14">
        <v>46160</v>
      </c>
      <c r="Q299" s="12" t="s">
        <v>1775</v>
      </c>
    </row>
    <row r="300" spans="1:17" x14ac:dyDescent="0.3">
      <c r="A300" s="12" t="s">
        <v>406</v>
      </c>
      <c r="B300" s="12" t="s">
        <v>407</v>
      </c>
      <c r="C300" s="12" t="s">
        <v>30</v>
      </c>
      <c r="D300" s="12" t="s">
        <v>1780</v>
      </c>
      <c r="E300" s="12" t="s">
        <v>1777</v>
      </c>
      <c r="F300" s="12">
        <v>454</v>
      </c>
      <c r="G300" s="12">
        <v>174</v>
      </c>
      <c r="H300" s="12">
        <v>280</v>
      </c>
      <c r="I300" s="12">
        <v>30</v>
      </c>
      <c r="J300" s="12">
        <v>53980</v>
      </c>
      <c r="K300" s="12">
        <v>64415.28</v>
      </c>
      <c r="L300" s="12">
        <v>15114400</v>
      </c>
      <c r="M300" s="12">
        <v>5</v>
      </c>
      <c r="N300" s="12">
        <v>15</v>
      </c>
      <c r="O300" s="12">
        <v>4.9000000000000004</v>
      </c>
      <c r="P300" s="14">
        <v>46182</v>
      </c>
      <c r="Q300" s="12" t="s">
        <v>1775</v>
      </c>
    </row>
    <row r="301" spans="1:17" x14ac:dyDescent="0.3">
      <c r="A301" s="12" t="s">
        <v>457</v>
      </c>
      <c r="B301" s="12" t="s">
        <v>458</v>
      </c>
      <c r="C301" s="12" t="s">
        <v>71</v>
      </c>
      <c r="D301" s="12" t="s">
        <v>1773</v>
      </c>
      <c r="E301" s="12" t="s">
        <v>1777</v>
      </c>
      <c r="F301" s="12">
        <v>102</v>
      </c>
      <c r="G301" s="12">
        <v>63</v>
      </c>
      <c r="H301" s="12">
        <v>39</v>
      </c>
      <c r="I301" s="12">
        <v>45</v>
      </c>
      <c r="J301" s="12">
        <v>34522</v>
      </c>
      <c r="K301" s="12">
        <v>41880.79</v>
      </c>
      <c r="L301" s="12">
        <v>1346358</v>
      </c>
      <c r="M301" s="12">
        <v>0</v>
      </c>
      <c r="N301" s="12">
        <v>2</v>
      </c>
      <c r="O301" s="12">
        <v>4.9000000000000004</v>
      </c>
      <c r="P301" s="14">
        <v>46177</v>
      </c>
      <c r="Q301" s="12" t="s">
        <v>1782</v>
      </c>
    </row>
    <row r="302" spans="1:17" x14ac:dyDescent="0.3">
      <c r="A302" s="12" t="s">
        <v>295</v>
      </c>
      <c r="B302" s="12" t="s">
        <v>296</v>
      </c>
      <c r="C302" s="12" t="s">
        <v>30</v>
      </c>
      <c r="D302" s="12" t="s">
        <v>1776</v>
      </c>
      <c r="E302" s="12" t="s">
        <v>1779</v>
      </c>
      <c r="F302" s="12">
        <v>351</v>
      </c>
      <c r="G302" s="12">
        <v>78</v>
      </c>
      <c r="H302" s="12">
        <v>273</v>
      </c>
      <c r="I302" s="12">
        <v>26</v>
      </c>
      <c r="J302" s="12">
        <v>54516</v>
      </c>
      <c r="K302" s="12">
        <v>60015.08</v>
      </c>
      <c r="L302" s="12">
        <v>14882868</v>
      </c>
      <c r="M302" s="12">
        <v>4</v>
      </c>
      <c r="N302" s="12">
        <v>7</v>
      </c>
      <c r="O302" s="12">
        <v>4.8</v>
      </c>
      <c r="P302" s="14">
        <v>46197</v>
      </c>
      <c r="Q302" s="12" t="s">
        <v>1775</v>
      </c>
    </row>
    <row r="303" spans="1:17" x14ac:dyDescent="0.3">
      <c r="A303" s="12" t="s">
        <v>52</v>
      </c>
      <c r="B303" s="12" t="s">
        <v>53</v>
      </c>
      <c r="C303" s="12" t="s">
        <v>54</v>
      </c>
      <c r="D303" s="12" t="s">
        <v>1773</v>
      </c>
      <c r="E303" s="12" t="s">
        <v>1777</v>
      </c>
      <c r="F303" s="12">
        <v>251</v>
      </c>
      <c r="G303" s="12">
        <v>128</v>
      </c>
      <c r="H303" s="12">
        <v>123</v>
      </c>
      <c r="I303" s="12">
        <v>61</v>
      </c>
      <c r="J303" s="12">
        <v>22194</v>
      </c>
      <c r="K303" s="12">
        <v>27508.63</v>
      </c>
      <c r="L303" s="12">
        <v>2729862</v>
      </c>
      <c r="M303" s="12">
        <v>0</v>
      </c>
      <c r="N303" s="12">
        <v>14</v>
      </c>
      <c r="O303" s="12">
        <v>3.7</v>
      </c>
      <c r="P303" s="14">
        <v>46060</v>
      </c>
      <c r="Q303" s="12" t="s">
        <v>1775</v>
      </c>
    </row>
    <row r="304" spans="1:17" x14ac:dyDescent="0.3">
      <c r="A304" s="12" t="s">
        <v>164</v>
      </c>
      <c r="B304" s="12" t="s">
        <v>165</v>
      </c>
      <c r="C304" s="12" t="s">
        <v>102</v>
      </c>
      <c r="D304" s="12" t="s">
        <v>1773</v>
      </c>
      <c r="E304" s="12" t="s">
        <v>1781</v>
      </c>
      <c r="F304" s="12">
        <v>347</v>
      </c>
      <c r="G304" s="12">
        <v>79</v>
      </c>
      <c r="H304" s="12">
        <v>268</v>
      </c>
      <c r="I304" s="12">
        <v>60</v>
      </c>
      <c r="J304" s="12">
        <v>1672</v>
      </c>
      <c r="K304" s="12">
        <v>2072.7399999999998</v>
      </c>
      <c r="L304" s="12">
        <v>448096</v>
      </c>
      <c r="M304" s="12">
        <v>4</v>
      </c>
      <c r="N304" s="12">
        <v>13</v>
      </c>
      <c r="O304" s="12">
        <v>4.9000000000000004</v>
      </c>
      <c r="P304" s="14">
        <v>46198</v>
      </c>
      <c r="Q304" s="12" t="s">
        <v>1775</v>
      </c>
    </row>
    <row r="305" spans="1:17" x14ac:dyDescent="0.3">
      <c r="A305" s="12" t="s">
        <v>342</v>
      </c>
      <c r="B305" s="12" t="s">
        <v>343</v>
      </c>
      <c r="C305" s="12" t="s">
        <v>54</v>
      </c>
      <c r="D305" s="12" t="s">
        <v>1780</v>
      </c>
      <c r="E305" s="12" t="s">
        <v>1781</v>
      </c>
      <c r="F305" s="12">
        <v>476</v>
      </c>
      <c r="G305" s="12">
        <v>297</v>
      </c>
      <c r="H305" s="12">
        <v>179</v>
      </c>
      <c r="I305" s="12">
        <v>48</v>
      </c>
      <c r="J305" s="12">
        <v>13838</v>
      </c>
      <c r="K305" s="12">
        <v>17771.310000000001</v>
      </c>
      <c r="L305" s="12">
        <v>2477002</v>
      </c>
      <c r="M305" s="12">
        <v>0</v>
      </c>
      <c r="N305" s="12">
        <v>5</v>
      </c>
      <c r="O305" s="12">
        <v>3.7</v>
      </c>
      <c r="P305" s="14">
        <v>46043</v>
      </c>
      <c r="Q305" s="12" t="s">
        <v>1775</v>
      </c>
    </row>
    <row r="306" spans="1:17" x14ac:dyDescent="0.3">
      <c r="A306" s="12" t="s">
        <v>295</v>
      </c>
      <c r="B306" s="12" t="s">
        <v>296</v>
      </c>
      <c r="C306" s="12" t="s">
        <v>30</v>
      </c>
      <c r="D306" s="12" t="s">
        <v>1773</v>
      </c>
      <c r="E306" s="12" t="s">
        <v>1774</v>
      </c>
      <c r="F306" s="12">
        <v>215</v>
      </c>
      <c r="G306" s="12">
        <v>63</v>
      </c>
      <c r="H306" s="12">
        <v>152</v>
      </c>
      <c r="I306" s="12">
        <v>69</v>
      </c>
      <c r="J306" s="12">
        <v>46305</v>
      </c>
      <c r="K306" s="12">
        <v>57455.11</v>
      </c>
      <c r="L306" s="12">
        <v>7038360</v>
      </c>
      <c r="M306" s="12">
        <v>1</v>
      </c>
      <c r="N306" s="12">
        <v>12</v>
      </c>
      <c r="O306" s="12">
        <v>4.2</v>
      </c>
      <c r="P306" s="14">
        <v>46201</v>
      </c>
      <c r="Q306" s="12" t="s">
        <v>1775</v>
      </c>
    </row>
    <row r="307" spans="1:17" x14ac:dyDescent="0.3">
      <c r="A307" s="12" t="s">
        <v>189</v>
      </c>
      <c r="B307" s="12" t="s">
        <v>190</v>
      </c>
      <c r="C307" s="12" t="s">
        <v>102</v>
      </c>
      <c r="D307" s="12" t="s">
        <v>1778</v>
      </c>
      <c r="E307" s="12" t="s">
        <v>1774</v>
      </c>
      <c r="F307" s="12">
        <v>82</v>
      </c>
      <c r="G307" s="12">
        <v>19</v>
      </c>
      <c r="H307" s="12">
        <v>63</v>
      </c>
      <c r="I307" s="12">
        <v>56</v>
      </c>
      <c r="J307" s="12">
        <v>55631</v>
      </c>
      <c r="K307" s="12">
        <v>67943.740000000005</v>
      </c>
      <c r="L307" s="12">
        <v>3504753</v>
      </c>
      <c r="M307" s="12">
        <v>1</v>
      </c>
      <c r="N307" s="12">
        <v>14</v>
      </c>
      <c r="O307" s="12">
        <v>3.7</v>
      </c>
      <c r="P307" s="14">
        <v>46141</v>
      </c>
      <c r="Q307" s="12" t="s">
        <v>1775</v>
      </c>
    </row>
    <row r="308" spans="1:17" x14ac:dyDescent="0.3">
      <c r="A308" s="12" t="s">
        <v>238</v>
      </c>
      <c r="B308" s="12" t="s">
        <v>239</v>
      </c>
      <c r="C308" s="12" t="s">
        <v>71</v>
      </c>
      <c r="D308" s="12" t="s">
        <v>1778</v>
      </c>
      <c r="E308" s="12" t="s">
        <v>1779</v>
      </c>
      <c r="F308" s="12">
        <v>432</v>
      </c>
      <c r="G308" s="12">
        <v>0</v>
      </c>
      <c r="H308" s="12">
        <v>432</v>
      </c>
      <c r="I308" s="12">
        <v>51</v>
      </c>
      <c r="J308" s="12">
        <v>38268</v>
      </c>
      <c r="K308" s="12">
        <v>44911.15</v>
      </c>
      <c r="L308" s="12">
        <v>16531776</v>
      </c>
      <c r="M308" s="12">
        <v>1</v>
      </c>
      <c r="N308" s="12">
        <v>4</v>
      </c>
      <c r="O308" s="12">
        <v>4.9000000000000004</v>
      </c>
      <c r="P308" s="14">
        <v>46199</v>
      </c>
      <c r="Q308" s="12" t="s">
        <v>1775</v>
      </c>
    </row>
    <row r="309" spans="1:17" x14ac:dyDescent="0.3">
      <c r="A309" s="12" t="s">
        <v>391</v>
      </c>
      <c r="B309" s="12" t="s">
        <v>392</v>
      </c>
      <c r="C309" s="12" t="s">
        <v>54</v>
      </c>
      <c r="D309" s="12" t="s">
        <v>1778</v>
      </c>
      <c r="E309" s="12" t="s">
        <v>1777</v>
      </c>
      <c r="F309" s="12">
        <v>255</v>
      </c>
      <c r="G309" s="12">
        <v>42</v>
      </c>
      <c r="H309" s="12">
        <v>213</v>
      </c>
      <c r="I309" s="12">
        <v>38</v>
      </c>
      <c r="J309" s="12">
        <v>13876</v>
      </c>
      <c r="K309" s="12">
        <v>18048.66</v>
      </c>
      <c r="L309" s="12">
        <v>2955588</v>
      </c>
      <c r="M309" s="12">
        <v>2</v>
      </c>
      <c r="N309" s="12">
        <v>13</v>
      </c>
      <c r="O309" s="12">
        <v>3.9</v>
      </c>
      <c r="P309" s="14">
        <v>46126</v>
      </c>
      <c r="Q309" s="12" t="s">
        <v>1775</v>
      </c>
    </row>
    <row r="310" spans="1:17" x14ac:dyDescent="0.3">
      <c r="A310" s="12" t="s">
        <v>127</v>
      </c>
      <c r="B310" s="12" t="s">
        <v>128</v>
      </c>
      <c r="C310" s="12" t="s">
        <v>102</v>
      </c>
      <c r="D310" s="12" t="s">
        <v>1776</v>
      </c>
      <c r="E310" s="12" t="s">
        <v>1774</v>
      </c>
      <c r="F310" s="12">
        <v>73</v>
      </c>
      <c r="G310" s="12">
        <v>32</v>
      </c>
      <c r="H310" s="12">
        <v>41</v>
      </c>
      <c r="I310" s="12">
        <v>54</v>
      </c>
      <c r="J310" s="12">
        <v>19188</v>
      </c>
      <c r="K310" s="12">
        <v>22639.22</v>
      </c>
      <c r="L310" s="12">
        <v>786708</v>
      </c>
      <c r="M310" s="12">
        <v>2</v>
      </c>
      <c r="N310" s="12">
        <v>10</v>
      </c>
      <c r="O310" s="12">
        <v>4.8</v>
      </c>
      <c r="P310" s="14">
        <v>46075</v>
      </c>
      <c r="Q310" s="12" t="s">
        <v>1782</v>
      </c>
    </row>
    <row r="311" spans="1:17" x14ac:dyDescent="0.3">
      <c r="A311" s="12" t="s">
        <v>384</v>
      </c>
      <c r="B311" s="12" t="s">
        <v>385</v>
      </c>
      <c r="C311" s="12" t="s">
        <v>102</v>
      </c>
      <c r="D311" s="12" t="s">
        <v>1776</v>
      </c>
      <c r="E311" s="12" t="s">
        <v>1774</v>
      </c>
      <c r="F311" s="12">
        <v>123</v>
      </c>
      <c r="G311" s="12">
        <v>97</v>
      </c>
      <c r="H311" s="12">
        <v>26</v>
      </c>
      <c r="I311" s="12">
        <v>68</v>
      </c>
      <c r="J311" s="12">
        <v>17145</v>
      </c>
      <c r="K311" s="12">
        <v>21557.119999999999</v>
      </c>
      <c r="L311" s="12">
        <v>445770</v>
      </c>
      <c r="M311" s="12">
        <v>2</v>
      </c>
      <c r="N311" s="12">
        <v>4</v>
      </c>
      <c r="O311" s="12">
        <v>4.8</v>
      </c>
      <c r="P311" s="14">
        <v>46119</v>
      </c>
      <c r="Q311" s="12" t="s">
        <v>1782</v>
      </c>
    </row>
    <row r="312" spans="1:17" x14ac:dyDescent="0.3">
      <c r="A312" s="12" t="s">
        <v>52</v>
      </c>
      <c r="B312" s="12" t="s">
        <v>53</v>
      </c>
      <c r="C312" s="12" t="s">
        <v>54</v>
      </c>
      <c r="D312" s="12" t="s">
        <v>1773</v>
      </c>
      <c r="E312" s="12" t="s">
        <v>1779</v>
      </c>
      <c r="F312" s="12">
        <v>265</v>
      </c>
      <c r="G312" s="12">
        <v>265</v>
      </c>
      <c r="H312" s="12">
        <v>0</v>
      </c>
      <c r="I312" s="12">
        <v>66</v>
      </c>
      <c r="J312" s="12">
        <v>22656</v>
      </c>
      <c r="K312" s="12">
        <v>26764.07</v>
      </c>
      <c r="L312" s="12">
        <v>0</v>
      </c>
      <c r="M312" s="12">
        <v>1</v>
      </c>
      <c r="N312" s="12">
        <v>9</v>
      </c>
      <c r="O312" s="12">
        <v>4.4000000000000004</v>
      </c>
      <c r="P312" s="14">
        <v>46106</v>
      </c>
      <c r="Q312" s="12" t="s">
        <v>1783</v>
      </c>
    </row>
    <row r="313" spans="1:17" x14ac:dyDescent="0.3">
      <c r="A313" s="12" t="s">
        <v>210</v>
      </c>
      <c r="B313" s="12" t="s">
        <v>211</v>
      </c>
      <c r="C313" s="12" t="s">
        <v>102</v>
      </c>
      <c r="D313" s="12" t="s">
        <v>1776</v>
      </c>
      <c r="E313" s="12" t="s">
        <v>1779</v>
      </c>
      <c r="F313" s="12">
        <v>411</v>
      </c>
      <c r="G313" s="12">
        <v>383</v>
      </c>
      <c r="H313" s="12">
        <v>28</v>
      </c>
      <c r="I313" s="12">
        <v>38</v>
      </c>
      <c r="J313" s="12">
        <v>25373</v>
      </c>
      <c r="K313" s="12">
        <v>28900.41</v>
      </c>
      <c r="L313" s="12">
        <v>710444</v>
      </c>
      <c r="M313" s="12">
        <v>3</v>
      </c>
      <c r="N313" s="12">
        <v>13</v>
      </c>
      <c r="O313" s="12">
        <v>3.8</v>
      </c>
      <c r="P313" s="14">
        <v>46193</v>
      </c>
      <c r="Q313" s="12" t="s">
        <v>1782</v>
      </c>
    </row>
    <row r="314" spans="1:17" x14ac:dyDescent="0.3">
      <c r="A314" s="12" t="s">
        <v>106</v>
      </c>
      <c r="B314" s="12" t="s">
        <v>107</v>
      </c>
      <c r="C314" s="12" t="s">
        <v>30</v>
      </c>
      <c r="D314" s="12" t="s">
        <v>1773</v>
      </c>
      <c r="E314" s="12" t="s">
        <v>1779</v>
      </c>
      <c r="F314" s="12">
        <v>57</v>
      </c>
      <c r="G314" s="12">
        <v>44</v>
      </c>
      <c r="H314" s="12">
        <v>13</v>
      </c>
      <c r="I314" s="12">
        <v>77</v>
      </c>
      <c r="J314" s="12">
        <v>31199</v>
      </c>
      <c r="K314" s="12">
        <v>41580.050000000003</v>
      </c>
      <c r="L314" s="12">
        <v>405587</v>
      </c>
      <c r="M314" s="12">
        <v>2</v>
      </c>
      <c r="N314" s="12">
        <v>7</v>
      </c>
      <c r="O314" s="12">
        <v>4.0999999999999996</v>
      </c>
      <c r="P314" s="14">
        <v>46024</v>
      </c>
      <c r="Q314" s="12" t="s">
        <v>1782</v>
      </c>
    </row>
    <row r="315" spans="1:17" x14ac:dyDescent="0.3">
      <c r="A315" s="12" t="s">
        <v>231</v>
      </c>
      <c r="B315" s="12" t="s">
        <v>232</v>
      </c>
      <c r="C315" s="12" t="s">
        <v>54</v>
      </c>
      <c r="D315" s="12" t="s">
        <v>1780</v>
      </c>
      <c r="E315" s="12" t="s">
        <v>1779</v>
      </c>
      <c r="F315" s="12">
        <v>54</v>
      </c>
      <c r="G315" s="12">
        <v>8</v>
      </c>
      <c r="H315" s="12">
        <v>46</v>
      </c>
      <c r="I315" s="12">
        <v>58</v>
      </c>
      <c r="J315" s="12">
        <v>49667</v>
      </c>
      <c r="K315" s="12">
        <v>67090.77</v>
      </c>
      <c r="L315" s="12">
        <v>2284682</v>
      </c>
      <c r="M315" s="12">
        <v>4</v>
      </c>
      <c r="N315" s="12">
        <v>6</v>
      </c>
      <c r="O315" s="12">
        <v>4.9000000000000004</v>
      </c>
      <c r="P315" s="14">
        <v>46175</v>
      </c>
      <c r="Q315" s="12" t="s">
        <v>1782</v>
      </c>
    </row>
    <row r="316" spans="1:17" x14ac:dyDescent="0.3">
      <c r="A316" s="12" t="s">
        <v>156</v>
      </c>
      <c r="B316" s="12" t="s">
        <v>157</v>
      </c>
      <c r="C316" s="12" t="s">
        <v>30</v>
      </c>
      <c r="D316" s="12" t="s">
        <v>1773</v>
      </c>
      <c r="E316" s="12" t="s">
        <v>1774</v>
      </c>
      <c r="F316" s="12">
        <v>420</v>
      </c>
      <c r="G316" s="12">
        <v>414</v>
      </c>
      <c r="H316" s="12">
        <v>6</v>
      </c>
      <c r="I316" s="12">
        <v>23</v>
      </c>
      <c r="J316" s="12">
        <v>19653</v>
      </c>
      <c r="K316" s="12">
        <v>23531.53</v>
      </c>
      <c r="L316" s="12">
        <v>117918</v>
      </c>
      <c r="M316" s="12">
        <v>5</v>
      </c>
      <c r="N316" s="12">
        <v>9</v>
      </c>
      <c r="O316" s="12">
        <v>4.7</v>
      </c>
      <c r="P316" s="14">
        <v>46128</v>
      </c>
      <c r="Q316" s="12" t="s">
        <v>1782</v>
      </c>
    </row>
    <row r="317" spans="1:17" x14ac:dyDescent="0.3">
      <c r="A317" s="12" t="s">
        <v>546</v>
      </c>
      <c r="B317" s="12" t="s">
        <v>547</v>
      </c>
      <c r="C317" s="12" t="s">
        <v>71</v>
      </c>
      <c r="D317" s="12" t="s">
        <v>1778</v>
      </c>
      <c r="E317" s="12" t="s">
        <v>1774</v>
      </c>
      <c r="F317" s="12">
        <v>238</v>
      </c>
      <c r="G317" s="12">
        <v>17</v>
      </c>
      <c r="H317" s="12">
        <v>221</v>
      </c>
      <c r="I317" s="12">
        <v>74</v>
      </c>
      <c r="J317" s="12">
        <v>26939</v>
      </c>
      <c r="K317" s="12">
        <v>37140.269999999997</v>
      </c>
      <c r="L317" s="12">
        <v>5953519</v>
      </c>
      <c r="M317" s="12">
        <v>0</v>
      </c>
      <c r="N317" s="12">
        <v>12</v>
      </c>
      <c r="O317" s="12">
        <v>4.3</v>
      </c>
      <c r="P317" s="14">
        <v>46164</v>
      </c>
      <c r="Q317" s="12" t="s">
        <v>1775</v>
      </c>
    </row>
    <row r="318" spans="1:17" x14ac:dyDescent="0.3">
      <c r="A318" s="12" t="s">
        <v>295</v>
      </c>
      <c r="B318" s="12" t="s">
        <v>296</v>
      </c>
      <c r="C318" s="12" t="s">
        <v>30</v>
      </c>
      <c r="D318" s="12" t="s">
        <v>1773</v>
      </c>
      <c r="E318" s="12" t="s">
        <v>1774</v>
      </c>
      <c r="F318" s="12">
        <v>126</v>
      </c>
      <c r="G318" s="12">
        <v>116</v>
      </c>
      <c r="H318" s="12">
        <v>10</v>
      </c>
      <c r="I318" s="12">
        <v>32</v>
      </c>
      <c r="J318" s="12">
        <v>21789</v>
      </c>
      <c r="K318" s="12">
        <v>28048.080000000002</v>
      </c>
      <c r="L318" s="12">
        <v>217890</v>
      </c>
      <c r="M318" s="12">
        <v>5</v>
      </c>
      <c r="N318" s="12">
        <v>3</v>
      </c>
      <c r="O318" s="12">
        <v>3.6</v>
      </c>
      <c r="P318" s="14">
        <v>46056</v>
      </c>
      <c r="Q318" s="12" t="s">
        <v>1782</v>
      </c>
    </row>
    <row r="319" spans="1:17" x14ac:dyDescent="0.3">
      <c r="A319" s="12" t="s">
        <v>79</v>
      </c>
      <c r="B319" s="12" t="s">
        <v>80</v>
      </c>
      <c r="C319" s="12" t="s">
        <v>71</v>
      </c>
      <c r="D319" s="12" t="s">
        <v>1776</v>
      </c>
      <c r="E319" s="12" t="s">
        <v>1779</v>
      </c>
      <c r="F319" s="12">
        <v>356</v>
      </c>
      <c r="G319" s="12">
        <v>272</v>
      </c>
      <c r="H319" s="12">
        <v>84</v>
      </c>
      <c r="I319" s="12">
        <v>38</v>
      </c>
      <c r="J319" s="12">
        <v>3712</v>
      </c>
      <c r="K319" s="12">
        <v>4176.8900000000003</v>
      </c>
      <c r="L319" s="12">
        <v>311808</v>
      </c>
      <c r="M319" s="12">
        <v>3</v>
      </c>
      <c r="N319" s="12">
        <v>5</v>
      </c>
      <c r="O319" s="12">
        <v>4.0999999999999996</v>
      </c>
      <c r="P319" s="14">
        <v>46056</v>
      </c>
      <c r="Q319" s="12" t="s">
        <v>1775</v>
      </c>
    </row>
    <row r="320" spans="1:17" x14ac:dyDescent="0.3">
      <c r="A320" s="12" t="s">
        <v>141</v>
      </c>
      <c r="B320" s="12" t="s">
        <v>142</v>
      </c>
      <c r="C320" s="12" t="s">
        <v>71</v>
      </c>
      <c r="D320" s="12" t="s">
        <v>1773</v>
      </c>
      <c r="E320" s="12" t="s">
        <v>1777</v>
      </c>
      <c r="F320" s="12">
        <v>369</v>
      </c>
      <c r="G320" s="12">
        <v>43</v>
      </c>
      <c r="H320" s="12">
        <v>326</v>
      </c>
      <c r="I320" s="12">
        <v>56</v>
      </c>
      <c r="J320" s="12">
        <v>59124</v>
      </c>
      <c r="K320" s="12">
        <v>74296.22</v>
      </c>
      <c r="L320" s="12">
        <v>19274424</v>
      </c>
      <c r="M320" s="12">
        <v>2</v>
      </c>
      <c r="N320" s="12">
        <v>12</v>
      </c>
      <c r="O320" s="12">
        <v>4.3</v>
      </c>
      <c r="P320" s="14">
        <v>46108</v>
      </c>
      <c r="Q320" s="12" t="s">
        <v>1775</v>
      </c>
    </row>
    <row r="321" spans="1:17" x14ac:dyDescent="0.3">
      <c r="A321" s="12" t="s">
        <v>384</v>
      </c>
      <c r="B321" s="12" t="s">
        <v>385</v>
      </c>
      <c r="C321" s="12" t="s">
        <v>102</v>
      </c>
      <c r="D321" s="12" t="s">
        <v>1780</v>
      </c>
      <c r="E321" s="12" t="s">
        <v>1781</v>
      </c>
      <c r="F321" s="12">
        <v>181</v>
      </c>
      <c r="G321" s="12">
        <v>137</v>
      </c>
      <c r="H321" s="12">
        <v>44</v>
      </c>
      <c r="I321" s="12">
        <v>57</v>
      </c>
      <c r="J321" s="12">
        <v>42582</v>
      </c>
      <c r="K321" s="12">
        <v>50200.89</v>
      </c>
      <c r="L321" s="12">
        <v>1873608</v>
      </c>
      <c r="M321" s="12">
        <v>3</v>
      </c>
      <c r="N321" s="12">
        <v>7</v>
      </c>
      <c r="O321" s="12">
        <v>4.0999999999999996</v>
      </c>
      <c r="P321" s="14">
        <v>46188</v>
      </c>
      <c r="Q321" s="12" t="s">
        <v>1782</v>
      </c>
    </row>
    <row r="322" spans="1:17" x14ac:dyDescent="0.3">
      <c r="A322" s="12" t="s">
        <v>238</v>
      </c>
      <c r="B322" s="12" t="s">
        <v>239</v>
      </c>
      <c r="C322" s="12" t="s">
        <v>71</v>
      </c>
      <c r="D322" s="12" t="s">
        <v>1776</v>
      </c>
      <c r="E322" s="12" t="s">
        <v>1777</v>
      </c>
      <c r="F322" s="12">
        <v>469</v>
      </c>
      <c r="G322" s="12">
        <v>377</v>
      </c>
      <c r="H322" s="12">
        <v>92</v>
      </c>
      <c r="I322" s="12">
        <v>70</v>
      </c>
      <c r="J322" s="12">
        <v>50534</v>
      </c>
      <c r="K322" s="12">
        <v>66149.179999999993</v>
      </c>
      <c r="L322" s="12">
        <v>4649128</v>
      </c>
      <c r="M322" s="12">
        <v>1</v>
      </c>
      <c r="N322" s="12">
        <v>6</v>
      </c>
      <c r="O322" s="12">
        <v>3.6</v>
      </c>
      <c r="P322" s="14">
        <v>46053</v>
      </c>
      <c r="Q322" s="12" t="s">
        <v>1775</v>
      </c>
    </row>
    <row r="323" spans="1:17" x14ac:dyDescent="0.3">
      <c r="A323" s="12" t="s">
        <v>735</v>
      </c>
      <c r="B323" s="12" t="s">
        <v>736</v>
      </c>
      <c r="C323" s="12" t="s">
        <v>54</v>
      </c>
      <c r="D323" s="12" t="s">
        <v>1773</v>
      </c>
      <c r="E323" s="12" t="s">
        <v>1774</v>
      </c>
      <c r="F323" s="12">
        <v>91</v>
      </c>
      <c r="G323" s="12">
        <v>74</v>
      </c>
      <c r="H323" s="12">
        <v>17</v>
      </c>
      <c r="I323" s="12">
        <v>56</v>
      </c>
      <c r="J323" s="12">
        <v>31850</v>
      </c>
      <c r="K323" s="12">
        <v>38997.629999999997</v>
      </c>
      <c r="L323" s="12">
        <v>541450</v>
      </c>
      <c r="M323" s="12">
        <v>5</v>
      </c>
      <c r="N323" s="12">
        <v>7</v>
      </c>
      <c r="O323" s="12">
        <v>3.7</v>
      </c>
      <c r="P323" s="14">
        <v>46134</v>
      </c>
      <c r="Q323" s="12" t="s">
        <v>1782</v>
      </c>
    </row>
    <row r="324" spans="1:17" x14ac:dyDescent="0.3">
      <c r="A324" s="12" t="s">
        <v>106</v>
      </c>
      <c r="B324" s="12" t="s">
        <v>107</v>
      </c>
      <c r="C324" s="12" t="s">
        <v>30</v>
      </c>
      <c r="D324" s="12" t="s">
        <v>1773</v>
      </c>
      <c r="E324" s="12" t="s">
        <v>1779</v>
      </c>
      <c r="F324" s="12">
        <v>101</v>
      </c>
      <c r="G324" s="12">
        <v>97</v>
      </c>
      <c r="H324" s="12">
        <v>4</v>
      </c>
      <c r="I324" s="12">
        <v>52</v>
      </c>
      <c r="J324" s="12">
        <v>58651</v>
      </c>
      <c r="K324" s="12">
        <v>66063.570000000007</v>
      </c>
      <c r="L324" s="12">
        <v>234604</v>
      </c>
      <c r="M324" s="12">
        <v>5</v>
      </c>
      <c r="N324" s="12">
        <v>5</v>
      </c>
      <c r="O324" s="12">
        <v>4.5999999999999996</v>
      </c>
      <c r="P324" s="14">
        <v>46057</v>
      </c>
      <c r="Q324" s="12" t="s">
        <v>1782</v>
      </c>
    </row>
    <row r="325" spans="1:17" x14ac:dyDescent="0.3">
      <c r="A325" s="12" t="s">
        <v>342</v>
      </c>
      <c r="B325" s="12" t="s">
        <v>343</v>
      </c>
      <c r="C325" s="12" t="s">
        <v>54</v>
      </c>
      <c r="D325" s="12" t="s">
        <v>1780</v>
      </c>
      <c r="E325" s="12" t="s">
        <v>1777</v>
      </c>
      <c r="F325" s="12">
        <v>489</v>
      </c>
      <c r="G325" s="12">
        <v>461</v>
      </c>
      <c r="H325" s="12">
        <v>28</v>
      </c>
      <c r="I325" s="12">
        <v>61</v>
      </c>
      <c r="J325" s="12">
        <v>42014</v>
      </c>
      <c r="K325" s="12">
        <v>48053.49</v>
      </c>
      <c r="L325" s="12">
        <v>1176392</v>
      </c>
      <c r="M325" s="12">
        <v>1</v>
      </c>
      <c r="N325" s="12">
        <v>8</v>
      </c>
      <c r="O325" s="12">
        <v>4.4000000000000004</v>
      </c>
      <c r="P325" s="14">
        <v>46135</v>
      </c>
      <c r="Q325" s="12" t="s">
        <v>1782</v>
      </c>
    </row>
    <row r="326" spans="1:17" x14ac:dyDescent="0.3">
      <c r="A326" s="12" t="s">
        <v>224</v>
      </c>
      <c r="B326" s="12" t="s">
        <v>225</v>
      </c>
      <c r="C326" s="12" t="s">
        <v>102</v>
      </c>
      <c r="D326" s="12" t="s">
        <v>1780</v>
      </c>
      <c r="E326" s="12" t="s">
        <v>1774</v>
      </c>
      <c r="F326" s="12">
        <v>254</v>
      </c>
      <c r="G326" s="12">
        <v>52</v>
      </c>
      <c r="H326" s="12">
        <v>202</v>
      </c>
      <c r="I326" s="12">
        <v>68</v>
      </c>
      <c r="J326" s="12">
        <v>20751</v>
      </c>
      <c r="K326" s="12">
        <v>27812.48</v>
      </c>
      <c r="L326" s="12">
        <v>4191702</v>
      </c>
      <c r="M326" s="12">
        <v>3</v>
      </c>
      <c r="N326" s="12">
        <v>13</v>
      </c>
      <c r="O326" s="12">
        <v>3.9</v>
      </c>
      <c r="P326" s="14">
        <v>46188</v>
      </c>
      <c r="Q326" s="12" t="s">
        <v>1775</v>
      </c>
    </row>
    <row r="327" spans="1:17" x14ac:dyDescent="0.3">
      <c r="A327" s="12" t="s">
        <v>193</v>
      </c>
      <c r="B327" s="12" t="s">
        <v>194</v>
      </c>
      <c r="C327" s="12" t="s">
        <v>71</v>
      </c>
      <c r="D327" s="12" t="s">
        <v>1776</v>
      </c>
      <c r="E327" s="12" t="s">
        <v>1774</v>
      </c>
      <c r="F327" s="12">
        <v>151</v>
      </c>
      <c r="G327" s="12">
        <v>98</v>
      </c>
      <c r="H327" s="12">
        <v>53</v>
      </c>
      <c r="I327" s="12">
        <v>73</v>
      </c>
      <c r="J327" s="12">
        <v>53950</v>
      </c>
      <c r="K327" s="12">
        <v>59350.73</v>
      </c>
      <c r="L327" s="12">
        <v>2859350</v>
      </c>
      <c r="M327" s="12">
        <v>2</v>
      </c>
      <c r="N327" s="12">
        <v>2</v>
      </c>
      <c r="O327" s="12">
        <v>4.2</v>
      </c>
      <c r="P327" s="14">
        <v>46036</v>
      </c>
      <c r="Q327" s="12" t="s">
        <v>1782</v>
      </c>
    </row>
    <row r="328" spans="1:17" x14ac:dyDescent="0.3">
      <c r="A328" s="12" t="s">
        <v>127</v>
      </c>
      <c r="B328" s="12" t="s">
        <v>128</v>
      </c>
      <c r="C328" s="12" t="s">
        <v>102</v>
      </c>
      <c r="D328" s="12" t="s">
        <v>1780</v>
      </c>
      <c r="E328" s="12" t="s">
        <v>1777</v>
      </c>
      <c r="F328" s="12">
        <v>172</v>
      </c>
      <c r="G328" s="12">
        <v>63</v>
      </c>
      <c r="H328" s="12">
        <v>109</v>
      </c>
      <c r="I328" s="12">
        <v>44</v>
      </c>
      <c r="J328" s="12">
        <v>28440</v>
      </c>
      <c r="K328" s="12">
        <v>32903.65</v>
      </c>
      <c r="L328" s="12">
        <v>3099960</v>
      </c>
      <c r="M328" s="12">
        <v>5</v>
      </c>
      <c r="N328" s="12">
        <v>12</v>
      </c>
      <c r="O328" s="12">
        <v>4.7</v>
      </c>
      <c r="P328" s="14">
        <v>46047</v>
      </c>
      <c r="Q328" s="12" t="s">
        <v>1775</v>
      </c>
    </row>
    <row r="329" spans="1:17" x14ac:dyDescent="0.3">
      <c r="A329" s="12" t="s">
        <v>238</v>
      </c>
      <c r="B329" s="12" t="s">
        <v>239</v>
      </c>
      <c r="C329" s="12" t="s">
        <v>71</v>
      </c>
      <c r="D329" s="12" t="s">
        <v>1776</v>
      </c>
      <c r="E329" s="12" t="s">
        <v>1779</v>
      </c>
      <c r="F329" s="12">
        <v>166</v>
      </c>
      <c r="G329" s="12">
        <v>14</v>
      </c>
      <c r="H329" s="12">
        <v>152</v>
      </c>
      <c r="I329" s="12">
        <v>37</v>
      </c>
      <c r="J329" s="12">
        <v>19843</v>
      </c>
      <c r="K329" s="12">
        <v>22561.47</v>
      </c>
      <c r="L329" s="12">
        <v>3016136</v>
      </c>
      <c r="M329" s="12">
        <v>0</v>
      </c>
      <c r="N329" s="12">
        <v>8</v>
      </c>
      <c r="O329" s="12">
        <v>4.5999999999999996</v>
      </c>
      <c r="P329" s="14">
        <v>46135</v>
      </c>
      <c r="Q329" s="12" t="s">
        <v>1775</v>
      </c>
    </row>
    <row r="330" spans="1:17" x14ac:dyDescent="0.3">
      <c r="A330" s="12" t="s">
        <v>440</v>
      </c>
      <c r="B330" s="12" t="s">
        <v>441</v>
      </c>
      <c r="C330" s="12" t="s">
        <v>30</v>
      </c>
      <c r="D330" s="12" t="s">
        <v>1780</v>
      </c>
      <c r="E330" s="12" t="s">
        <v>1774</v>
      </c>
      <c r="F330" s="12">
        <v>364</v>
      </c>
      <c r="G330" s="12">
        <v>120</v>
      </c>
      <c r="H330" s="12">
        <v>244</v>
      </c>
      <c r="I330" s="12">
        <v>60</v>
      </c>
      <c r="J330" s="12">
        <v>18292</v>
      </c>
      <c r="K330" s="12">
        <v>20591.39</v>
      </c>
      <c r="L330" s="12">
        <v>4463248</v>
      </c>
      <c r="M330" s="12">
        <v>3</v>
      </c>
      <c r="N330" s="12">
        <v>13</v>
      </c>
      <c r="O330" s="12">
        <v>3.7</v>
      </c>
      <c r="P330" s="14">
        <v>46134</v>
      </c>
      <c r="Q330" s="12" t="s">
        <v>1775</v>
      </c>
    </row>
    <row r="331" spans="1:17" x14ac:dyDescent="0.3">
      <c r="A331" s="12" t="s">
        <v>816</v>
      </c>
      <c r="B331" s="12" t="s">
        <v>817</v>
      </c>
      <c r="C331" s="12" t="s">
        <v>54</v>
      </c>
      <c r="D331" s="12" t="s">
        <v>1780</v>
      </c>
      <c r="E331" s="12" t="s">
        <v>1781</v>
      </c>
      <c r="F331" s="12">
        <v>258</v>
      </c>
      <c r="G331" s="12">
        <v>196</v>
      </c>
      <c r="H331" s="12">
        <v>62</v>
      </c>
      <c r="I331" s="12">
        <v>60</v>
      </c>
      <c r="J331" s="12">
        <v>30715</v>
      </c>
      <c r="K331" s="12">
        <v>35954.58</v>
      </c>
      <c r="L331" s="12">
        <v>1904330</v>
      </c>
      <c r="M331" s="12">
        <v>5</v>
      </c>
      <c r="N331" s="12">
        <v>7</v>
      </c>
      <c r="O331" s="12">
        <v>5</v>
      </c>
      <c r="P331" s="14">
        <v>46029</v>
      </c>
      <c r="Q331" s="12" t="s">
        <v>1775</v>
      </c>
    </row>
    <row r="332" spans="1:17" x14ac:dyDescent="0.3">
      <c r="A332" s="12" t="s">
        <v>241</v>
      </c>
      <c r="B332" s="12" t="s">
        <v>242</v>
      </c>
      <c r="C332" s="12" t="s">
        <v>54</v>
      </c>
      <c r="D332" s="12" t="s">
        <v>1780</v>
      </c>
      <c r="E332" s="12" t="s">
        <v>1779</v>
      </c>
      <c r="F332" s="12">
        <v>466</v>
      </c>
      <c r="G332" s="12">
        <v>60</v>
      </c>
      <c r="H332" s="12">
        <v>406</v>
      </c>
      <c r="I332" s="12">
        <v>47</v>
      </c>
      <c r="J332" s="12">
        <v>32182</v>
      </c>
      <c r="K332" s="12">
        <v>39759.71</v>
      </c>
      <c r="L332" s="12">
        <v>13065892</v>
      </c>
      <c r="M332" s="12">
        <v>0</v>
      </c>
      <c r="N332" s="12">
        <v>13</v>
      </c>
      <c r="O332" s="12">
        <v>4</v>
      </c>
      <c r="P332" s="14">
        <v>46033</v>
      </c>
      <c r="Q332" s="12" t="s">
        <v>1775</v>
      </c>
    </row>
    <row r="333" spans="1:17" x14ac:dyDescent="0.3">
      <c r="A333" s="12" t="s">
        <v>401</v>
      </c>
      <c r="B333" s="12" t="s">
        <v>402</v>
      </c>
      <c r="C333" s="12" t="s">
        <v>102</v>
      </c>
      <c r="D333" s="12" t="s">
        <v>1778</v>
      </c>
      <c r="E333" s="12" t="s">
        <v>1774</v>
      </c>
      <c r="F333" s="12">
        <v>171</v>
      </c>
      <c r="G333" s="12">
        <v>60</v>
      </c>
      <c r="H333" s="12">
        <v>111</v>
      </c>
      <c r="I333" s="12">
        <v>25</v>
      </c>
      <c r="J333" s="12">
        <v>52023</v>
      </c>
      <c r="K333" s="12">
        <v>71040.350000000006</v>
      </c>
      <c r="L333" s="12">
        <v>5774553</v>
      </c>
      <c r="M333" s="12">
        <v>3</v>
      </c>
      <c r="N333" s="12">
        <v>12</v>
      </c>
      <c r="O333" s="12">
        <v>4.0999999999999996</v>
      </c>
      <c r="P333" s="14">
        <v>46187</v>
      </c>
      <c r="Q333" s="12" t="s">
        <v>1775</v>
      </c>
    </row>
    <row r="334" spans="1:17" x14ac:dyDescent="0.3">
      <c r="A334" s="12" t="s">
        <v>203</v>
      </c>
      <c r="B334" s="12" t="s">
        <v>204</v>
      </c>
      <c r="C334" s="12" t="s">
        <v>71</v>
      </c>
      <c r="D334" s="12" t="s">
        <v>1780</v>
      </c>
      <c r="E334" s="12" t="s">
        <v>1774</v>
      </c>
      <c r="F334" s="12">
        <v>104</v>
      </c>
      <c r="G334" s="12">
        <v>23</v>
      </c>
      <c r="H334" s="12">
        <v>81</v>
      </c>
      <c r="I334" s="12">
        <v>30</v>
      </c>
      <c r="J334" s="12">
        <v>41600</v>
      </c>
      <c r="K334" s="12">
        <v>47324.74</v>
      </c>
      <c r="L334" s="12">
        <v>3369600</v>
      </c>
      <c r="M334" s="12">
        <v>3</v>
      </c>
      <c r="N334" s="12">
        <v>11</v>
      </c>
      <c r="O334" s="12">
        <v>4.5</v>
      </c>
      <c r="P334" s="14">
        <v>46183</v>
      </c>
      <c r="Q334" s="12" t="s">
        <v>1775</v>
      </c>
    </row>
    <row r="335" spans="1:17" x14ac:dyDescent="0.3">
      <c r="A335" s="12" t="s">
        <v>447</v>
      </c>
      <c r="B335" s="12" t="s">
        <v>448</v>
      </c>
      <c r="C335" s="12" t="s">
        <v>71</v>
      </c>
      <c r="D335" s="12" t="s">
        <v>1773</v>
      </c>
      <c r="E335" s="12" t="s">
        <v>1781</v>
      </c>
      <c r="F335" s="12">
        <v>406</v>
      </c>
      <c r="G335" s="12">
        <v>49</v>
      </c>
      <c r="H335" s="12">
        <v>357</v>
      </c>
      <c r="I335" s="12">
        <v>64</v>
      </c>
      <c r="J335" s="12">
        <v>34429</v>
      </c>
      <c r="K335" s="12">
        <v>39855.410000000003</v>
      </c>
      <c r="L335" s="12">
        <v>12291153</v>
      </c>
      <c r="M335" s="12">
        <v>3</v>
      </c>
      <c r="N335" s="12">
        <v>4</v>
      </c>
      <c r="O335" s="12">
        <v>4.5999999999999996</v>
      </c>
      <c r="P335" s="14">
        <v>46143</v>
      </c>
      <c r="Q335" s="12" t="s">
        <v>1775</v>
      </c>
    </row>
    <row r="336" spans="1:17" x14ac:dyDescent="0.3">
      <c r="A336" s="12" t="s">
        <v>342</v>
      </c>
      <c r="B336" s="12" t="s">
        <v>343</v>
      </c>
      <c r="C336" s="12" t="s">
        <v>54</v>
      </c>
      <c r="D336" s="12" t="s">
        <v>1776</v>
      </c>
      <c r="E336" s="12" t="s">
        <v>1781</v>
      </c>
      <c r="F336" s="12">
        <v>182</v>
      </c>
      <c r="G336" s="12">
        <v>154</v>
      </c>
      <c r="H336" s="12">
        <v>28</v>
      </c>
      <c r="I336" s="12">
        <v>47</v>
      </c>
      <c r="J336" s="12">
        <v>13654</v>
      </c>
      <c r="K336" s="12">
        <v>17852.189999999999</v>
      </c>
      <c r="L336" s="12">
        <v>382312</v>
      </c>
      <c r="M336" s="12">
        <v>2</v>
      </c>
      <c r="N336" s="12">
        <v>7</v>
      </c>
      <c r="O336" s="12">
        <v>4</v>
      </c>
      <c r="P336" s="14">
        <v>46194</v>
      </c>
      <c r="Q336" s="12" t="s">
        <v>1782</v>
      </c>
    </row>
    <row r="337" spans="1:17" x14ac:dyDescent="0.3">
      <c r="A337" s="12" t="s">
        <v>306</v>
      </c>
      <c r="B337" s="12" t="s">
        <v>307</v>
      </c>
      <c r="C337" s="12" t="s">
        <v>71</v>
      </c>
      <c r="D337" s="12" t="s">
        <v>1773</v>
      </c>
      <c r="E337" s="12" t="s">
        <v>1774</v>
      </c>
      <c r="F337" s="12">
        <v>452</v>
      </c>
      <c r="G337" s="12">
        <v>272</v>
      </c>
      <c r="H337" s="12">
        <v>180</v>
      </c>
      <c r="I337" s="12">
        <v>76</v>
      </c>
      <c r="J337" s="12">
        <v>30482</v>
      </c>
      <c r="K337" s="12">
        <v>39325.58</v>
      </c>
      <c r="L337" s="12">
        <v>5486760</v>
      </c>
      <c r="M337" s="12">
        <v>0</v>
      </c>
      <c r="N337" s="12">
        <v>12</v>
      </c>
      <c r="O337" s="12">
        <v>3.7</v>
      </c>
      <c r="P337" s="14">
        <v>46104</v>
      </c>
      <c r="Q337" s="12" t="s">
        <v>1775</v>
      </c>
    </row>
    <row r="338" spans="1:17" x14ac:dyDescent="0.3">
      <c r="A338" s="12" t="s">
        <v>316</v>
      </c>
      <c r="B338" s="12" t="s">
        <v>317</v>
      </c>
      <c r="C338" s="12" t="s">
        <v>54</v>
      </c>
      <c r="D338" s="12" t="s">
        <v>1778</v>
      </c>
      <c r="E338" s="12" t="s">
        <v>1779</v>
      </c>
      <c r="F338" s="12">
        <v>178</v>
      </c>
      <c r="G338" s="12">
        <v>56</v>
      </c>
      <c r="H338" s="12">
        <v>122</v>
      </c>
      <c r="I338" s="12">
        <v>71</v>
      </c>
      <c r="J338" s="12">
        <v>36379</v>
      </c>
      <c r="K338" s="12">
        <v>46138.21</v>
      </c>
      <c r="L338" s="12">
        <v>4438238</v>
      </c>
      <c r="M338" s="12">
        <v>3</v>
      </c>
      <c r="N338" s="12">
        <v>13</v>
      </c>
      <c r="O338" s="12">
        <v>4.9000000000000004</v>
      </c>
      <c r="P338" s="14">
        <v>46041</v>
      </c>
      <c r="Q338" s="12" t="s">
        <v>1775</v>
      </c>
    </row>
    <row r="339" spans="1:17" x14ac:dyDescent="0.3">
      <c r="A339" s="12" t="s">
        <v>1365</v>
      </c>
      <c r="B339" s="12" t="s">
        <v>1366</v>
      </c>
      <c r="C339" s="12" t="s">
        <v>54</v>
      </c>
      <c r="D339" s="12" t="s">
        <v>1773</v>
      </c>
      <c r="E339" s="12" t="s">
        <v>1774</v>
      </c>
      <c r="F339" s="12">
        <v>260</v>
      </c>
      <c r="G339" s="12">
        <v>47</v>
      </c>
      <c r="H339" s="12">
        <v>213</v>
      </c>
      <c r="I339" s="12">
        <v>50</v>
      </c>
      <c r="J339" s="12">
        <v>33771</v>
      </c>
      <c r="K339" s="12">
        <v>44894.62</v>
      </c>
      <c r="L339" s="12">
        <v>7193223</v>
      </c>
      <c r="M339" s="12">
        <v>3</v>
      </c>
      <c r="N339" s="12">
        <v>6</v>
      </c>
      <c r="O339" s="12">
        <v>4</v>
      </c>
      <c r="P339" s="14">
        <v>46192</v>
      </c>
      <c r="Q339" s="12" t="s">
        <v>1775</v>
      </c>
    </row>
    <row r="340" spans="1:17" x14ac:dyDescent="0.3">
      <c r="A340" s="12" t="s">
        <v>206</v>
      </c>
      <c r="B340" s="12" t="s">
        <v>207</v>
      </c>
      <c r="C340" s="12" t="s">
        <v>30</v>
      </c>
      <c r="D340" s="12" t="s">
        <v>1778</v>
      </c>
      <c r="E340" s="12" t="s">
        <v>1777</v>
      </c>
      <c r="F340" s="12">
        <v>273</v>
      </c>
      <c r="G340" s="12">
        <v>79</v>
      </c>
      <c r="H340" s="12">
        <v>194</v>
      </c>
      <c r="I340" s="12">
        <v>67</v>
      </c>
      <c r="J340" s="12">
        <v>47818</v>
      </c>
      <c r="K340" s="12">
        <v>56055.17</v>
      </c>
      <c r="L340" s="12">
        <v>9276692</v>
      </c>
      <c r="M340" s="12">
        <v>0</v>
      </c>
      <c r="N340" s="12">
        <v>3</v>
      </c>
      <c r="O340" s="12">
        <v>4.5</v>
      </c>
      <c r="P340" s="14">
        <v>46113</v>
      </c>
      <c r="Q340" s="12" t="s">
        <v>1775</v>
      </c>
    </row>
    <row r="341" spans="1:17" x14ac:dyDescent="0.3">
      <c r="A341" s="12" t="s">
        <v>384</v>
      </c>
      <c r="B341" s="12" t="s">
        <v>385</v>
      </c>
      <c r="C341" s="12" t="s">
        <v>102</v>
      </c>
      <c r="D341" s="12" t="s">
        <v>1780</v>
      </c>
      <c r="E341" s="12" t="s">
        <v>1777</v>
      </c>
      <c r="F341" s="12">
        <v>207</v>
      </c>
      <c r="G341" s="12">
        <v>170</v>
      </c>
      <c r="H341" s="12">
        <v>37</v>
      </c>
      <c r="I341" s="12">
        <v>69</v>
      </c>
      <c r="J341" s="12">
        <v>5813</v>
      </c>
      <c r="K341" s="12">
        <v>7243.83</v>
      </c>
      <c r="L341" s="12">
        <v>215081</v>
      </c>
      <c r="M341" s="12">
        <v>3</v>
      </c>
      <c r="N341" s="12">
        <v>12</v>
      </c>
      <c r="O341" s="12">
        <v>3.6</v>
      </c>
      <c r="P341" s="14">
        <v>46070</v>
      </c>
      <c r="Q341" s="12" t="s">
        <v>1782</v>
      </c>
    </row>
    <row r="342" spans="1:17" x14ac:dyDescent="0.3">
      <c r="A342" s="12" t="s">
        <v>479</v>
      </c>
      <c r="B342" s="12" t="s">
        <v>480</v>
      </c>
      <c r="C342" s="12" t="s">
        <v>71</v>
      </c>
      <c r="D342" s="12" t="s">
        <v>1778</v>
      </c>
      <c r="E342" s="12" t="s">
        <v>1781</v>
      </c>
      <c r="F342" s="12">
        <v>61</v>
      </c>
      <c r="G342" s="12">
        <v>29</v>
      </c>
      <c r="H342" s="12">
        <v>32</v>
      </c>
      <c r="I342" s="12">
        <v>36</v>
      </c>
      <c r="J342" s="12">
        <v>23866</v>
      </c>
      <c r="K342" s="12">
        <v>31820.75</v>
      </c>
      <c r="L342" s="12">
        <v>763712</v>
      </c>
      <c r="M342" s="12">
        <v>0</v>
      </c>
      <c r="N342" s="12">
        <v>14</v>
      </c>
      <c r="O342" s="12">
        <v>3.9</v>
      </c>
      <c r="P342" s="14">
        <v>46036</v>
      </c>
      <c r="Q342" s="12" t="s">
        <v>1782</v>
      </c>
    </row>
    <row r="343" spans="1:17" x14ac:dyDescent="0.3">
      <c r="A343" s="12" t="s">
        <v>135</v>
      </c>
      <c r="B343" s="12" t="s">
        <v>136</v>
      </c>
      <c r="C343" s="12" t="s">
        <v>30</v>
      </c>
      <c r="D343" s="12" t="s">
        <v>1780</v>
      </c>
      <c r="E343" s="12" t="s">
        <v>1779</v>
      </c>
      <c r="F343" s="12">
        <v>475</v>
      </c>
      <c r="G343" s="12">
        <v>172</v>
      </c>
      <c r="H343" s="12">
        <v>303</v>
      </c>
      <c r="I343" s="12">
        <v>41</v>
      </c>
      <c r="J343" s="12">
        <v>50650</v>
      </c>
      <c r="K343" s="12">
        <v>64722.17</v>
      </c>
      <c r="L343" s="12">
        <v>15346950</v>
      </c>
      <c r="M343" s="12">
        <v>1</v>
      </c>
      <c r="N343" s="12">
        <v>12</v>
      </c>
      <c r="O343" s="12">
        <v>4.3</v>
      </c>
      <c r="P343" s="14">
        <v>46134</v>
      </c>
      <c r="Q343" s="12" t="s">
        <v>1775</v>
      </c>
    </row>
    <row r="344" spans="1:17" x14ac:dyDescent="0.3">
      <c r="A344" s="12" t="s">
        <v>168</v>
      </c>
      <c r="B344" s="12" t="s">
        <v>169</v>
      </c>
      <c r="C344" s="12" t="s">
        <v>102</v>
      </c>
      <c r="D344" s="12" t="s">
        <v>1778</v>
      </c>
      <c r="E344" s="12" t="s">
        <v>1779</v>
      </c>
      <c r="F344" s="12">
        <v>182</v>
      </c>
      <c r="G344" s="12">
        <v>92</v>
      </c>
      <c r="H344" s="12">
        <v>90</v>
      </c>
      <c r="I344" s="12">
        <v>76</v>
      </c>
      <c r="J344" s="12">
        <v>28186</v>
      </c>
      <c r="K344" s="12">
        <v>31063.93</v>
      </c>
      <c r="L344" s="12">
        <v>2536740</v>
      </c>
      <c r="M344" s="12">
        <v>5</v>
      </c>
      <c r="N344" s="12">
        <v>9</v>
      </c>
      <c r="O344" s="12">
        <v>4.9000000000000004</v>
      </c>
      <c r="P344" s="14">
        <v>46067</v>
      </c>
      <c r="Q344" s="12" t="s">
        <v>1775</v>
      </c>
    </row>
    <row r="345" spans="1:17" x14ac:dyDescent="0.3">
      <c r="A345" s="12" t="s">
        <v>504</v>
      </c>
      <c r="B345" s="12" t="s">
        <v>505</v>
      </c>
      <c r="C345" s="12" t="s">
        <v>54</v>
      </c>
      <c r="D345" s="12" t="s">
        <v>1778</v>
      </c>
      <c r="E345" s="12" t="s">
        <v>1779</v>
      </c>
      <c r="F345" s="12">
        <v>473</v>
      </c>
      <c r="G345" s="12">
        <v>469</v>
      </c>
      <c r="H345" s="12">
        <v>4</v>
      </c>
      <c r="I345" s="12">
        <v>71</v>
      </c>
      <c r="J345" s="12">
        <v>37916</v>
      </c>
      <c r="K345" s="12">
        <v>52277.8</v>
      </c>
      <c r="L345" s="12">
        <v>151664</v>
      </c>
      <c r="M345" s="12">
        <v>0</v>
      </c>
      <c r="N345" s="12">
        <v>6</v>
      </c>
      <c r="O345" s="12">
        <v>4.9000000000000004</v>
      </c>
      <c r="P345" s="14">
        <v>46096</v>
      </c>
      <c r="Q345" s="12" t="s">
        <v>1782</v>
      </c>
    </row>
    <row r="346" spans="1:17" x14ac:dyDescent="0.3">
      <c r="A346" s="12" t="s">
        <v>113</v>
      </c>
      <c r="B346" s="12" t="s">
        <v>114</v>
      </c>
      <c r="C346" s="12" t="s">
        <v>102</v>
      </c>
      <c r="D346" s="12" t="s">
        <v>1776</v>
      </c>
      <c r="E346" s="12" t="s">
        <v>1779</v>
      </c>
      <c r="F346" s="12">
        <v>229</v>
      </c>
      <c r="G346" s="12">
        <v>85</v>
      </c>
      <c r="H346" s="12">
        <v>144</v>
      </c>
      <c r="I346" s="12">
        <v>28</v>
      </c>
      <c r="J346" s="12">
        <v>26849</v>
      </c>
      <c r="K346" s="12">
        <v>30886.42</v>
      </c>
      <c r="L346" s="12">
        <v>3866256</v>
      </c>
      <c r="M346" s="12">
        <v>1</v>
      </c>
      <c r="N346" s="12">
        <v>11</v>
      </c>
      <c r="O346" s="12">
        <v>4.5</v>
      </c>
      <c r="P346" s="14">
        <v>46078</v>
      </c>
      <c r="Q346" s="12" t="s">
        <v>1775</v>
      </c>
    </row>
    <row r="347" spans="1:17" x14ac:dyDescent="0.3">
      <c r="A347" s="12" t="s">
        <v>391</v>
      </c>
      <c r="B347" s="12" t="s">
        <v>392</v>
      </c>
      <c r="C347" s="12" t="s">
        <v>54</v>
      </c>
      <c r="D347" s="12" t="s">
        <v>1773</v>
      </c>
      <c r="E347" s="12" t="s">
        <v>1774</v>
      </c>
      <c r="F347" s="12">
        <v>232</v>
      </c>
      <c r="G347" s="12">
        <v>83</v>
      </c>
      <c r="H347" s="12">
        <v>149</v>
      </c>
      <c r="I347" s="12">
        <v>40</v>
      </c>
      <c r="J347" s="12">
        <v>7363</v>
      </c>
      <c r="K347" s="12">
        <v>8444.01</v>
      </c>
      <c r="L347" s="12">
        <v>1097087</v>
      </c>
      <c r="M347" s="12">
        <v>1</v>
      </c>
      <c r="N347" s="12">
        <v>13</v>
      </c>
      <c r="O347" s="12">
        <v>3.7</v>
      </c>
      <c r="P347" s="14">
        <v>46062</v>
      </c>
      <c r="Q347" s="12" t="s">
        <v>1775</v>
      </c>
    </row>
    <row r="348" spans="1:17" x14ac:dyDescent="0.3">
      <c r="A348" s="12" t="s">
        <v>1365</v>
      </c>
      <c r="B348" s="12" t="s">
        <v>1366</v>
      </c>
      <c r="C348" s="12" t="s">
        <v>54</v>
      </c>
      <c r="D348" s="12" t="s">
        <v>1773</v>
      </c>
      <c r="E348" s="12" t="s">
        <v>1777</v>
      </c>
      <c r="F348" s="12">
        <v>121</v>
      </c>
      <c r="G348" s="12">
        <v>114</v>
      </c>
      <c r="H348" s="12">
        <v>7</v>
      </c>
      <c r="I348" s="12">
        <v>60</v>
      </c>
      <c r="J348" s="12">
        <v>18433</v>
      </c>
      <c r="K348" s="12">
        <v>24174.07</v>
      </c>
      <c r="L348" s="12">
        <v>129031</v>
      </c>
      <c r="M348" s="12">
        <v>3</v>
      </c>
      <c r="N348" s="12">
        <v>12</v>
      </c>
      <c r="O348" s="12">
        <v>4.9000000000000004</v>
      </c>
      <c r="P348" s="14">
        <v>46156</v>
      </c>
      <c r="Q348" s="12" t="s">
        <v>1782</v>
      </c>
    </row>
    <row r="349" spans="1:17" x14ac:dyDescent="0.3">
      <c r="A349" s="12" t="s">
        <v>504</v>
      </c>
      <c r="B349" s="12" t="s">
        <v>505</v>
      </c>
      <c r="C349" s="12" t="s">
        <v>54</v>
      </c>
      <c r="D349" s="12" t="s">
        <v>1776</v>
      </c>
      <c r="E349" s="12" t="s">
        <v>1777</v>
      </c>
      <c r="F349" s="12">
        <v>252</v>
      </c>
      <c r="G349" s="12">
        <v>185</v>
      </c>
      <c r="H349" s="12">
        <v>67</v>
      </c>
      <c r="I349" s="12">
        <v>73</v>
      </c>
      <c r="J349" s="12">
        <v>8965</v>
      </c>
      <c r="K349" s="12">
        <v>11369.88</v>
      </c>
      <c r="L349" s="12">
        <v>600655</v>
      </c>
      <c r="M349" s="12">
        <v>3</v>
      </c>
      <c r="N349" s="12">
        <v>15</v>
      </c>
      <c r="O349" s="12">
        <v>3.7</v>
      </c>
      <c r="P349" s="14">
        <v>46027</v>
      </c>
      <c r="Q349" s="12" t="s">
        <v>1782</v>
      </c>
    </row>
    <row r="350" spans="1:17" x14ac:dyDescent="0.3">
      <c r="A350" s="12" t="s">
        <v>197</v>
      </c>
      <c r="B350" s="12" t="s">
        <v>198</v>
      </c>
      <c r="C350" s="12" t="s">
        <v>30</v>
      </c>
      <c r="D350" s="12" t="s">
        <v>1776</v>
      </c>
      <c r="E350" s="12" t="s">
        <v>1781</v>
      </c>
      <c r="F350" s="12">
        <v>147</v>
      </c>
      <c r="G350" s="12">
        <v>69</v>
      </c>
      <c r="H350" s="12">
        <v>78</v>
      </c>
      <c r="I350" s="12">
        <v>68</v>
      </c>
      <c r="J350" s="12">
        <v>44709</v>
      </c>
      <c r="K350" s="12">
        <v>59392.91</v>
      </c>
      <c r="L350" s="12">
        <v>3487302</v>
      </c>
      <c r="M350" s="12">
        <v>4</v>
      </c>
      <c r="N350" s="12">
        <v>9</v>
      </c>
      <c r="O350" s="12">
        <v>3.5</v>
      </c>
      <c r="P350" s="14">
        <v>46043</v>
      </c>
      <c r="Q350" s="12" t="s">
        <v>1775</v>
      </c>
    </row>
    <row r="351" spans="1:17" x14ac:dyDescent="0.3">
      <c r="A351" s="12" t="s">
        <v>156</v>
      </c>
      <c r="B351" s="12" t="s">
        <v>157</v>
      </c>
      <c r="C351" s="12" t="s">
        <v>30</v>
      </c>
      <c r="D351" s="12" t="s">
        <v>1778</v>
      </c>
      <c r="E351" s="12" t="s">
        <v>1781</v>
      </c>
      <c r="F351" s="12">
        <v>198</v>
      </c>
      <c r="G351" s="12">
        <v>39</v>
      </c>
      <c r="H351" s="12">
        <v>159</v>
      </c>
      <c r="I351" s="12">
        <v>69</v>
      </c>
      <c r="J351" s="12">
        <v>54027</v>
      </c>
      <c r="K351" s="12">
        <v>68310.460000000006</v>
      </c>
      <c r="L351" s="12">
        <v>8590293</v>
      </c>
      <c r="M351" s="12">
        <v>3</v>
      </c>
      <c r="N351" s="12">
        <v>12</v>
      </c>
      <c r="O351" s="12">
        <v>4.0999999999999996</v>
      </c>
      <c r="P351" s="14">
        <v>46108</v>
      </c>
      <c r="Q351" s="12" t="s">
        <v>1775</v>
      </c>
    </row>
    <row r="352" spans="1:17" x14ac:dyDescent="0.3">
      <c r="A352" s="12" t="s">
        <v>557</v>
      </c>
      <c r="B352" s="12" t="s">
        <v>558</v>
      </c>
      <c r="C352" s="12" t="s">
        <v>54</v>
      </c>
      <c r="D352" s="12" t="s">
        <v>1773</v>
      </c>
      <c r="E352" s="12" t="s">
        <v>1774</v>
      </c>
      <c r="F352" s="12">
        <v>348</v>
      </c>
      <c r="G352" s="12">
        <v>347</v>
      </c>
      <c r="H352" s="12">
        <v>1</v>
      </c>
      <c r="I352" s="12">
        <v>30</v>
      </c>
      <c r="J352" s="12">
        <v>399</v>
      </c>
      <c r="K352" s="12">
        <v>529.23</v>
      </c>
      <c r="L352" s="12">
        <v>399</v>
      </c>
      <c r="M352" s="12">
        <v>4</v>
      </c>
      <c r="N352" s="12">
        <v>14</v>
      </c>
      <c r="O352" s="12">
        <v>3.7</v>
      </c>
      <c r="P352" s="14">
        <v>46063</v>
      </c>
      <c r="Q352" s="12" t="s">
        <v>1782</v>
      </c>
    </row>
    <row r="353" spans="1:17" x14ac:dyDescent="0.3">
      <c r="A353" s="12" t="s">
        <v>431</v>
      </c>
      <c r="B353" s="12" t="s">
        <v>432</v>
      </c>
      <c r="C353" s="12" t="s">
        <v>30</v>
      </c>
      <c r="D353" s="12" t="s">
        <v>1776</v>
      </c>
      <c r="E353" s="12" t="s">
        <v>1774</v>
      </c>
      <c r="F353" s="12">
        <v>324</v>
      </c>
      <c r="G353" s="12">
        <v>149</v>
      </c>
      <c r="H353" s="12">
        <v>175</v>
      </c>
      <c r="I353" s="12">
        <v>76</v>
      </c>
      <c r="J353" s="12">
        <v>34723</v>
      </c>
      <c r="K353" s="12">
        <v>39795.57</v>
      </c>
      <c r="L353" s="12">
        <v>6076525</v>
      </c>
      <c r="M353" s="12">
        <v>2</v>
      </c>
      <c r="N353" s="12">
        <v>2</v>
      </c>
      <c r="O353" s="12">
        <v>4.2</v>
      </c>
      <c r="P353" s="14">
        <v>46129</v>
      </c>
      <c r="Q353" s="12" t="s">
        <v>1775</v>
      </c>
    </row>
    <row r="354" spans="1:17" x14ac:dyDescent="0.3">
      <c r="A354" s="12" t="s">
        <v>316</v>
      </c>
      <c r="B354" s="12" t="s">
        <v>317</v>
      </c>
      <c r="C354" s="12" t="s">
        <v>54</v>
      </c>
      <c r="D354" s="12" t="s">
        <v>1780</v>
      </c>
      <c r="E354" s="12" t="s">
        <v>1781</v>
      </c>
      <c r="F354" s="12">
        <v>166</v>
      </c>
      <c r="G354" s="12">
        <v>6</v>
      </c>
      <c r="H354" s="12">
        <v>160</v>
      </c>
      <c r="I354" s="12">
        <v>36</v>
      </c>
      <c r="J354" s="12">
        <v>41424</v>
      </c>
      <c r="K354" s="12">
        <v>53443.7</v>
      </c>
      <c r="L354" s="12">
        <v>6627840</v>
      </c>
      <c r="M354" s="12">
        <v>1</v>
      </c>
      <c r="N354" s="12">
        <v>4</v>
      </c>
      <c r="O354" s="12">
        <v>4.0999999999999996</v>
      </c>
      <c r="P354" s="14">
        <v>46028</v>
      </c>
      <c r="Q354" s="12" t="s">
        <v>1775</v>
      </c>
    </row>
    <row r="355" spans="1:17" x14ac:dyDescent="0.3">
      <c r="A355" s="12" t="s">
        <v>566</v>
      </c>
      <c r="B355" s="12" t="s">
        <v>567</v>
      </c>
      <c r="C355" s="12" t="s">
        <v>54</v>
      </c>
      <c r="D355" s="12" t="s">
        <v>1778</v>
      </c>
      <c r="E355" s="12" t="s">
        <v>1774</v>
      </c>
      <c r="F355" s="12">
        <v>145</v>
      </c>
      <c r="G355" s="12">
        <v>90</v>
      </c>
      <c r="H355" s="12">
        <v>55</v>
      </c>
      <c r="I355" s="12">
        <v>56</v>
      </c>
      <c r="J355" s="12">
        <v>55794</v>
      </c>
      <c r="K355" s="12">
        <v>77608.759999999995</v>
      </c>
      <c r="L355" s="12">
        <v>3068670</v>
      </c>
      <c r="M355" s="12">
        <v>2</v>
      </c>
      <c r="N355" s="12">
        <v>15</v>
      </c>
      <c r="O355" s="12">
        <v>3.8</v>
      </c>
      <c r="P355" s="14">
        <v>46104</v>
      </c>
      <c r="Q355" s="12" t="s">
        <v>1782</v>
      </c>
    </row>
    <row r="356" spans="1:17" x14ac:dyDescent="0.3">
      <c r="A356" s="12" t="s">
        <v>269</v>
      </c>
      <c r="B356" s="12" t="s">
        <v>270</v>
      </c>
      <c r="C356" s="12" t="s">
        <v>71</v>
      </c>
      <c r="D356" s="12" t="s">
        <v>1773</v>
      </c>
      <c r="E356" s="12" t="s">
        <v>1774</v>
      </c>
      <c r="F356" s="12">
        <v>186</v>
      </c>
      <c r="G356" s="12">
        <v>181</v>
      </c>
      <c r="H356" s="12">
        <v>5</v>
      </c>
      <c r="I356" s="12">
        <v>46</v>
      </c>
      <c r="J356" s="12">
        <v>9365</v>
      </c>
      <c r="K356" s="12">
        <v>12403.2</v>
      </c>
      <c r="L356" s="12">
        <v>46825</v>
      </c>
      <c r="M356" s="12">
        <v>5</v>
      </c>
      <c r="N356" s="12">
        <v>6</v>
      </c>
      <c r="O356" s="12">
        <v>4.8</v>
      </c>
      <c r="P356" s="14">
        <v>46198</v>
      </c>
      <c r="Q356" s="12" t="s">
        <v>1782</v>
      </c>
    </row>
    <row r="357" spans="1:17" x14ac:dyDescent="0.3">
      <c r="A357" s="12" t="s">
        <v>762</v>
      </c>
      <c r="B357" s="12" t="s">
        <v>763</v>
      </c>
      <c r="C357" s="12" t="s">
        <v>54</v>
      </c>
      <c r="D357" s="12" t="s">
        <v>1773</v>
      </c>
      <c r="E357" s="12" t="s">
        <v>1777</v>
      </c>
      <c r="F357" s="12">
        <v>105</v>
      </c>
      <c r="G357" s="12">
        <v>43</v>
      </c>
      <c r="H357" s="12">
        <v>62</v>
      </c>
      <c r="I357" s="12">
        <v>40</v>
      </c>
      <c r="J357" s="12">
        <v>21446</v>
      </c>
      <c r="K357" s="12">
        <v>26246.61</v>
      </c>
      <c r="L357" s="12">
        <v>1329652</v>
      </c>
      <c r="M357" s="12">
        <v>3</v>
      </c>
      <c r="N357" s="12">
        <v>9</v>
      </c>
      <c r="O357" s="12">
        <v>4.9000000000000004</v>
      </c>
      <c r="P357" s="14">
        <v>46064</v>
      </c>
      <c r="Q357" s="12" t="s">
        <v>1775</v>
      </c>
    </row>
    <row r="358" spans="1:17" x14ac:dyDescent="0.3">
      <c r="A358" s="12" t="s">
        <v>189</v>
      </c>
      <c r="B358" s="12" t="s">
        <v>190</v>
      </c>
      <c r="C358" s="12" t="s">
        <v>102</v>
      </c>
      <c r="D358" s="12" t="s">
        <v>1780</v>
      </c>
      <c r="E358" s="12" t="s">
        <v>1779</v>
      </c>
      <c r="F358" s="12">
        <v>76</v>
      </c>
      <c r="G358" s="12">
        <v>33</v>
      </c>
      <c r="H358" s="12">
        <v>43</v>
      </c>
      <c r="I358" s="12">
        <v>45</v>
      </c>
      <c r="J358" s="12">
        <v>23202</v>
      </c>
      <c r="K358" s="12">
        <v>29582.61</v>
      </c>
      <c r="L358" s="12">
        <v>997686</v>
      </c>
      <c r="M358" s="12">
        <v>2</v>
      </c>
      <c r="N358" s="12">
        <v>13</v>
      </c>
      <c r="O358" s="12">
        <v>4.4000000000000004</v>
      </c>
      <c r="P358" s="14">
        <v>46171</v>
      </c>
      <c r="Q358" s="12" t="s">
        <v>1782</v>
      </c>
    </row>
    <row r="359" spans="1:17" x14ac:dyDescent="0.3">
      <c r="A359" s="12" t="s">
        <v>234</v>
      </c>
      <c r="B359" s="12" t="s">
        <v>235</v>
      </c>
      <c r="C359" s="12" t="s">
        <v>102</v>
      </c>
      <c r="D359" s="12" t="s">
        <v>1773</v>
      </c>
      <c r="E359" s="12" t="s">
        <v>1781</v>
      </c>
      <c r="F359" s="12">
        <v>369</v>
      </c>
      <c r="G359" s="12">
        <v>354</v>
      </c>
      <c r="H359" s="12">
        <v>15</v>
      </c>
      <c r="I359" s="12">
        <v>32</v>
      </c>
      <c r="J359" s="12">
        <v>24286</v>
      </c>
      <c r="K359" s="12">
        <v>31352.13</v>
      </c>
      <c r="L359" s="12">
        <v>364290</v>
      </c>
      <c r="M359" s="12">
        <v>0</v>
      </c>
      <c r="N359" s="12">
        <v>10</v>
      </c>
      <c r="O359" s="12">
        <v>3.7</v>
      </c>
      <c r="P359" s="14">
        <v>46058</v>
      </c>
      <c r="Q359" s="12" t="s">
        <v>1782</v>
      </c>
    </row>
    <row r="360" spans="1:17" x14ac:dyDescent="0.3">
      <c r="A360" s="12" t="s">
        <v>371</v>
      </c>
      <c r="B360" s="12" t="s">
        <v>372</v>
      </c>
      <c r="C360" s="12" t="s">
        <v>71</v>
      </c>
      <c r="D360" s="12" t="s">
        <v>1778</v>
      </c>
      <c r="E360" s="12" t="s">
        <v>1777</v>
      </c>
      <c r="F360" s="12">
        <v>311</v>
      </c>
      <c r="G360" s="12">
        <v>214</v>
      </c>
      <c r="H360" s="12">
        <v>97</v>
      </c>
      <c r="I360" s="12">
        <v>79</v>
      </c>
      <c r="J360" s="12">
        <v>23750</v>
      </c>
      <c r="K360" s="12">
        <v>32215.46</v>
      </c>
      <c r="L360" s="12">
        <v>2303750</v>
      </c>
      <c r="M360" s="12">
        <v>3</v>
      </c>
      <c r="N360" s="12">
        <v>4</v>
      </c>
      <c r="O360" s="12">
        <v>4.0999999999999996</v>
      </c>
      <c r="P360" s="14">
        <v>46029</v>
      </c>
      <c r="Q360" s="12" t="s">
        <v>1775</v>
      </c>
    </row>
    <row r="361" spans="1:17" x14ac:dyDescent="0.3">
      <c r="A361" s="12" t="s">
        <v>160</v>
      </c>
      <c r="B361" s="12" t="s">
        <v>161</v>
      </c>
      <c r="C361" s="12" t="s">
        <v>102</v>
      </c>
      <c r="D361" s="12" t="s">
        <v>1780</v>
      </c>
      <c r="E361" s="12" t="s">
        <v>1777</v>
      </c>
      <c r="F361" s="12">
        <v>458</v>
      </c>
      <c r="G361" s="12">
        <v>342</v>
      </c>
      <c r="H361" s="12">
        <v>116</v>
      </c>
      <c r="I361" s="12">
        <v>77</v>
      </c>
      <c r="J361" s="12">
        <v>52869</v>
      </c>
      <c r="K361" s="12">
        <v>67883.91</v>
      </c>
      <c r="L361" s="12">
        <v>6132804</v>
      </c>
      <c r="M361" s="12">
        <v>3</v>
      </c>
      <c r="N361" s="12">
        <v>7</v>
      </c>
      <c r="O361" s="12">
        <v>3.9</v>
      </c>
      <c r="P361" s="14">
        <v>46030</v>
      </c>
      <c r="Q361" s="12" t="s">
        <v>1775</v>
      </c>
    </row>
    <row r="362" spans="1:17" x14ac:dyDescent="0.3">
      <c r="A362" s="12" t="s">
        <v>401</v>
      </c>
      <c r="B362" s="12" t="s">
        <v>402</v>
      </c>
      <c r="C362" s="12" t="s">
        <v>102</v>
      </c>
      <c r="D362" s="12" t="s">
        <v>1776</v>
      </c>
      <c r="E362" s="12" t="s">
        <v>1781</v>
      </c>
      <c r="F362" s="12">
        <v>393</v>
      </c>
      <c r="G362" s="12">
        <v>9</v>
      </c>
      <c r="H362" s="12">
        <v>384</v>
      </c>
      <c r="I362" s="12">
        <v>80</v>
      </c>
      <c r="J362" s="12">
        <v>41434</v>
      </c>
      <c r="K362" s="12">
        <v>56967.64</v>
      </c>
      <c r="L362" s="12">
        <v>15910656</v>
      </c>
      <c r="M362" s="12">
        <v>1</v>
      </c>
      <c r="N362" s="12">
        <v>3</v>
      </c>
      <c r="O362" s="12">
        <v>4.3</v>
      </c>
      <c r="P362" s="14">
        <v>46157</v>
      </c>
      <c r="Q362" s="12" t="s">
        <v>1775</v>
      </c>
    </row>
    <row r="363" spans="1:17" x14ac:dyDescent="0.3">
      <c r="A363" s="12" t="s">
        <v>479</v>
      </c>
      <c r="B363" s="12" t="s">
        <v>480</v>
      </c>
      <c r="C363" s="12" t="s">
        <v>71</v>
      </c>
      <c r="D363" s="12" t="s">
        <v>1778</v>
      </c>
      <c r="E363" s="12" t="s">
        <v>1777</v>
      </c>
      <c r="F363" s="12">
        <v>166</v>
      </c>
      <c r="G363" s="12">
        <v>47</v>
      </c>
      <c r="H363" s="12">
        <v>119</v>
      </c>
      <c r="I363" s="12">
        <v>54</v>
      </c>
      <c r="J363" s="12">
        <v>48123</v>
      </c>
      <c r="K363" s="12">
        <v>53305.440000000002</v>
      </c>
      <c r="L363" s="12">
        <v>5726637</v>
      </c>
      <c r="M363" s="12">
        <v>4</v>
      </c>
      <c r="N363" s="12">
        <v>2</v>
      </c>
      <c r="O363" s="12">
        <v>3.8</v>
      </c>
      <c r="P363" s="14">
        <v>46026</v>
      </c>
      <c r="Q363" s="12" t="s">
        <v>1775</v>
      </c>
    </row>
    <row r="364" spans="1:17" x14ac:dyDescent="0.3">
      <c r="A364" s="12" t="s">
        <v>62</v>
      </c>
      <c r="B364" s="12" t="s">
        <v>63</v>
      </c>
      <c r="C364" s="12" t="s">
        <v>54</v>
      </c>
      <c r="D364" s="12" t="s">
        <v>1778</v>
      </c>
      <c r="E364" s="12" t="s">
        <v>1779</v>
      </c>
      <c r="F364" s="12">
        <v>424</v>
      </c>
      <c r="G364" s="12">
        <v>331</v>
      </c>
      <c r="H364" s="12">
        <v>93</v>
      </c>
      <c r="I364" s="12">
        <v>40</v>
      </c>
      <c r="J364" s="12">
        <v>37103</v>
      </c>
      <c r="K364" s="12">
        <v>45138.05</v>
      </c>
      <c r="L364" s="12">
        <v>3450579</v>
      </c>
      <c r="M364" s="12">
        <v>1</v>
      </c>
      <c r="N364" s="12">
        <v>11</v>
      </c>
      <c r="O364" s="12">
        <v>4.5</v>
      </c>
      <c r="P364" s="14">
        <v>46055</v>
      </c>
      <c r="Q364" s="12" t="s">
        <v>1775</v>
      </c>
    </row>
    <row r="365" spans="1:17" x14ac:dyDescent="0.3">
      <c r="A365" s="12" t="s">
        <v>415</v>
      </c>
      <c r="B365" s="12" t="s">
        <v>416</v>
      </c>
      <c r="C365" s="12" t="s">
        <v>30</v>
      </c>
      <c r="D365" s="12" t="s">
        <v>1773</v>
      </c>
      <c r="E365" s="12" t="s">
        <v>1777</v>
      </c>
      <c r="F365" s="12">
        <v>342</v>
      </c>
      <c r="G365" s="12">
        <v>97</v>
      </c>
      <c r="H365" s="12">
        <v>245</v>
      </c>
      <c r="I365" s="12">
        <v>69</v>
      </c>
      <c r="J365" s="12">
        <v>11484</v>
      </c>
      <c r="K365" s="12">
        <v>15532.12</v>
      </c>
      <c r="L365" s="12">
        <v>2813580</v>
      </c>
      <c r="M365" s="12">
        <v>4</v>
      </c>
      <c r="N365" s="12">
        <v>11</v>
      </c>
      <c r="O365" s="12">
        <v>4.3</v>
      </c>
      <c r="P365" s="14">
        <v>46115</v>
      </c>
      <c r="Q365" s="12" t="s">
        <v>1775</v>
      </c>
    </row>
    <row r="366" spans="1:17" x14ac:dyDescent="0.3">
      <c r="A366" s="12" t="s">
        <v>640</v>
      </c>
      <c r="B366" s="12" t="s">
        <v>641</v>
      </c>
      <c r="C366" s="12" t="s">
        <v>54</v>
      </c>
      <c r="D366" s="12" t="s">
        <v>1778</v>
      </c>
      <c r="E366" s="12" t="s">
        <v>1777</v>
      </c>
      <c r="F366" s="12">
        <v>478</v>
      </c>
      <c r="G366" s="12">
        <v>17</v>
      </c>
      <c r="H366" s="12">
        <v>461</v>
      </c>
      <c r="I366" s="12">
        <v>53</v>
      </c>
      <c r="J366" s="12">
        <v>51639</v>
      </c>
      <c r="K366" s="12">
        <v>61803.95</v>
      </c>
      <c r="L366" s="12">
        <v>23805579</v>
      </c>
      <c r="M366" s="12">
        <v>3</v>
      </c>
      <c r="N366" s="12">
        <v>10</v>
      </c>
      <c r="O366" s="12">
        <v>4.0999999999999996</v>
      </c>
      <c r="P366" s="14">
        <v>46146</v>
      </c>
      <c r="Q366" s="12" t="s">
        <v>1775</v>
      </c>
    </row>
    <row r="367" spans="1:17" x14ac:dyDescent="0.3">
      <c r="A367" s="12" t="s">
        <v>504</v>
      </c>
      <c r="B367" s="12" t="s">
        <v>505</v>
      </c>
      <c r="C367" s="12" t="s">
        <v>54</v>
      </c>
      <c r="D367" s="12" t="s">
        <v>1778</v>
      </c>
      <c r="E367" s="12" t="s">
        <v>1781</v>
      </c>
      <c r="F367" s="12">
        <v>154</v>
      </c>
      <c r="G367" s="12">
        <v>86</v>
      </c>
      <c r="H367" s="12">
        <v>68</v>
      </c>
      <c r="I367" s="12">
        <v>46</v>
      </c>
      <c r="J367" s="12">
        <v>15913</v>
      </c>
      <c r="K367" s="12">
        <v>20708.53</v>
      </c>
      <c r="L367" s="12">
        <v>1082084</v>
      </c>
      <c r="M367" s="12">
        <v>4</v>
      </c>
      <c r="N367" s="12">
        <v>5</v>
      </c>
      <c r="O367" s="12">
        <v>4.0999999999999996</v>
      </c>
      <c r="P367" s="14">
        <v>46071</v>
      </c>
      <c r="Q367" s="12" t="s">
        <v>1775</v>
      </c>
    </row>
    <row r="368" spans="1:17" x14ac:dyDescent="0.3">
      <c r="A368" s="12" t="s">
        <v>213</v>
      </c>
      <c r="B368" s="12" t="s">
        <v>214</v>
      </c>
      <c r="C368" s="12" t="s">
        <v>54</v>
      </c>
      <c r="D368" s="12" t="s">
        <v>1776</v>
      </c>
      <c r="E368" s="12" t="s">
        <v>1779</v>
      </c>
      <c r="F368" s="12">
        <v>326</v>
      </c>
      <c r="G368" s="12">
        <v>22</v>
      </c>
      <c r="H368" s="12">
        <v>304</v>
      </c>
      <c r="I368" s="12">
        <v>20</v>
      </c>
      <c r="J368" s="12">
        <v>53395</v>
      </c>
      <c r="K368" s="12">
        <v>61535.83</v>
      </c>
      <c r="L368" s="12">
        <v>16232080</v>
      </c>
      <c r="M368" s="12">
        <v>0</v>
      </c>
      <c r="N368" s="12">
        <v>13</v>
      </c>
      <c r="O368" s="12">
        <v>4.8</v>
      </c>
      <c r="P368" s="14">
        <v>46135</v>
      </c>
      <c r="Q368" s="12" t="s">
        <v>1775</v>
      </c>
    </row>
    <row r="369" spans="1:17" x14ac:dyDescent="0.3">
      <c r="A369" s="12" t="s">
        <v>62</v>
      </c>
      <c r="B369" s="12" t="s">
        <v>63</v>
      </c>
      <c r="C369" s="12" t="s">
        <v>54</v>
      </c>
      <c r="D369" s="12" t="s">
        <v>1778</v>
      </c>
      <c r="E369" s="12" t="s">
        <v>1779</v>
      </c>
      <c r="F369" s="12">
        <v>391</v>
      </c>
      <c r="G369" s="12">
        <v>14</v>
      </c>
      <c r="H369" s="12">
        <v>377</v>
      </c>
      <c r="I369" s="12">
        <v>36</v>
      </c>
      <c r="J369" s="12">
        <v>45382</v>
      </c>
      <c r="K369" s="12">
        <v>59451.06</v>
      </c>
      <c r="L369" s="12">
        <v>17109014</v>
      </c>
      <c r="M369" s="12">
        <v>2</v>
      </c>
      <c r="N369" s="12">
        <v>9</v>
      </c>
      <c r="O369" s="12">
        <v>4.3</v>
      </c>
      <c r="P369" s="14">
        <v>46188</v>
      </c>
      <c r="Q369" s="12" t="s">
        <v>1775</v>
      </c>
    </row>
    <row r="370" spans="1:17" x14ac:dyDescent="0.3">
      <c r="A370" s="12" t="s">
        <v>1365</v>
      </c>
      <c r="B370" s="12" t="s">
        <v>1366</v>
      </c>
      <c r="C370" s="12" t="s">
        <v>54</v>
      </c>
      <c r="D370" s="12" t="s">
        <v>1778</v>
      </c>
      <c r="E370" s="12" t="s">
        <v>1779</v>
      </c>
      <c r="F370" s="12">
        <v>427</v>
      </c>
      <c r="G370" s="12">
        <v>144</v>
      </c>
      <c r="H370" s="12">
        <v>283</v>
      </c>
      <c r="I370" s="12">
        <v>36</v>
      </c>
      <c r="J370" s="12">
        <v>57937</v>
      </c>
      <c r="K370" s="12">
        <v>79050.98</v>
      </c>
      <c r="L370" s="12">
        <v>16396171</v>
      </c>
      <c r="M370" s="12">
        <v>5</v>
      </c>
      <c r="N370" s="12">
        <v>14</v>
      </c>
      <c r="O370" s="12">
        <v>3.8</v>
      </c>
      <c r="P370" s="14">
        <v>46119</v>
      </c>
      <c r="Q370" s="12" t="s">
        <v>1775</v>
      </c>
    </row>
    <row r="371" spans="1:17" x14ac:dyDescent="0.3">
      <c r="A371" s="12" t="s">
        <v>234</v>
      </c>
      <c r="B371" s="12" t="s">
        <v>235</v>
      </c>
      <c r="C371" s="12" t="s">
        <v>102</v>
      </c>
      <c r="D371" s="12" t="s">
        <v>1776</v>
      </c>
      <c r="E371" s="12" t="s">
        <v>1781</v>
      </c>
      <c r="F371" s="12">
        <v>439</v>
      </c>
      <c r="G371" s="12">
        <v>121</v>
      </c>
      <c r="H371" s="12">
        <v>318</v>
      </c>
      <c r="I371" s="12">
        <v>39</v>
      </c>
      <c r="J371" s="12">
        <v>58088</v>
      </c>
      <c r="K371" s="12">
        <v>77752.95</v>
      </c>
      <c r="L371" s="12">
        <v>18471984</v>
      </c>
      <c r="M371" s="12">
        <v>2</v>
      </c>
      <c r="N371" s="12">
        <v>7</v>
      </c>
      <c r="O371" s="12">
        <v>3.9</v>
      </c>
      <c r="P371" s="14">
        <v>46171</v>
      </c>
      <c r="Q371" s="12" t="s">
        <v>1775</v>
      </c>
    </row>
    <row r="372" spans="1:17" x14ac:dyDescent="0.3">
      <c r="A372" s="12" t="s">
        <v>245</v>
      </c>
      <c r="B372" s="12" t="s">
        <v>246</v>
      </c>
      <c r="C372" s="12" t="s">
        <v>54</v>
      </c>
      <c r="D372" s="12" t="s">
        <v>1778</v>
      </c>
      <c r="E372" s="12" t="s">
        <v>1779</v>
      </c>
      <c r="F372" s="12">
        <v>137</v>
      </c>
      <c r="G372" s="12">
        <v>101</v>
      </c>
      <c r="H372" s="12">
        <v>36</v>
      </c>
      <c r="I372" s="12">
        <v>76</v>
      </c>
      <c r="J372" s="12">
        <v>16681</v>
      </c>
      <c r="K372" s="12">
        <v>20180.29</v>
      </c>
      <c r="L372" s="12">
        <v>600516</v>
      </c>
      <c r="M372" s="12">
        <v>1</v>
      </c>
      <c r="N372" s="12">
        <v>13</v>
      </c>
      <c r="O372" s="12">
        <v>4.3</v>
      </c>
      <c r="P372" s="14">
        <v>46170</v>
      </c>
      <c r="Q372" s="12" t="s">
        <v>1782</v>
      </c>
    </row>
    <row r="373" spans="1:17" x14ac:dyDescent="0.3">
      <c r="A373" s="12" t="s">
        <v>253</v>
      </c>
      <c r="B373" s="12" t="s">
        <v>254</v>
      </c>
      <c r="C373" s="12" t="s">
        <v>54</v>
      </c>
      <c r="D373" s="12" t="s">
        <v>1780</v>
      </c>
      <c r="E373" s="12" t="s">
        <v>1779</v>
      </c>
      <c r="F373" s="12">
        <v>161</v>
      </c>
      <c r="G373" s="12">
        <v>0</v>
      </c>
      <c r="H373" s="12">
        <v>161</v>
      </c>
      <c r="I373" s="12">
        <v>74</v>
      </c>
      <c r="J373" s="12">
        <v>2857</v>
      </c>
      <c r="K373" s="12">
        <v>3998.17</v>
      </c>
      <c r="L373" s="12">
        <v>459977</v>
      </c>
      <c r="M373" s="12">
        <v>3</v>
      </c>
      <c r="N373" s="12">
        <v>10</v>
      </c>
      <c r="O373" s="12">
        <v>4.0999999999999996</v>
      </c>
      <c r="P373" s="14">
        <v>46038</v>
      </c>
      <c r="Q373" s="12" t="s">
        <v>1775</v>
      </c>
    </row>
    <row r="374" spans="1:17" x14ac:dyDescent="0.3">
      <c r="A374" s="12" t="s">
        <v>131</v>
      </c>
      <c r="B374" s="12" t="s">
        <v>132</v>
      </c>
      <c r="C374" s="12" t="s">
        <v>71</v>
      </c>
      <c r="D374" s="12" t="s">
        <v>1776</v>
      </c>
      <c r="E374" s="12" t="s">
        <v>1779</v>
      </c>
      <c r="F374" s="12">
        <v>108</v>
      </c>
      <c r="G374" s="12">
        <v>58</v>
      </c>
      <c r="H374" s="12">
        <v>50</v>
      </c>
      <c r="I374" s="12">
        <v>68</v>
      </c>
      <c r="J374" s="12">
        <v>12814</v>
      </c>
      <c r="K374" s="12">
        <v>14576.46</v>
      </c>
      <c r="L374" s="12">
        <v>640700</v>
      </c>
      <c r="M374" s="12">
        <v>3</v>
      </c>
      <c r="N374" s="12">
        <v>14</v>
      </c>
      <c r="O374" s="12">
        <v>4</v>
      </c>
      <c r="P374" s="14">
        <v>46186</v>
      </c>
      <c r="Q374" s="12" t="s">
        <v>1782</v>
      </c>
    </row>
    <row r="375" spans="1:17" x14ac:dyDescent="0.3">
      <c r="A375" s="12" t="s">
        <v>141</v>
      </c>
      <c r="B375" s="12" t="s">
        <v>142</v>
      </c>
      <c r="C375" s="12" t="s">
        <v>71</v>
      </c>
      <c r="D375" s="12" t="s">
        <v>1780</v>
      </c>
      <c r="E375" s="12" t="s">
        <v>1774</v>
      </c>
      <c r="F375" s="12">
        <v>278</v>
      </c>
      <c r="G375" s="12">
        <v>221</v>
      </c>
      <c r="H375" s="12">
        <v>57</v>
      </c>
      <c r="I375" s="12">
        <v>61</v>
      </c>
      <c r="J375" s="12">
        <v>19064</v>
      </c>
      <c r="K375" s="12">
        <v>21250.33</v>
      </c>
      <c r="L375" s="12">
        <v>1086648</v>
      </c>
      <c r="M375" s="12">
        <v>1</v>
      </c>
      <c r="N375" s="12">
        <v>15</v>
      </c>
      <c r="O375" s="12">
        <v>3.6</v>
      </c>
      <c r="P375" s="14">
        <v>46158</v>
      </c>
      <c r="Q375" s="12" t="s">
        <v>1782</v>
      </c>
    </row>
    <row r="376" spans="1:17" x14ac:dyDescent="0.3">
      <c r="A376" s="12" t="s">
        <v>338</v>
      </c>
      <c r="B376" s="12" t="s">
        <v>339</v>
      </c>
      <c r="C376" s="12" t="s">
        <v>54</v>
      </c>
      <c r="D376" s="12" t="s">
        <v>1780</v>
      </c>
      <c r="E376" s="12" t="s">
        <v>1774</v>
      </c>
      <c r="F376" s="12">
        <v>401</v>
      </c>
      <c r="G376" s="12">
        <v>332</v>
      </c>
      <c r="H376" s="12">
        <v>69</v>
      </c>
      <c r="I376" s="12">
        <v>56</v>
      </c>
      <c r="J376" s="12">
        <v>31444</v>
      </c>
      <c r="K376" s="12">
        <v>35055.81</v>
      </c>
      <c r="L376" s="12">
        <v>2169636</v>
      </c>
      <c r="M376" s="12">
        <v>0</v>
      </c>
      <c r="N376" s="12">
        <v>15</v>
      </c>
      <c r="O376" s="12">
        <v>4</v>
      </c>
      <c r="P376" s="14">
        <v>46052</v>
      </c>
      <c r="Q376" s="12" t="s">
        <v>1775</v>
      </c>
    </row>
    <row r="377" spans="1:17" x14ac:dyDescent="0.3">
      <c r="A377" s="12" t="s">
        <v>574</v>
      </c>
      <c r="B377" s="12" t="s">
        <v>575</v>
      </c>
      <c r="C377" s="12" t="s">
        <v>30</v>
      </c>
      <c r="D377" s="12" t="s">
        <v>1778</v>
      </c>
      <c r="E377" s="12" t="s">
        <v>1781</v>
      </c>
      <c r="F377" s="12">
        <v>162</v>
      </c>
      <c r="G377" s="12">
        <v>34</v>
      </c>
      <c r="H377" s="12">
        <v>128</v>
      </c>
      <c r="I377" s="12">
        <v>39</v>
      </c>
      <c r="J377" s="12">
        <v>37492</v>
      </c>
      <c r="K377" s="12">
        <v>49449.65</v>
      </c>
      <c r="L377" s="12">
        <v>4798976</v>
      </c>
      <c r="M377" s="12">
        <v>4</v>
      </c>
      <c r="N377" s="12">
        <v>15</v>
      </c>
      <c r="O377" s="12">
        <v>3.6</v>
      </c>
      <c r="P377" s="14">
        <v>46122</v>
      </c>
      <c r="Q377" s="12" t="s">
        <v>1775</v>
      </c>
    </row>
    <row r="378" spans="1:17" x14ac:dyDescent="0.3">
      <c r="A378" s="12" t="s">
        <v>85</v>
      </c>
      <c r="B378" s="12" t="s">
        <v>86</v>
      </c>
      <c r="C378" s="12" t="s">
        <v>71</v>
      </c>
      <c r="D378" s="12" t="s">
        <v>1773</v>
      </c>
      <c r="E378" s="12" t="s">
        <v>1781</v>
      </c>
      <c r="F378" s="12">
        <v>479</v>
      </c>
      <c r="G378" s="12">
        <v>184</v>
      </c>
      <c r="H378" s="12">
        <v>295</v>
      </c>
      <c r="I378" s="12">
        <v>47</v>
      </c>
      <c r="J378" s="12">
        <v>50891</v>
      </c>
      <c r="K378" s="12">
        <v>66935.73</v>
      </c>
      <c r="L378" s="12">
        <v>15012845</v>
      </c>
      <c r="M378" s="12">
        <v>3</v>
      </c>
      <c r="N378" s="12">
        <v>3</v>
      </c>
      <c r="O378" s="12">
        <v>4.5999999999999996</v>
      </c>
      <c r="P378" s="14">
        <v>46106</v>
      </c>
      <c r="Q378" s="12" t="s">
        <v>1775</v>
      </c>
    </row>
    <row r="379" spans="1:17" x14ac:dyDescent="0.3">
      <c r="A379" s="12" t="s">
        <v>234</v>
      </c>
      <c r="B379" s="12" t="s">
        <v>235</v>
      </c>
      <c r="C379" s="12" t="s">
        <v>102</v>
      </c>
      <c r="D379" s="12" t="s">
        <v>1780</v>
      </c>
      <c r="E379" s="12" t="s">
        <v>1777</v>
      </c>
      <c r="F379" s="12">
        <v>476</v>
      </c>
      <c r="G379" s="12">
        <v>54</v>
      </c>
      <c r="H379" s="12">
        <v>422</v>
      </c>
      <c r="I379" s="12">
        <v>33</v>
      </c>
      <c r="J379" s="12">
        <v>53823</v>
      </c>
      <c r="K379" s="12">
        <v>71264.05</v>
      </c>
      <c r="L379" s="12">
        <v>22713306</v>
      </c>
      <c r="M379" s="12">
        <v>0</v>
      </c>
      <c r="N379" s="12">
        <v>3</v>
      </c>
      <c r="O379" s="12">
        <v>4.3</v>
      </c>
      <c r="P379" s="14">
        <v>46198</v>
      </c>
      <c r="Q379" s="12" t="s">
        <v>1775</v>
      </c>
    </row>
    <row r="380" spans="1:17" x14ac:dyDescent="0.3">
      <c r="A380" s="12" t="s">
        <v>106</v>
      </c>
      <c r="B380" s="12" t="s">
        <v>107</v>
      </c>
      <c r="C380" s="12" t="s">
        <v>30</v>
      </c>
      <c r="D380" s="12" t="s">
        <v>1780</v>
      </c>
      <c r="E380" s="12" t="s">
        <v>1781</v>
      </c>
      <c r="F380" s="12">
        <v>106</v>
      </c>
      <c r="G380" s="12">
        <v>14</v>
      </c>
      <c r="H380" s="12">
        <v>92</v>
      </c>
      <c r="I380" s="12">
        <v>64</v>
      </c>
      <c r="J380" s="12">
        <v>14365</v>
      </c>
      <c r="K380" s="12">
        <v>19918.18</v>
      </c>
      <c r="L380" s="12">
        <v>1321580</v>
      </c>
      <c r="M380" s="12">
        <v>4</v>
      </c>
      <c r="N380" s="12">
        <v>11</v>
      </c>
      <c r="O380" s="12">
        <v>3.9</v>
      </c>
      <c r="P380" s="14">
        <v>46175</v>
      </c>
      <c r="Q380" s="12" t="s">
        <v>1775</v>
      </c>
    </row>
    <row r="381" spans="1:17" x14ac:dyDescent="0.3">
      <c r="A381" s="12" t="s">
        <v>141</v>
      </c>
      <c r="B381" s="12" t="s">
        <v>142</v>
      </c>
      <c r="C381" s="12" t="s">
        <v>71</v>
      </c>
      <c r="D381" s="12" t="s">
        <v>1776</v>
      </c>
      <c r="E381" s="12" t="s">
        <v>1779</v>
      </c>
      <c r="F381" s="12">
        <v>55</v>
      </c>
      <c r="G381" s="12">
        <v>40</v>
      </c>
      <c r="H381" s="12">
        <v>15</v>
      </c>
      <c r="I381" s="12">
        <v>65</v>
      </c>
      <c r="J381" s="12">
        <v>46344</v>
      </c>
      <c r="K381" s="12">
        <v>57161.120000000003</v>
      </c>
      <c r="L381" s="12">
        <v>695160</v>
      </c>
      <c r="M381" s="12">
        <v>2</v>
      </c>
      <c r="N381" s="12">
        <v>15</v>
      </c>
      <c r="O381" s="12">
        <v>4.3</v>
      </c>
      <c r="P381" s="14">
        <v>46136</v>
      </c>
      <c r="Q381" s="12" t="s">
        <v>1782</v>
      </c>
    </row>
    <row r="382" spans="1:17" x14ac:dyDescent="0.3">
      <c r="A382" s="12" t="s">
        <v>504</v>
      </c>
      <c r="B382" s="12" t="s">
        <v>505</v>
      </c>
      <c r="C382" s="12" t="s">
        <v>54</v>
      </c>
      <c r="D382" s="12" t="s">
        <v>1778</v>
      </c>
      <c r="E382" s="12" t="s">
        <v>1779</v>
      </c>
      <c r="F382" s="12">
        <v>439</v>
      </c>
      <c r="G382" s="12">
        <v>438</v>
      </c>
      <c r="H382" s="12">
        <v>1</v>
      </c>
      <c r="I382" s="12">
        <v>51</v>
      </c>
      <c r="J382" s="12">
        <v>7329</v>
      </c>
      <c r="K382" s="12">
        <v>8512.09</v>
      </c>
      <c r="L382" s="12">
        <v>7329</v>
      </c>
      <c r="M382" s="12">
        <v>0</v>
      </c>
      <c r="N382" s="12">
        <v>12</v>
      </c>
      <c r="O382" s="12">
        <v>3.8</v>
      </c>
      <c r="P382" s="14">
        <v>46181</v>
      </c>
      <c r="Q382" s="12" t="s">
        <v>1782</v>
      </c>
    </row>
    <row r="383" spans="1:17" x14ac:dyDescent="0.3">
      <c r="A383" s="12" t="s">
        <v>184</v>
      </c>
      <c r="B383" s="12" t="s">
        <v>185</v>
      </c>
      <c r="C383" s="12" t="s">
        <v>102</v>
      </c>
      <c r="D383" s="12" t="s">
        <v>1776</v>
      </c>
      <c r="E383" s="12" t="s">
        <v>1777</v>
      </c>
      <c r="F383" s="12">
        <v>288</v>
      </c>
      <c r="G383" s="12">
        <v>233</v>
      </c>
      <c r="H383" s="12">
        <v>55</v>
      </c>
      <c r="I383" s="12">
        <v>79</v>
      </c>
      <c r="J383" s="12">
        <v>17172</v>
      </c>
      <c r="K383" s="12">
        <v>22474.45</v>
      </c>
      <c r="L383" s="12">
        <v>944460</v>
      </c>
      <c r="M383" s="12">
        <v>0</v>
      </c>
      <c r="N383" s="12">
        <v>11</v>
      </c>
      <c r="O383" s="12">
        <v>4.4000000000000004</v>
      </c>
      <c r="P383" s="14">
        <v>46134</v>
      </c>
      <c r="Q383" s="12" t="s">
        <v>1782</v>
      </c>
    </row>
    <row r="384" spans="1:17" x14ac:dyDescent="0.3">
      <c r="A384" s="12" t="s">
        <v>391</v>
      </c>
      <c r="B384" s="12" t="s">
        <v>392</v>
      </c>
      <c r="C384" s="12" t="s">
        <v>54</v>
      </c>
      <c r="D384" s="12" t="s">
        <v>1780</v>
      </c>
      <c r="E384" s="12" t="s">
        <v>1774</v>
      </c>
      <c r="F384" s="12">
        <v>486</v>
      </c>
      <c r="G384" s="12">
        <v>253</v>
      </c>
      <c r="H384" s="12">
        <v>233</v>
      </c>
      <c r="I384" s="12">
        <v>59</v>
      </c>
      <c r="J384" s="12">
        <v>35497</v>
      </c>
      <c r="K384" s="12">
        <v>44385.599999999999</v>
      </c>
      <c r="L384" s="12">
        <v>8270801</v>
      </c>
      <c r="M384" s="12">
        <v>5</v>
      </c>
      <c r="N384" s="12">
        <v>2</v>
      </c>
      <c r="O384" s="12">
        <v>3.8</v>
      </c>
      <c r="P384" s="14">
        <v>46083</v>
      </c>
      <c r="Q384" s="12" t="s">
        <v>1775</v>
      </c>
    </row>
    <row r="385" spans="1:17" x14ac:dyDescent="0.3">
      <c r="A385" s="12" t="s">
        <v>85</v>
      </c>
      <c r="B385" s="12" t="s">
        <v>86</v>
      </c>
      <c r="C385" s="12" t="s">
        <v>71</v>
      </c>
      <c r="D385" s="12" t="s">
        <v>1778</v>
      </c>
      <c r="E385" s="12" t="s">
        <v>1779</v>
      </c>
      <c r="F385" s="12">
        <v>454</v>
      </c>
      <c r="G385" s="12">
        <v>71</v>
      </c>
      <c r="H385" s="12">
        <v>383</v>
      </c>
      <c r="I385" s="12">
        <v>66</v>
      </c>
      <c r="J385" s="12">
        <v>44770</v>
      </c>
      <c r="K385" s="12">
        <v>60114.7</v>
      </c>
      <c r="L385" s="12">
        <v>17146910</v>
      </c>
      <c r="M385" s="12">
        <v>3</v>
      </c>
      <c r="N385" s="12">
        <v>7</v>
      </c>
      <c r="O385" s="12">
        <v>4.5</v>
      </c>
      <c r="P385" s="14">
        <v>46164</v>
      </c>
      <c r="Q385" s="12" t="s">
        <v>1775</v>
      </c>
    </row>
    <row r="386" spans="1:17" x14ac:dyDescent="0.3">
      <c r="A386" s="12" t="s">
        <v>69</v>
      </c>
      <c r="B386" s="12" t="s">
        <v>70</v>
      </c>
      <c r="C386" s="12" t="s">
        <v>71</v>
      </c>
      <c r="D386" s="12" t="s">
        <v>1773</v>
      </c>
      <c r="E386" s="12" t="s">
        <v>1774</v>
      </c>
      <c r="F386" s="12">
        <v>427</v>
      </c>
      <c r="G386" s="12">
        <v>324</v>
      </c>
      <c r="H386" s="12">
        <v>103</v>
      </c>
      <c r="I386" s="12">
        <v>25</v>
      </c>
      <c r="J386" s="12">
        <v>19176</v>
      </c>
      <c r="K386" s="12">
        <v>21152.81</v>
      </c>
      <c r="L386" s="12">
        <v>1975128</v>
      </c>
      <c r="M386" s="12">
        <v>0</v>
      </c>
      <c r="N386" s="12">
        <v>3</v>
      </c>
      <c r="O386" s="12">
        <v>4.8</v>
      </c>
      <c r="P386" s="14">
        <v>46075</v>
      </c>
      <c r="Q386" s="12" t="s">
        <v>1775</v>
      </c>
    </row>
    <row r="387" spans="1:17" x14ac:dyDescent="0.3">
      <c r="A387" s="12" t="s">
        <v>261</v>
      </c>
      <c r="B387" s="12" t="s">
        <v>262</v>
      </c>
      <c r="C387" s="12" t="s">
        <v>102</v>
      </c>
      <c r="D387" s="12" t="s">
        <v>1780</v>
      </c>
      <c r="E387" s="12" t="s">
        <v>1781</v>
      </c>
      <c r="F387" s="12">
        <v>179</v>
      </c>
      <c r="G387" s="12">
        <v>93</v>
      </c>
      <c r="H387" s="12">
        <v>86</v>
      </c>
      <c r="I387" s="12">
        <v>45</v>
      </c>
      <c r="J387" s="12">
        <v>21849</v>
      </c>
      <c r="K387" s="12">
        <v>30293</v>
      </c>
      <c r="L387" s="12">
        <v>1879014</v>
      </c>
      <c r="M387" s="12">
        <v>5</v>
      </c>
      <c r="N387" s="12">
        <v>9</v>
      </c>
      <c r="O387" s="12">
        <v>4</v>
      </c>
      <c r="P387" s="14">
        <v>46130</v>
      </c>
      <c r="Q387" s="12" t="s">
        <v>1775</v>
      </c>
    </row>
    <row r="388" spans="1:17" x14ac:dyDescent="0.3">
      <c r="A388" s="12" t="s">
        <v>451</v>
      </c>
      <c r="B388" s="12" t="s">
        <v>452</v>
      </c>
      <c r="C388" s="12" t="s">
        <v>30</v>
      </c>
      <c r="D388" s="12" t="s">
        <v>1778</v>
      </c>
      <c r="E388" s="12" t="s">
        <v>1779</v>
      </c>
      <c r="F388" s="12">
        <v>196</v>
      </c>
      <c r="G388" s="12">
        <v>111</v>
      </c>
      <c r="H388" s="12">
        <v>85</v>
      </c>
      <c r="I388" s="12">
        <v>61</v>
      </c>
      <c r="J388" s="12">
        <v>18251</v>
      </c>
      <c r="K388" s="12">
        <v>22373.97</v>
      </c>
      <c r="L388" s="12">
        <v>1551335</v>
      </c>
      <c r="M388" s="12">
        <v>5</v>
      </c>
      <c r="N388" s="12">
        <v>2</v>
      </c>
      <c r="O388" s="12">
        <v>3.7</v>
      </c>
      <c r="P388" s="14">
        <v>46104</v>
      </c>
      <c r="Q388" s="12" t="s">
        <v>1775</v>
      </c>
    </row>
    <row r="389" spans="1:17" x14ac:dyDescent="0.3">
      <c r="A389" s="12" t="s">
        <v>118</v>
      </c>
      <c r="B389" s="12" t="s">
        <v>119</v>
      </c>
      <c r="C389" s="12" t="s">
        <v>54</v>
      </c>
      <c r="D389" s="12" t="s">
        <v>1780</v>
      </c>
      <c r="E389" s="12" t="s">
        <v>1774</v>
      </c>
      <c r="F389" s="12">
        <v>375</v>
      </c>
      <c r="G389" s="12">
        <v>308</v>
      </c>
      <c r="H389" s="12">
        <v>67</v>
      </c>
      <c r="I389" s="12">
        <v>22</v>
      </c>
      <c r="J389" s="12">
        <v>8555</v>
      </c>
      <c r="K389" s="12">
        <v>9684.57</v>
      </c>
      <c r="L389" s="12">
        <v>573185</v>
      </c>
      <c r="M389" s="12">
        <v>1</v>
      </c>
      <c r="N389" s="12">
        <v>11</v>
      </c>
      <c r="O389" s="12">
        <v>3.6</v>
      </c>
      <c r="P389" s="14">
        <v>46077</v>
      </c>
      <c r="Q389" s="12" t="s">
        <v>1775</v>
      </c>
    </row>
    <row r="390" spans="1:17" x14ac:dyDescent="0.3">
      <c r="A390" s="12" t="s">
        <v>118</v>
      </c>
      <c r="B390" s="12" t="s">
        <v>119</v>
      </c>
      <c r="C390" s="12" t="s">
        <v>54</v>
      </c>
      <c r="D390" s="12" t="s">
        <v>1776</v>
      </c>
      <c r="E390" s="12" t="s">
        <v>1774</v>
      </c>
      <c r="F390" s="12">
        <v>168</v>
      </c>
      <c r="G390" s="12">
        <v>132</v>
      </c>
      <c r="H390" s="12">
        <v>36</v>
      </c>
      <c r="I390" s="12">
        <v>65</v>
      </c>
      <c r="J390" s="12">
        <v>41462</v>
      </c>
      <c r="K390" s="12">
        <v>54345.95</v>
      </c>
      <c r="L390" s="12">
        <v>1492632</v>
      </c>
      <c r="M390" s="12">
        <v>2</v>
      </c>
      <c r="N390" s="12">
        <v>4</v>
      </c>
      <c r="O390" s="12">
        <v>4.7</v>
      </c>
      <c r="P390" s="14">
        <v>46150</v>
      </c>
      <c r="Q390" s="12" t="s">
        <v>1782</v>
      </c>
    </row>
    <row r="391" spans="1:17" x14ac:dyDescent="0.3">
      <c r="A391" s="12" t="s">
        <v>176</v>
      </c>
      <c r="B391" s="12" t="s">
        <v>177</v>
      </c>
      <c r="C391" s="12" t="s">
        <v>54</v>
      </c>
      <c r="D391" s="12" t="s">
        <v>1778</v>
      </c>
      <c r="E391" s="12" t="s">
        <v>1774</v>
      </c>
      <c r="F391" s="12">
        <v>464</v>
      </c>
      <c r="G391" s="12">
        <v>327</v>
      </c>
      <c r="H391" s="12">
        <v>137</v>
      </c>
      <c r="I391" s="12">
        <v>71</v>
      </c>
      <c r="J391" s="12">
        <v>49655</v>
      </c>
      <c r="K391" s="12">
        <v>57508.34</v>
      </c>
      <c r="L391" s="12">
        <v>6802735</v>
      </c>
      <c r="M391" s="12">
        <v>0</v>
      </c>
      <c r="N391" s="12">
        <v>13</v>
      </c>
      <c r="O391" s="12">
        <v>4.4000000000000004</v>
      </c>
      <c r="P391" s="14">
        <v>46197</v>
      </c>
      <c r="Q391" s="12" t="s">
        <v>1775</v>
      </c>
    </row>
    <row r="392" spans="1:17" x14ac:dyDescent="0.3">
      <c r="A392" s="12" t="s">
        <v>678</v>
      </c>
      <c r="B392" s="12" t="s">
        <v>679</v>
      </c>
      <c r="C392" s="12" t="s">
        <v>54</v>
      </c>
      <c r="D392" s="12" t="s">
        <v>1778</v>
      </c>
      <c r="E392" s="12" t="s">
        <v>1779</v>
      </c>
      <c r="F392" s="12">
        <v>416</v>
      </c>
      <c r="G392" s="12">
        <v>290</v>
      </c>
      <c r="H392" s="12">
        <v>126</v>
      </c>
      <c r="I392" s="12">
        <v>74</v>
      </c>
      <c r="J392" s="12">
        <v>27109</v>
      </c>
      <c r="K392" s="12">
        <v>34552.480000000003</v>
      </c>
      <c r="L392" s="12">
        <v>3415734</v>
      </c>
      <c r="M392" s="12">
        <v>4</v>
      </c>
      <c r="N392" s="12">
        <v>8</v>
      </c>
      <c r="O392" s="12">
        <v>3.9</v>
      </c>
      <c r="P392" s="14">
        <v>46117</v>
      </c>
      <c r="Q392" s="12" t="s">
        <v>1775</v>
      </c>
    </row>
    <row r="393" spans="1:17" x14ac:dyDescent="0.3">
      <c r="A393" s="12" t="s">
        <v>231</v>
      </c>
      <c r="B393" s="12" t="s">
        <v>232</v>
      </c>
      <c r="C393" s="12" t="s">
        <v>54</v>
      </c>
      <c r="D393" s="12" t="s">
        <v>1773</v>
      </c>
      <c r="E393" s="12" t="s">
        <v>1781</v>
      </c>
      <c r="F393" s="12">
        <v>208</v>
      </c>
      <c r="G393" s="12">
        <v>164</v>
      </c>
      <c r="H393" s="12">
        <v>44</v>
      </c>
      <c r="I393" s="12">
        <v>32</v>
      </c>
      <c r="J393" s="12">
        <v>48998</v>
      </c>
      <c r="K393" s="12">
        <v>60596.32</v>
      </c>
      <c r="L393" s="12">
        <v>2155912</v>
      </c>
      <c r="M393" s="12">
        <v>1</v>
      </c>
      <c r="N393" s="12">
        <v>8</v>
      </c>
      <c r="O393" s="12">
        <v>4.4000000000000004</v>
      </c>
      <c r="P393" s="14">
        <v>46088</v>
      </c>
      <c r="Q393" s="12" t="s">
        <v>1775</v>
      </c>
    </row>
    <row r="394" spans="1:17" x14ac:dyDescent="0.3">
      <c r="A394" s="12" t="s">
        <v>164</v>
      </c>
      <c r="B394" s="12" t="s">
        <v>165</v>
      </c>
      <c r="C394" s="12" t="s">
        <v>102</v>
      </c>
      <c r="D394" s="12" t="s">
        <v>1773</v>
      </c>
      <c r="E394" s="12" t="s">
        <v>1781</v>
      </c>
      <c r="F394" s="12">
        <v>236</v>
      </c>
      <c r="G394" s="12">
        <v>112</v>
      </c>
      <c r="H394" s="12">
        <v>124</v>
      </c>
      <c r="I394" s="12">
        <v>30</v>
      </c>
      <c r="J394" s="12">
        <v>7032</v>
      </c>
      <c r="K394" s="12">
        <v>8161.88</v>
      </c>
      <c r="L394" s="12">
        <v>871968</v>
      </c>
      <c r="M394" s="12">
        <v>4</v>
      </c>
      <c r="N394" s="12">
        <v>14</v>
      </c>
      <c r="O394" s="12">
        <v>4.3</v>
      </c>
      <c r="P394" s="14">
        <v>46031</v>
      </c>
      <c r="Q394" s="12" t="s">
        <v>1775</v>
      </c>
    </row>
    <row r="395" spans="1:17" x14ac:dyDescent="0.3">
      <c r="A395" s="12" t="s">
        <v>156</v>
      </c>
      <c r="B395" s="12" t="s">
        <v>157</v>
      </c>
      <c r="C395" s="12" t="s">
        <v>30</v>
      </c>
      <c r="D395" s="12" t="s">
        <v>1773</v>
      </c>
      <c r="E395" s="12" t="s">
        <v>1777</v>
      </c>
      <c r="F395" s="12">
        <v>341</v>
      </c>
      <c r="G395" s="12">
        <v>80</v>
      </c>
      <c r="H395" s="12">
        <v>261</v>
      </c>
      <c r="I395" s="12">
        <v>50</v>
      </c>
      <c r="J395" s="12">
        <v>30912</v>
      </c>
      <c r="K395" s="12">
        <v>37519.800000000003</v>
      </c>
      <c r="L395" s="12">
        <v>8068032</v>
      </c>
      <c r="M395" s="12">
        <v>5</v>
      </c>
      <c r="N395" s="12">
        <v>11</v>
      </c>
      <c r="O395" s="12">
        <v>4.4000000000000004</v>
      </c>
      <c r="P395" s="14">
        <v>46172</v>
      </c>
      <c r="Q395" s="12" t="s">
        <v>1775</v>
      </c>
    </row>
    <row r="396" spans="1:17" x14ac:dyDescent="0.3">
      <c r="A396" s="12" t="s">
        <v>316</v>
      </c>
      <c r="B396" s="12" t="s">
        <v>317</v>
      </c>
      <c r="C396" s="12" t="s">
        <v>54</v>
      </c>
      <c r="D396" s="12" t="s">
        <v>1776</v>
      </c>
      <c r="E396" s="12" t="s">
        <v>1781</v>
      </c>
      <c r="F396" s="12">
        <v>423</v>
      </c>
      <c r="G396" s="12">
        <v>229</v>
      </c>
      <c r="H396" s="12">
        <v>194</v>
      </c>
      <c r="I396" s="12">
        <v>30</v>
      </c>
      <c r="J396" s="12">
        <v>18137</v>
      </c>
      <c r="K396" s="12">
        <v>23687.77</v>
      </c>
      <c r="L396" s="12">
        <v>3518578</v>
      </c>
      <c r="M396" s="12">
        <v>5</v>
      </c>
      <c r="N396" s="12">
        <v>10</v>
      </c>
      <c r="O396" s="12">
        <v>4.2</v>
      </c>
      <c r="P396" s="14">
        <v>46146</v>
      </c>
      <c r="Q396" s="12" t="s">
        <v>1775</v>
      </c>
    </row>
    <row r="397" spans="1:17" x14ac:dyDescent="0.3">
      <c r="A397" s="12" t="s">
        <v>461</v>
      </c>
      <c r="B397" s="12" t="s">
        <v>462</v>
      </c>
      <c r="C397" s="12" t="s">
        <v>71</v>
      </c>
      <c r="D397" s="12" t="s">
        <v>1773</v>
      </c>
      <c r="E397" s="12" t="s">
        <v>1781</v>
      </c>
      <c r="F397" s="12">
        <v>444</v>
      </c>
      <c r="G397" s="12">
        <v>272</v>
      </c>
      <c r="H397" s="12">
        <v>172</v>
      </c>
      <c r="I397" s="12">
        <v>78</v>
      </c>
      <c r="J397" s="12">
        <v>54077</v>
      </c>
      <c r="K397" s="12">
        <v>75451.31</v>
      </c>
      <c r="L397" s="12">
        <v>9301244</v>
      </c>
      <c r="M397" s="12">
        <v>1</v>
      </c>
      <c r="N397" s="12">
        <v>11</v>
      </c>
      <c r="O397" s="12">
        <v>4.7</v>
      </c>
      <c r="P397" s="14">
        <v>46074</v>
      </c>
      <c r="Q397" s="12" t="s">
        <v>1775</v>
      </c>
    </row>
    <row r="398" spans="1:17" x14ac:dyDescent="0.3">
      <c r="A398" s="12" t="s">
        <v>759</v>
      </c>
      <c r="B398" s="12" t="s">
        <v>760</v>
      </c>
      <c r="C398" s="12" t="s">
        <v>71</v>
      </c>
      <c r="D398" s="12" t="s">
        <v>1778</v>
      </c>
      <c r="E398" s="12" t="s">
        <v>1774</v>
      </c>
      <c r="F398" s="12">
        <v>178</v>
      </c>
      <c r="G398" s="12">
        <v>106</v>
      </c>
      <c r="H398" s="12">
        <v>72</v>
      </c>
      <c r="I398" s="12">
        <v>79</v>
      </c>
      <c r="J398" s="12">
        <v>44785</v>
      </c>
      <c r="K398" s="12">
        <v>59081.11</v>
      </c>
      <c r="L398" s="12">
        <v>3224520</v>
      </c>
      <c r="M398" s="12">
        <v>2</v>
      </c>
      <c r="N398" s="12">
        <v>15</v>
      </c>
      <c r="O398" s="12">
        <v>4.5999999999999996</v>
      </c>
      <c r="P398" s="14">
        <v>46168</v>
      </c>
      <c r="Q398" s="12" t="s">
        <v>1782</v>
      </c>
    </row>
    <row r="399" spans="1:17" x14ac:dyDescent="0.3">
      <c r="A399" s="12" t="s">
        <v>269</v>
      </c>
      <c r="B399" s="12" t="s">
        <v>270</v>
      </c>
      <c r="C399" s="12" t="s">
        <v>71</v>
      </c>
      <c r="D399" s="12" t="s">
        <v>1776</v>
      </c>
      <c r="E399" s="12" t="s">
        <v>1774</v>
      </c>
      <c r="F399" s="12">
        <v>410</v>
      </c>
      <c r="G399" s="12">
        <v>361</v>
      </c>
      <c r="H399" s="12">
        <v>49</v>
      </c>
      <c r="I399" s="12">
        <v>26</v>
      </c>
      <c r="J399" s="12">
        <v>58110</v>
      </c>
      <c r="K399" s="12">
        <v>81105.48</v>
      </c>
      <c r="L399" s="12">
        <v>2847390</v>
      </c>
      <c r="M399" s="12">
        <v>3</v>
      </c>
      <c r="N399" s="12">
        <v>3</v>
      </c>
      <c r="O399" s="12">
        <v>3.6</v>
      </c>
      <c r="P399" s="14">
        <v>46152</v>
      </c>
      <c r="Q399" s="12" t="s">
        <v>1775</v>
      </c>
    </row>
    <row r="400" spans="1:17" x14ac:dyDescent="0.3">
      <c r="A400" s="12" t="s">
        <v>342</v>
      </c>
      <c r="B400" s="12" t="s">
        <v>343</v>
      </c>
      <c r="C400" s="12" t="s">
        <v>54</v>
      </c>
      <c r="D400" s="12" t="s">
        <v>1773</v>
      </c>
      <c r="E400" s="12" t="s">
        <v>1781</v>
      </c>
      <c r="F400" s="12">
        <v>252</v>
      </c>
      <c r="G400" s="12">
        <v>230</v>
      </c>
      <c r="H400" s="12">
        <v>22</v>
      </c>
      <c r="I400" s="12">
        <v>71</v>
      </c>
      <c r="J400" s="12">
        <v>46453</v>
      </c>
      <c r="K400" s="12">
        <v>61264.08</v>
      </c>
      <c r="L400" s="12">
        <v>1021966</v>
      </c>
      <c r="M400" s="12">
        <v>5</v>
      </c>
      <c r="N400" s="12">
        <v>14</v>
      </c>
      <c r="O400" s="12">
        <v>3.6</v>
      </c>
      <c r="P400" s="14">
        <v>46151</v>
      </c>
      <c r="Q400" s="12" t="s">
        <v>1782</v>
      </c>
    </row>
    <row r="401" spans="1:17" x14ac:dyDescent="0.3">
      <c r="A401" s="12" t="s">
        <v>176</v>
      </c>
      <c r="B401" s="12" t="s">
        <v>177</v>
      </c>
      <c r="C401" s="12" t="s">
        <v>54</v>
      </c>
      <c r="D401" s="12" t="s">
        <v>1776</v>
      </c>
      <c r="E401" s="12" t="s">
        <v>1779</v>
      </c>
      <c r="F401" s="12">
        <v>173</v>
      </c>
      <c r="G401" s="12">
        <v>14</v>
      </c>
      <c r="H401" s="12">
        <v>159</v>
      </c>
      <c r="I401" s="12">
        <v>32</v>
      </c>
      <c r="J401" s="12">
        <v>11125</v>
      </c>
      <c r="K401" s="12">
        <v>13723.05</v>
      </c>
      <c r="L401" s="12">
        <v>1768875</v>
      </c>
      <c r="M401" s="12">
        <v>0</v>
      </c>
      <c r="N401" s="12">
        <v>9</v>
      </c>
      <c r="O401" s="12">
        <v>4.3</v>
      </c>
      <c r="P401" s="14">
        <v>46103</v>
      </c>
      <c r="Q401" s="12" t="s">
        <v>1775</v>
      </c>
    </row>
    <row r="402" spans="1:17" x14ac:dyDescent="0.3">
      <c r="A402" s="12" t="s">
        <v>160</v>
      </c>
      <c r="B402" s="12" t="s">
        <v>161</v>
      </c>
      <c r="C402" s="12" t="s">
        <v>102</v>
      </c>
      <c r="D402" s="12" t="s">
        <v>1773</v>
      </c>
      <c r="E402" s="12" t="s">
        <v>1779</v>
      </c>
      <c r="F402" s="12">
        <v>176</v>
      </c>
      <c r="G402" s="12">
        <v>78</v>
      </c>
      <c r="H402" s="12">
        <v>98</v>
      </c>
      <c r="I402" s="12">
        <v>73</v>
      </c>
      <c r="J402" s="12">
        <v>28036</v>
      </c>
      <c r="K402" s="12">
        <v>39126.19</v>
      </c>
      <c r="L402" s="12">
        <v>2747528</v>
      </c>
      <c r="M402" s="12">
        <v>1</v>
      </c>
      <c r="N402" s="12">
        <v>7</v>
      </c>
      <c r="O402" s="12">
        <v>3.8</v>
      </c>
      <c r="P402" s="14">
        <v>46169</v>
      </c>
      <c r="Q402" s="12" t="s">
        <v>1775</v>
      </c>
    </row>
    <row r="403" spans="1:17" x14ac:dyDescent="0.3">
      <c r="A403" s="12" t="s">
        <v>152</v>
      </c>
      <c r="B403" s="12" t="s">
        <v>153</v>
      </c>
      <c r="C403" s="12" t="s">
        <v>54</v>
      </c>
      <c r="D403" s="12" t="s">
        <v>1778</v>
      </c>
      <c r="E403" s="12" t="s">
        <v>1779</v>
      </c>
      <c r="F403" s="12">
        <v>455</v>
      </c>
      <c r="G403" s="12">
        <v>129</v>
      </c>
      <c r="H403" s="12">
        <v>326</v>
      </c>
      <c r="I403" s="12">
        <v>72</v>
      </c>
      <c r="J403" s="12">
        <v>37543</v>
      </c>
      <c r="K403" s="12">
        <v>42410.96</v>
      </c>
      <c r="L403" s="12">
        <v>12239018</v>
      </c>
      <c r="M403" s="12">
        <v>4</v>
      </c>
      <c r="N403" s="12">
        <v>3</v>
      </c>
      <c r="O403" s="12">
        <v>4.5999999999999996</v>
      </c>
      <c r="P403" s="14">
        <v>46138</v>
      </c>
      <c r="Q403" s="12" t="s">
        <v>1775</v>
      </c>
    </row>
    <row r="404" spans="1:17" x14ac:dyDescent="0.3">
      <c r="A404" s="12" t="s">
        <v>358</v>
      </c>
      <c r="B404" s="12" t="s">
        <v>359</v>
      </c>
      <c r="C404" s="12" t="s">
        <v>102</v>
      </c>
      <c r="D404" s="12" t="s">
        <v>1780</v>
      </c>
      <c r="E404" s="12" t="s">
        <v>1781</v>
      </c>
      <c r="F404" s="12">
        <v>276</v>
      </c>
      <c r="G404" s="12">
        <v>98</v>
      </c>
      <c r="H404" s="12">
        <v>178</v>
      </c>
      <c r="I404" s="12">
        <v>43</v>
      </c>
      <c r="J404" s="12">
        <v>46107</v>
      </c>
      <c r="K404" s="12">
        <v>54927.08</v>
      </c>
      <c r="L404" s="12">
        <v>8207046</v>
      </c>
      <c r="M404" s="12">
        <v>3</v>
      </c>
      <c r="N404" s="12">
        <v>4</v>
      </c>
      <c r="O404" s="12">
        <v>4.8</v>
      </c>
      <c r="P404" s="14">
        <v>46057</v>
      </c>
      <c r="Q404" s="12" t="s">
        <v>1775</v>
      </c>
    </row>
    <row r="405" spans="1:17" x14ac:dyDescent="0.3">
      <c r="A405" s="12" t="s">
        <v>184</v>
      </c>
      <c r="B405" s="12" t="s">
        <v>185</v>
      </c>
      <c r="C405" s="12" t="s">
        <v>102</v>
      </c>
      <c r="D405" s="12" t="s">
        <v>1778</v>
      </c>
      <c r="E405" s="12" t="s">
        <v>1774</v>
      </c>
      <c r="F405" s="12">
        <v>226</v>
      </c>
      <c r="G405" s="12">
        <v>10</v>
      </c>
      <c r="H405" s="12">
        <v>216</v>
      </c>
      <c r="I405" s="12">
        <v>52</v>
      </c>
      <c r="J405" s="12">
        <v>15777</v>
      </c>
      <c r="K405" s="12">
        <v>20438.63</v>
      </c>
      <c r="L405" s="12">
        <v>3407832</v>
      </c>
      <c r="M405" s="12">
        <v>0</v>
      </c>
      <c r="N405" s="12">
        <v>9</v>
      </c>
      <c r="O405" s="12">
        <v>3.7</v>
      </c>
      <c r="P405" s="14">
        <v>46096</v>
      </c>
      <c r="Q405" s="12" t="s">
        <v>1775</v>
      </c>
    </row>
    <row r="406" spans="1:17" x14ac:dyDescent="0.3">
      <c r="A406" s="12" t="s">
        <v>100</v>
      </c>
      <c r="B406" s="12" t="s">
        <v>101</v>
      </c>
      <c r="C406" s="12" t="s">
        <v>102</v>
      </c>
      <c r="D406" s="12" t="s">
        <v>1778</v>
      </c>
      <c r="E406" s="12" t="s">
        <v>1777</v>
      </c>
      <c r="F406" s="12">
        <v>374</v>
      </c>
      <c r="G406" s="12">
        <v>145</v>
      </c>
      <c r="H406" s="12">
        <v>229</v>
      </c>
      <c r="I406" s="12">
        <v>40</v>
      </c>
      <c r="J406" s="12">
        <v>3677</v>
      </c>
      <c r="K406" s="12">
        <v>4148.6499999999996</v>
      </c>
      <c r="L406" s="12">
        <v>842033</v>
      </c>
      <c r="M406" s="12">
        <v>0</v>
      </c>
      <c r="N406" s="12">
        <v>12</v>
      </c>
      <c r="O406" s="12">
        <v>4.4000000000000004</v>
      </c>
      <c r="P406" s="14">
        <v>46145</v>
      </c>
      <c r="Q406" s="12" t="s">
        <v>1775</v>
      </c>
    </row>
    <row r="407" spans="1:17" x14ac:dyDescent="0.3">
      <c r="A407" s="12" t="s">
        <v>269</v>
      </c>
      <c r="B407" s="12" t="s">
        <v>270</v>
      </c>
      <c r="C407" s="12" t="s">
        <v>71</v>
      </c>
      <c r="D407" s="12" t="s">
        <v>1780</v>
      </c>
      <c r="E407" s="12" t="s">
        <v>1779</v>
      </c>
      <c r="F407" s="12">
        <v>186</v>
      </c>
      <c r="G407" s="12">
        <v>35</v>
      </c>
      <c r="H407" s="12">
        <v>151</v>
      </c>
      <c r="I407" s="12">
        <v>58</v>
      </c>
      <c r="J407" s="12">
        <v>18160</v>
      </c>
      <c r="K407" s="12">
        <v>21156.9</v>
      </c>
      <c r="L407" s="12">
        <v>2742160</v>
      </c>
      <c r="M407" s="12">
        <v>1</v>
      </c>
      <c r="N407" s="12">
        <v>6</v>
      </c>
      <c r="O407" s="12">
        <v>4.4000000000000004</v>
      </c>
      <c r="P407" s="14">
        <v>46082</v>
      </c>
      <c r="Q407" s="12" t="s">
        <v>1775</v>
      </c>
    </row>
    <row r="408" spans="1:17" x14ac:dyDescent="0.3">
      <c r="A408" s="12" t="s">
        <v>62</v>
      </c>
      <c r="B408" s="12" t="s">
        <v>63</v>
      </c>
      <c r="C408" s="12" t="s">
        <v>54</v>
      </c>
      <c r="D408" s="12" t="s">
        <v>1778</v>
      </c>
      <c r="E408" s="12" t="s">
        <v>1779</v>
      </c>
      <c r="F408" s="12">
        <v>102</v>
      </c>
      <c r="G408" s="12">
        <v>101</v>
      </c>
      <c r="H408" s="12">
        <v>1</v>
      </c>
      <c r="I408" s="12">
        <v>58</v>
      </c>
      <c r="J408" s="12">
        <v>19306</v>
      </c>
      <c r="K408" s="12">
        <v>21459.91</v>
      </c>
      <c r="L408" s="12">
        <v>19306</v>
      </c>
      <c r="M408" s="12">
        <v>4</v>
      </c>
      <c r="N408" s="12">
        <v>8</v>
      </c>
      <c r="O408" s="12">
        <v>3.8</v>
      </c>
      <c r="P408" s="14">
        <v>46060</v>
      </c>
      <c r="Q408" s="12" t="s">
        <v>1782</v>
      </c>
    </row>
    <row r="409" spans="1:17" x14ac:dyDescent="0.3">
      <c r="A409" s="12" t="s">
        <v>168</v>
      </c>
      <c r="B409" s="12" t="s">
        <v>169</v>
      </c>
      <c r="C409" s="12" t="s">
        <v>102</v>
      </c>
      <c r="D409" s="12" t="s">
        <v>1778</v>
      </c>
      <c r="E409" s="12" t="s">
        <v>1781</v>
      </c>
      <c r="F409" s="12">
        <v>361</v>
      </c>
      <c r="G409" s="12">
        <v>206</v>
      </c>
      <c r="H409" s="12">
        <v>155</v>
      </c>
      <c r="I409" s="12">
        <v>63</v>
      </c>
      <c r="J409" s="12">
        <v>34566</v>
      </c>
      <c r="K409" s="12">
        <v>40334.89</v>
      </c>
      <c r="L409" s="12">
        <v>5357730</v>
      </c>
      <c r="M409" s="12">
        <v>3</v>
      </c>
      <c r="N409" s="12">
        <v>11</v>
      </c>
      <c r="O409" s="12">
        <v>4.2</v>
      </c>
      <c r="P409" s="14">
        <v>46053</v>
      </c>
      <c r="Q409" s="12" t="s">
        <v>1775</v>
      </c>
    </row>
    <row r="410" spans="1:17" x14ac:dyDescent="0.3">
      <c r="A410" s="12" t="s">
        <v>127</v>
      </c>
      <c r="B410" s="12" t="s">
        <v>128</v>
      </c>
      <c r="C410" s="12" t="s">
        <v>102</v>
      </c>
      <c r="D410" s="12" t="s">
        <v>1773</v>
      </c>
      <c r="E410" s="12" t="s">
        <v>1781</v>
      </c>
      <c r="F410" s="12">
        <v>299</v>
      </c>
      <c r="G410" s="12">
        <v>94</v>
      </c>
      <c r="H410" s="12">
        <v>205</v>
      </c>
      <c r="I410" s="12">
        <v>36</v>
      </c>
      <c r="J410" s="12">
        <v>28160</v>
      </c>
      <c r="K410" s="12">
        <v>36411.379999999997</v>
      </c>
      <c r="L410" s="12">
        <v>5772800</v>
      </c>
      <c r="M410" s="12">
        <v>5</v>
      </c>
      <c r="N410" s="12">
        <v>6</v>
      </c>
      <c r="O410" s="12">
        <v>3.8</v>
      </c>
      <c r="P410" s="14">
        <v>46059</v>
      </c>
      <c r="Q410" s="12" t="s">
        <v>1775</v>
      </c>
    </row>
    <row r="411" spans="1:17" x14ac:dyDescent="0.3">
      <c r="A411" s="12" t="s">
        <v>735</v>
      </c>
      <c r="B411" s="12" t="s">
        <v>736</v>
      </c>
      <c r="C411" s="12" t="s">
        <v>54</v>
      </c>
      <c r="D411" s="12" t="s">
        <v>1776</v>
      </c>
      <c r="E411" s="12" t="s">
        <v>1779</v>
      </c>
      <c r="F411" s="12">
        <v>299</v>
      </c>
      <c r="G411" s="12">
        <v>51</v>
      </c>
      <c r="H411" s="12">
        <v>248</v>
      </c>
      <c r="I411" s="12">
        <v>41</v>
      </c>
      <c r="J411" s="12">
        <v>44009</v>
      </c>
      <c r="K411" s="12">
        <v>51196.73</v>
      </c>
      <c r="L411" s="12">
        <v>10914232</v>
      </c>
      <c r="M411" s="12">
        <v>2</v>
      </c>
      <c r="N411" s="12">
        <v>10</v>
      </c>
      <c r="O411" s="12">
        <v>4.3</v>
      </c>
      <c r="P411" s="14">
        <v>46092</v>
      </c>
      <c r="Q411" s="12" t="s">
        <v>1775</v>
      </c>
    </row>
    <row r="412" spans="1:17" x14ac:dyDescent="0.3">
      <c r="A412" s="12" t="s">
        <v>816</v>
      </c>
      <c r="B412" s="12" t="s">
        <v>817</v>
      </c>
      <c r="C412" s="12" t="s">
        <v>54</v>
      </c>
      <c r="D412" s="12" t="s">
        <v>1776</v>
      </c>
      <c r="E412" s="12" t="s">
        <v>1779</v>
      </c>
      <c r="F412" s="12">
        <v>295</v>
      </c>
      <c r="G412" s="12">
        <v>250</v>
      </c>
      <c r="H412" s="12">
        <v>45</v>
      </c>
      <c r="I412" s="12">
        <v>39</v>
      </c>
      <c r="J412" s="12">
        <v>789</v>
      </c>
      <c r="K412" s="12">
        <v>975.62</v>
      </c>
      <c r="L412" s="12">
        <v>35505</v>
      </c>
      <c r="M412" s="12">
        <v>1</v>
      </c>
      <c r="N412" s="12">
        <v>8</v>
      </c>
      <c r="O412" s="12">
        <v>4.4000000000000004</v>
      </c>
      <c r="P412" s="14">
        <v>46137</v>
      </c>
      <c r="Q412" s="12" t="s">
        <v>1775</v>
      </c>
    </row>
    <row r="413" spans="1:17" x14ac:dyDescent="0.3">
      <c r="A413" s="12" t="s">
        <v>62</v>
      </c>
      <c r="B413" s="12" t="s">
        <v>63</v>
      </c>
      <c r="C413" s="12" t="s">
        <v>54</v>
      </c>
      <c r="D413" s="12" t="s">
        <v>1773</v>
      </c>
      <c r="E413" s="12" t="s">
        <v>1777</v>
      </c>
      <c r="F413" s="12">
        <v>103</v>
      </c>
      <c r="G413" s="12">
        <v>91</v>
      </c>
      <c r="H413" s="12">
        <v>12</v>
      </c>
      <c r="I413" s="12">
        <v>77</v>
      </c>
      <c r="J413" s="12">
        <v>38935</v>
      </c>
      <c r="K413" s="12">
        <v>47576.59</v>
      </c>
      <c r="L413" s="12">
        <v>467220</v>
      </c>
      <c r="M413" s="12">
        <v>5</v>
      </c>
      <c r="N413" s="12">
        <v>13</v>
      </c>
      <c r="O413" s="12">
        <v>3.5</v>
      </c>
      <c r="P413" s="14">
        <v>46169</v>
      </c>
      <c r="Q413" s="12" t="s">
        <v>1782</v>
      </c>
    </row>
    <row r="414" spans="1:17" x14ac:dyDescent="0.3">
      <c r="A414" s="12" t="s">
        <v>541</v>
      </c>
      <c r="B414" s="12" t="s">
        <v>542</v>
      </c>
      <c r="C414" s="12" t="s">
        <v>54</v>
      </c>
      <c r="D414" s="12" t="s">
        <v>1778</v>
      </c>
      <c r="E414" s="12" t="s">
        <v>1774</v>
      </c>
      <c r="F414" s="12">
        <v>491</v>
      </c>
      <c r="G414" s="12">
        <v>243</v>
      </c>
      <c r="H414" s="12">
        <v>248</v>
      </c>
      <c r="I414" s="12">
        <v>33</v>
      </c>
      <c r="J414" s="12">
        <v>51130</v>
      </c>
      <c r="K414" s="12">
        <v>66675.88</v>
      </c>
      <c r="L414" s="12">
        <v>12680240</v>
      </c>
      <c r="M414" s="12">
        <v>5</v>
      </c>
      <c r="N414" s="12">
        <v>6</v>
      </c>
      <c r="O414" s="12">
        <v>4.2</v>
      </c>
      <c r="P414" s="14">
        <v>46042</v>
      </c>
      <c r="Q414" s="12" t="s">
        <v>1775</v>
      </c>
    </row>
    <row r="415" spans="1:17" x14ac:dyDescent="0.3">
      <c r="A415" s="12" t="s">
        <v>203</v>
      </c>
      <c r="B415" s="12" t="s">
        <v>204</v>
      </c>
      <c r="C415" s="12" t="s">
        <v>71</v>
      </c>
      <c r="D415" s="12" t="s">
        <v>1773</v>
      </c>
      <c r="E415" s="12" t="s">
        <v>1774</v>
      </c>
      <c r="F415" s="12">
        <v>99</v>
      </c>
      <c r="G415" s="12">
        <v>91</v>
      </c>
      <c r="H415" s="12">
        <v>8</v>
      </c>
      <c r="I415" s="12">
        <v>71</v>
      </c>
      <c r="J415" s="12">
        <v>56496</v>
      </c>
      <c r="K415" s="12">
        <v>67009.259999999995</v>
      </c>
      <c r="L415" s="12">
        <v>451968</v>
      </c>
      <c r="M415" s="12">
        <v>3</v>
      </c>
      <c r="N415" s="12">
        <v>6</v>
      </c>
      <c r="O415" s="12">
        <v>4.2</v>
      </c>
      <c r="P415" s="14">
        <v>46128</v>
      </c>
      <c r="Q415" s="12" t="s">
        <v>1782</v>
      </c>
    </row>
    <row r="416" spans="1:17" x14ac:dyDescent="0.3">
      <c r="A416" s="12" t="s">
        <v>574</v>
      </c>
      <c r="B416" s="12" t="s">
        <v>575</v>
      </c>
      <c r="C416" s="12" t="s">
        <v>30</v>
      </c>
      <c r="D416" s="12" t="s">
        <v>1773</v>
      </c>
      <c r="E416" s="12" t="s">
        <v>1781</v>
      </c>
      <c r="F416" s="12">
        <v>261</v>
      </c>
      <c r="G416" s="12">
        <v>261</v>
      </c>
      <c r="H416" s="12">
        <v>0</v>
      </c>
      <c r="I416" s="12">
        <v>56</v>
      </c>
      <c r="J416" s="12">
        <v>19260</v>
      </c>
      <c r="K416" s="12">
        <v>24732.65</v>
      </c>
      <c r="L416" s="12">
        <v>0</v>
      </c>
      <c r="M416" s="12">
        <v>5</v>
      </c>
      <c r="N416" s="12">
        <v>13</v>
      </c>
      <c r="O416" s="12">
        <v>4</v>
      </c>
      <c r="P416" s="14">
        <v>46046</v>
      </c>
      <c r="Q416" s="12" t="s">
        <v>1783</v>
      </c>
    </row>
    <row r="417" spans="1:17" x14ac:dyDescent="0.3">
      <c r="A417" s="12" t="s">
        <v>816</v>
      </c>
      <c r="B417" s="12" t="s">
        <v>817</v>
      </c>
      <c r="C417" s="12" t="s">
        <v>54</v>
      </c>
      <c r="D417" s="12" t="s">
        <v>1776</v>
      </c>
      <c r="E417" s="12" t="s">
        <v>1774</v>
      </c>
      <c r="F417" s="12">
        <v>438</v>
      </c>
      <c r="G417" s="12">
        <v>238</v>
      </c>
      <c r="H417" s="12">
        <v>200</v>
      </c>
      <c r="I417" s="12">
        <v>47</v>
      </c>
      <c r="J417" s="12">
        <v>19680</v>
      </c>
      <c r="K417" s="12">
        <v>26835.03</v>
      </c>
      <c r="L417" s="12">
        <v>3936000</v>
      </c>
      <c r="M417" s="12">
        <v>4</v>
      </c>
      <c r="N417" s="12">
        <v>9</v>
      </c>
      <c r="O417" s="12">
        <v>3.8</v>
      </c>
      <c r="P417" s="14">
        <v>46131</v>
      </c>
      <c r="Q417" s="12" t="s">
        <v>1775</v>
      </c>
    </row>
    <row r="418" spans="1:17" x14ac:dyDescent="0.3">
      <c r="A418" s="12" t="s">
        <v>69</v>
      </c>
      <c r="B418" s="12" t="s">
        <v>70</v>
      </c>
      <c r="C418" s="12" t="s">
        <v>71</v>
      </c>
      <c r="D418" s="12" t="s">
        <v>1776</v>
      </c>
      <c r="E418" s="12" t="s">
        <v>1781</v>
      </c>
      <c r="F418" s="12">
        <v>116</v>
      </c>
      <c r="G418" s="12">
        <v>116</v>
      </c>
      <c r="H418" s="12">
        <v>0</v>
      </c>
      <c r="I418" s="12">
        <v>29</v>
      </c>
      <c r="J418" s="12">
        <v>40229</v>
      </c>
      <c r="K418" s="12">
        <v>47302.59</v>
      </c>
      <c r="L418" s="12">
        <v>0</v>
      </c>
      <c r="M418" s="12">
        <v>2</v>
      </c>
      <c r="N418" s="12">
        <v>15</v>
      </c>
      <c r="O418" s="12">
        <v>4.5</v>
      </c>
      <c r="P418" s="14">
        <v>46142</v>
      </c>
      <c r="Q418" s="12" t="s">
        <v>1783</v>
      </c>
    </row>
    <row r="419" spans="1:17" x14ac:dyDescent="0.3">
      <c r="A419" s="12" t="s">
        <v>396</v>
      </c>
      <c r="B419" s="12" t="s">
        <v>397</v>
      </c>
      <c r="C419" s="12" t="s">
        <v>54</v>
      </c>
      <c r="D419" s="12" t="s">
        <v>1778</v>
      </c>
      <c r="E419" s="12" t="s">
        <v>1779</v>
      </c>
      <c r="F419" s="12">
        <v>358</v>
      </c>
      <c r="G419" s="12">
        <v>83</v>
      </c>
      <c r="H419" s="12">
        <v>275</v>
      </c>
      <c r="I419" s="12">
        <v>65</v>
      </c>
      <c r="J419" s="12">
        <v>28560</v>
      </c>
      <c r="K419" s="12">
        <v>34050.65</v>
      </c>
      <c r="L419" s="12">
        <v>7854000</v>
      </c>
      <c r="M419" s="12">
        <v>0</v>
      </c>
      <c r="N419" s="12">
        <v>3</v>
      </c>
      <c r="O419" s="12">
        <v>3.6</v>
      </c>
      <c r="P419" s="14">
        <v>46192</v>
      </c>
      <c r="Q419" s="12" t="s">
        <v>1775</v>
      </c>
    </row>
    <row r="420" spans="1:17" x14ac:dyDescent="0.3">
      <c r="A420" s="12" t="s">
        <v>106</v>
      </c>
      <c r="B420" s="12" t="s">
        <v>107</v>
      </c>
      <c r="C420" s="12" t="s">
        <v>30</v>
      </c>
      <c r="D420" s="12" t="s">
        <v>1780</v>
      </c>
      <c r="E420" s="12" t="s">
        <v>1781</v>
      </c>
      <c r="F420" s="12">
        <v>54</v>
      </c>
      <c r="G420" s="12">
        <v>27</v>
      </c>
      <c r="H420" s="12">
        <v>27</v>
      </c>
      <c r="I420" s="12">
        <v>49</v>
      </c>
      <c r="J420" s="12">
        <v>21690</v>
      </c>
      <c r="K420" s="12">
        <v>28749.79</v>
      </c>
      <c r="L420" s="12">
        <v>585630</v>
      </c>
      <c r="M420" s="12">
        <v>1</v>
      </c>
      <c r="N420" s="12">
        <v>13</v>
      </c>
      <c r="O420" s="12">
        <v>4.9000000000000004</v>
      </c>
      <c r="P420" s="14">
        <v>46095</v>
      </c>
      <c r="Q420" s="12" t="s">
        <v>1782</v>
      </c>
    </row>
    <row r="421" spans="1:17" x14ac:dyDescent="0.3">
      <c r="A421" s="12" t="s">
        <v>717</v>
      </c>
      <c r="B421" s="12" t="s">
        <v>718</v>
      </c>
      <c r="C421" s="12" t="s">
        <v>102</v>
      </c>
      <c r="D421" s="12" t="s">
        <v>1773</v>
      </c>
      <c r="E421" s="12" t="s">
        <v>1779</v>
      </c>
      <c r="F421" s="12">
        <v>402</v>
      </c>
      <c r="G421" s="12">
        <v>244</v>
      </c>
      <c r="H421" s="12">
        <v>158</v>
      </c>
      <c r="I421" s="12">
        <v>33</v>
      </c>
      <c r="J421" s="12">
        <v>2709</v>
      </c>
      <c r="K421" s="12">
        <v>3790.63</v>
      </c>
      <c r="L421" s="12">
        <v>428022</v>
      </c>
      <c r="M421" s="12">
        <v>0</v>
      </c>
      <c r="N421" s="12">
        <v>9</v>
      </c>
      <c r="O421" s="12">
        <v>4.4000000000000004</v>
      </c>
      <c r="P421" s="14">
        <v>46089</v>
      </c>
      <c r="Q421" s="12" t="s">
        <v>1775</v>
      </c>
    </row>
    <row r="422" spans="1:17" x14ac:dyDescent="0.3">
      <c r="A422" s="12" t="s">
        <v>504</v>
      </c>
      <c r="B422" s="12" t="s">
        <v>505</v>
      </c>
      <c r="C422" s="12" t="s">
        <v>54</v>
      </c>
      <c r="D422" s="12" t="s">
        <v>1773</v>
      </c>
      <c r="E422" s="12" t="s">
        <v>1779</v>
      </c>
      <c r="F422" s="12">
        <v>422</v>
      </c>
      <c r="G422" s="12">
        <v>74</v>
      </c>
      <c r="H422" s="12">
        <v>348</v>
      </c>
      <c r="I422" s="12">
        <v>24</v>
      </c>
      <c r="J422" s="12">
        <v>45607</v>
      </c>
      <c r="K422" s="12">
        <v>57045.59</v>
      </c>
      <c r="L422" s="12">
        <v>15871236</v>
      </c>
      <c r="M422" s="12">
        <v>3</v>
      </c>
      <c r="N422" s="12">
        <v>5</v>
      </c>
      <c r="O422" s="12">
        <v>4.0999999999999996</v>
      </c>
      <c r="P422" s="14">
        <v>46125</v>
      </c>
      <c r="Q422" s="12" t="s">
        <v>1775</v>
      </c>
    </row>
    <row r="423" spans="1:17" x14ac:dyDescent="0.3">
      <c r="A423" s="12" t="s">
        <v>461</v>
      </c>
      <c r="B423" s="12" t="s">
        <v>462</v>
      </c>
      <c r="C423" s="12" t="s">
        <v>71</v>
      </c>
      <c r="D423" s="12" t="s">
        <v>1780</v>
      </c>
      <c r="E423" s="12" t="s">
        <v>1777</v>
      </c>
      <c r="F423" s="12">
        <v>353</v>
      </c>
      <c r="G423" s="12">
        <v>239</v>
      </c>
      <c r="H423" s="12">
        <v>114</v>
      </c>
      <c r="I423" s="12">
        <v>32</v>
      </c>
      <c r="J423" s="12">
        <v>44732</v>
      </c>
      <c r="K423" s="12">
        <v>56694.17</v>
      </c>
      <c r="L423" s="12">
        <v>5099448</v>
      </c>
      <c r="M423" s="12">
        <v>4</v>
      </c>
      <c r="N423" s="12">
        <v>2</v>
      </c>
      <c r="O423" s="12">
        <v>4.3</v>
      </c>
      <c r="P423" s="14">
        <v>46185</v>
      </c>
      <c r="Q423" s="12" t="s">
        <v>1775</v>
      </c>
    </row>
    <row r="424" spans="1:17" x14ac:dyDescent="0.3">
      <c r="A424" s="12" t="s">
        <v>261</v>
      </c>
      <c r="B424" s="12" t="s">
        <v>262</v>
      </c>
      <c r="C424" s="12" t="s">
        <v>102</v>
      </c>
      <c r="D424" s="12" t="s">
        <v>1773</v>
      </c>
      <c r="E424" s="12" t="s">
        <v>1781</v>
      </c>
      <c r="F424" s="12">
        <v>276</v>
      </c>
      <c r="G424" s="12">
        <v>149</v>
      </c>
      <c r="H424" s="12">
        <v>127</v>
      </c>
      <c r="I424" s="12">
        <v>48</v>
      </c>
      <c r="J424" s="12">
        <v>47312</v>
      </c>
      <c r="K424" s="12">
        <v>57789.66</v>
      </c>
      <c r="L424" s="12">
        <v>6008624</v>
      </c>
      <c r="M424" s="12">
        <v>3</v>
      </c>
      <c r="N424" s="12">
        <v>7</v>
      </c>
      <c r="O424" s="12">
        <v>4.3</v>
      </c>
      <c r="P424" s="14">
        <v>46042</v>
      </c>
      <c r="Q424" s="12" t="s">
        <v>1775</v>
      </c>
    </row>
    <row r="425" spans="1:17" x14ac:dyDescent="0.3">
      <c r="A425" s="12" t="s">
        <v>206</v>
      </c>
      <c r="B425" s="12" t="s">
        <v>207</v>
      </c>
      <c r="C425" s="12" t="s">
        <v>30</v>
      </c>
      <c r="D425" s="12" t="s">
        <v>1773</v>
      </c>
      <c r="E425" s="12" t="s">
        <v>1777</v>
      </c>
      <c r="F425" s="12">
        <v>155</v>
      </c>
      <c r="G425" s="12">
        <v>3</v>
      </c>
      <c r="H425" s="12">
        <v>152</v>
      </c>
      <c r="I425" s="12">
        <v>59</v>
      </c>
      <c r="J425" s="12">
        <v>59501</v>
      </c>
      <c r="K425" s="12">
        <v>78966.92</v>
      </c>
      <c r="L425" s="12">
        <v>9044152</v>
      </c>
      <c r="M425" s="12">
        <v>2</v>
      </c>
      <c r="N425" s="12">
        <v>14</v>
      </c>
      <c r="O425" s="12">
        <v>4</v>
      </c>
      <c r="P425" s="14">
        <v>46151</v>
      </c>
      <c r="Q425" s="12" t="s">
        <v>1775</v>
      </c>
    </row>
    <row r="426" spans="1:17" x14ac:dyDescent="0.3">
      <c r="A426" s="12" t="s">
        <v>217</v>
      </c>
      <c r="B426" s="12" t="s">
        <v>218</v>
      </c>
      <c r="C426" s="12" t="s">
        <v>54</v>
      </c>
      <c r="D426" s="12" t="s">
        <v>1778</v>
      </c>
      <c r="E426" s="12" t="s">
        <v>1777</v>
      </c>
      <c r="F426" s="12">
        <v>108</v>
      </c>
      <c r="G426" s="12">
        <v>69</v>
      </c>
      <c r="H426" s="12">
        <v>39</v>
      </c>
      <c r="I426" s="12">
        <v>38</v>
      </c>
      <c r="J426" s="12">
        <v>42123</v>
      </c>
      <c r="K426" s="12">
        <v>48805.1</v>
      </c>
      <c r="L426" s="12">
        <v>1642797</v>
      </c>
      <c r="M426" s="12">
        <v>0</v>
      </c>
      <c r="N426" s="12">
        <v>14</v>
      </c>
      <c r="O426" s="12">
        <v>4.5999999999999996</v>
      </c>
      <c r="P426" s="14">
        <v>46112</v>
      </c>
      <c r="Q426" s="12" t="s">
        <v>1775</v>
      </c>
    </row>
    <row r="427" spans="1:17" x14ac:dyDescent="0.3">
      <c r="A427" s="12" t="s">
        <v>541</v>
      </c>
      <c r="B427" s="12" t="s">
        <v>542</v>
      </c>
      <c r="C427" s="12" t="s">
        <v>54</v>
      </c>
      <c r="D427" s="12" t="s">
        <v>1776</v>
      </c>
      <c r="E427" s="12" t="s">
        <v>1779</v>
      </c>
      <c r="F427" s="12">
        <v>398</v>
      </c>
      <c r="G427" s="12">
        <v>378</v>
      </c>
      <c r="H427" s="12">
        <v>20</v>
      </c>
      <c r="I427" s="12">
        <v>62</v>
      </c>
      <c r="J427" s="12">
        <v>24626</v>
      </c>
      <c r="K427" s="12">
        <v>28769.45</v>
      </c>
      <c r="L427" s="12">
        <v>492520</v>
      </c>
      <c r="M427" s="12">
        <v>5</v>
      </c>
      <c r="N427" s="12">
        <v>10</v>
      </c>
      <c r="O427" s="12">
        <v>4.8</v>
      </c>
      <c r="P427" s="14">
        <v>46191</v>
      </c>
      <c r="Q427" s="12" t="s">
        <v>1782</v>
      </c>
    </row>
    <row r="428" spans="1:17" x14ac:dyDescent="0.3">
      <c r="A428" s="12" t="s">
        <v>316</v>
      </c>
      <c r="B428" s="12" t="s">
        <v>317</v>
      </c>
      <c r="C428" s="12" t="s">
        <v>54</v>
      </c>
      <c r="D428" s="12" t="s">
        <v>1776</v>
      </c>
      <c r="E428" s="12" t="s">
        <v>1779</v>
      </c>
      <c r="F428" s="12">
        <v>277</v>
      </c>
      <c r="G428" s="12">
        <v>60</v>
      </c>
      <c r="H428" s="12">
        <v>217</v>
      </c>
      <c r="I428" s="12">
        <v>51</v>
      </c>
      <c r="J428" s="12">
        <v>7956</v>
      </c>
      <c r="K428" s="12">
        <v>9078.11</v>
      </c>
      <c r="L428" s="12">
        <v>1726452</v>
      </c>
      <c r="M428" s="12">
        <v>4</v>
      </c>
      <c r="N428" s="12">
        <v>13</v>
      </c>
      <c r="O428" s="12">
        <v>4</v>
      </c>
      <c r="P428" s="14">
        <v>46107</v>
      </c>
      <c r="Q428" s="12" t="s">
        <v>1775</v>
      </c>
    </row>
    <row r="429" spans="1:17" x14ac:dyDescent="0.3">
      <c r="A429" s="12" t="s">
        <v>338</v>
      </c>
      <c r="B429" s="12" t="s">
        <v>339</v>
      </c>
      <c r="C429" s="12" t="s">
        <v>54</v>
      </c>
      <c r="D429" s="12" t="s">
        <v>1776</v>
      </c>
      <c r="E429" s="12" t="s">
        <v>1781</v>
      </c>
      <c r="F429" s="12">
        <v>104</v>
      </c>
      <c r="G429" s="12">
        <v>43</v>
      </c>
      <c r="H429" s="12">
        <v>61</v>
      </c>
      <c r="I429" s="12">
        <v>26</v>
      </c>
      <c r="J429" s="12">
        <v>2808</v>
      </c>
      <c r="K429" s="12">
        <v>3886.64</v>
      </c>
      <c r="L429" s="12">
        <v>171288</v>
      </c>
      <c r="M429" s="12">
        <v>1</v>
      </c>
      <c r="N429" s="12">
        <v>6</v>
      </c>
      <c r="O429" s="12">
        <v>4.4000000000000004</v>
      </c>
      <c r="P429" s="14">
        <v>46124</v>
      </c>
      <c r="Q429" s="12" t="s">
        <v>1775</v>
      </c>
    </row>
    <row r="430" spans="1:17" x14ac:dyDescent="0.3">
      <c r="A430" s="12" t="s">
        <v>113</v>
      </c>
      <c r="B430" s="12" t="s">
        <v>114</v>
      </c>
      <c r="C430" s="12" t="s">
        <v>102</v>
      </c>
      <c r="D430" s="12" t="s">
        <v>1776</v>
      </c>
      <c r="E430" s="12" t="s">
        <v>1781</v>
      </c>
      <c r="F430" s="12">
        <v>334</v>
      </c>
      <c r="G430" s="12">
        <v>196</v>
      </c>
      <c r="H430" s="12">
        <v>138</v>
      </c>
      <c r="I430" s="12">
        <v>49</v>
      </c>
      <c r="J430" s="12">
        <v>35891</v>
      </c>
      <c r="K430" s="12">
        <v>41532.49</v>
      </c>
      <c r="L430" s="12">
        <v>4952958</v>
      </c>
      <c r="M430" s="12">
        <v>1</v>
      </c>
      <c r="N430" s="12">
        <v>15</v>
      </c>
      <c r="O430" s="12">
        <v>3.6</v>
      </c>
      <c r="P430" s="14">
        <v>46037</v>
      </c>
      <c r="Q430" s="12" t="s">
        <v>1775</v>
      </c>
    </row>
    <row r="431" spans="1:17" x14ac:dyDescent="0.3">
      <c r="A431" s="12" t="s">
        <v>79</v>
      </c>
      <c r="B431" s="12" t="s">
        <v>80</v>
      </c>
      <c r="C431" s="12" t="s">
        <v>71</v>
      </c>
      <c r="D431" s="12" t="s">
        <v>1776</v>
      </c>
      <c r="E431" s="12" t="s">
        <v>1774</v>
      </c>
      <c r="F431" s="12">
        <v>279</v>
      </c>
      <c r="G431" s="12">
        <v>72</v>
      </c>
      <c r="H431" s="12">
        <v>207</v>
      </c>
      <c r="I431" s="12">
        <v>21</v>
      </c>
      <c r="J431" s="12">
        <v>29235</v>
      </c>
      <c r="K431" s="12">
        <v>36407.67</v>
      </c>
      <c r="L431" s="12">
        <v>6051645</v>
      </c>
      <c r="M431" s="12">
        <v>0</v>
      </c>
      <c r="N431" s="12">
        <v>12</v>
      </c>
      <c r="O431" s="12">
        <v>4.5999999999999996</v>
      </c>
      <c r="P431" s="14">
        <v>46075</v>
      </c>
      <c r="Q431" s="12" t="s">
        <v>1775</v>
      </c>
    </row>
    <row r="432" spans="1:17" x14ac:dyDescent="0.3">
      <c r="A432" s="12" t="s">
        <v>281</v>
      </c>
      <c r="B432" s="12" t="s">
        <v>282</v>
      </c>
      <c r="C432" s="12" t="s">
        <v>30</v>
      </c>
      <c r="D432" s="12" t="s">
        <v>1778</v>
      </c>
      <c r="E432" s="12" t="s">
        <v>1781</v>
      </c>
      <c r="F432" s="12">
        <v>476</v>
      </c>
      <c r="G432" s="12">
        <v>440</v>
      </c>
      <c r="H432" s="12">
        <v>36</v>
      </c>
      <c r="I432" s="12">
        <v>64</v>
      </c>
      <c r="J432" s="12">
        <v>34389</v>
      </c>
      <c r="K432" s="12">
        <v>43247.35</v>
      </c>
      <c r="L432" s="12">
        <v>1238004</v>
      </c>
      <c r="M432" s="12">
        <v>4</v>
      </c>
      <c r="N432" s="12">
        <v>2</v>
      </c>
      <c r="O432" s="12">
        <v>3.6</v>
      </c>
      <c r="P432" s="14">
        <v>46042</v>
      </c>
      <c r="Q432" s="12" t="s">
        <v>1782</v>
      </c>
    </row>
    <row r="433" spans="1:17" x14ac:dyDescent="0.3">
      <c r="A433" s="12" t="s">
        <v>238</v>
      </c>
      <c r="B433" s="12" t="s">
        <v>239</v>
      </c>
      <c r="C433" s="12" t="s">
        <v>71</v>
      </c>
      <c r="D433" s="12" t="s">
        <v>1773</v>
      </c>
      <c r="E433" s="12" t="s">
        <v>1774</v>
      </c>
      <c r="F433" s="12">
        <v>101</v>
      </c>
      <c r="G433" s="12">
        <v>3</v>
      </c>
      <c r="H433" s="12">
        <v>98</v>
      </c>
      <c r="I433" s="12">
        <v>22</v>
      </c>
      <c r="J433" s="12">
        <v>44866</v>
      </c>
      <c r="K433" s="12">
        <v>52105.72</v>
      </c>
      <c r="L433" s="12">
        <v>4396868</v>
      </c>
      <c r="M433" s="12">
        <v>3</v>
      </c>
      <c r="N433" s="12">
        <v>3</v>
      </c>
      <c r="O433" s="12">
        <v>4.9000000000000004</v>
      </c>
      <c r="P433" s="14">
        <v>46195</v>
      </c>
      <c r="Q433" s="12" t="s">
        <v>1775</v>
      </c>
    </row>
    <row r="434" spans="1:17" x14ac:dyDescent="0.3">
      <c r="A434" s="12" t="s">
        <v>269</v>
      </c>
      <c r="B434" s="12" t="s">
        <v>270</v>
      </c>
      <c r="C434" s="12" t="s">
        <v>71</v>
      </c>
      <c r="D434" s="12" t="s">
        <v>1776</v>
      </c>
      <c r="E434" s="12" t="s">
        <v>1777</v>
      </c>
      <c r="F434" s="12">
        <v>270</v>
      </c>
      <c r="G434" s="12">
        <v>172</v>
      </c>
      <c r="H434" s="12">
        <v>98</v>
      </c>
      <c r="I434" s="12">
        <v>57</v>
      </c>
      <c r="J434" s="12">
        <v>18124</v>
      </c>
      <c r="K434" s="12">
        <v>24642.11</v>
      </c>
      <c r="L434" s="12">
        <v>1776152</v>
      </c>
      <c r="M434" s="12">
        <v>4</v>
      </c>
      <c r="N434" s="12">
        <v>7</v>
      </c>
      <c r="O434" s="12">
        <v>4.5999999999999996</v>
      </c>
      <c r="P434" s="14">
        <v>46177</v>
      </c>
      <c r="Q434" s="12" t="s">
        <v>1775</v>
      </c>
    </row>
    <row r="435" spans="1:17" x14ac:dyDescent="0.3">
      <c r="A435" s="12" t="s">
        <v>152</v>
      </c>
      <c r="B435" s="12" t="s">
        <v>153</v>
      </c>
      <c r="C435" s="12" t="s">
        <v>54</v>
      </c>
      <c r="D435" s="12" t="s">
        <v>1776</v>
      </c>
      <c r="E435" s="12" t="s">
        <v>1777</v>
      </c>
      <c r="F435" s="12">
        <v>247</v>
      </c>
      <c r="G435" s="12">
        <v>111</v>
      </c>
      <c r="H435" s="12">
        <v>136</v>
      </c>
      <c r="I435" s="12">
        <v>49</v>
      </c>
      <c r="J435" s="12">
        <v>16105</v>
      </c>
      <c r="K435" s="12">
        <v>21790.02</v>
      </c>
      <c r="L435" s="12">
        <v>2190280</v>
      </c>
      <c r="M435" s="12">
        <v>2</v>
      </c>
      <c r="N435" s="12">
        <v>11</v>
      </c>
      <c r="O435" s="12">
        <v>4.4000000000000004</v>
      </c>
      <c r="P435" s="14">
        <v>46136</v>
      </c>
      <c r="Q435" s="12" t="s">
        <v>1775</v>
      </c>
    </row>
    <row r="436" spans="1:17" x14ac:dyDescent="0.3">
      <c r="A436" s="12" t="s">
        <v>824</v>
      </c>
      <c r="B436" s="12" t="s">
        <v>825</v>
      </c>
      <c r="C436" s="12" t="s">
        <v>71</v>
      </c>
      <c r="D436" s="12" t="s">
        <v>1773</v>
      </c>
      <c r="E436" s="12" t="s">
        <v>1781</v>
      </c>
      <c r="F436" s="12">
        <v>281</v>
      </c>
      <c r="G436" s="12">
        <v>219</v>
      </c>
      <c r="H436" s="12">
        <v>62</v>
      </c>
      <c r="I436" s="12">
        <v>55</v>
      </c>
      <c r="J436" s="12">
        <v>32479</v>
      </c>
      <c r="K436" s="12">
        <v>43984.639999999999</v>
      </c>
      <c r="L436" s="12">
        <v>2013698</v>
      </c>
      <c r="M436" s="12">
        <v>5</v>
      </c>
      <c r="N436" s="12">
        <v>6</v>
      </c>
      <c r="O436" s="12">
        <v>3.8</v>
      </c>
      <c r="P436" s="14">
        <v>46192</v>
      </c>
      <c r="Q436" s="12" t="s">
        <v>1775</v>
      </c>
    </row>
    <row r="437" spans="1:17" x14ac:dyDescent="0.3">
      <c r="A437" s="12" t="s">
        <v>717</v>
      </c>
      <c r="B437" s="12" t="s">
        <v>718</v>
      </c>
      <c r="C437" s="12" t="s">
        <v>102</v>
      </c>
      <c r="D437" s="12" t="s">
        <v>1778</v>
      </c>
      <c r="E437" s="12" t="s">
        <v>1777</v>
      </c>
      <c r="F437" s="12">
        <v>414</v>
      </c>
      <c r="G437" s="12">
        <v>132</v>
      </c>
      <c r="H437" s="12">
        <v>282</v>
      </c>
      <c r="I437" s="12">
        <v>54</v>
      </c>
      <c r="J437" s="12">
        <v>57315</v>
      </c>
      <c r="K437" s="12">
        <v>72507.45</v>
      </c>
      <c r="L437" s="12">
        <v>16162830</v>
      </c>
      <c r="M437" s="12">
        <v>4</v>
      </c>
      <c r="N437" s="12">
        <v>15</v>
      </c>
      <c r="O437" s="12">
        <v>4.8</v>
      </c>
      <c r="P437" s="14">
        <v>46152</v>
      </c>
      <c r="Q437" s="12" t="s">
        <v>1775</v>
      </c>
    </row>
    <row r="438" spans="1:17" x14ac:dyDescent="0.3">
      <c r="A438" s="12" t="s">
        <v>42</v>
      </c>
      <c r="B438" s="12" t="s">
        <v>43</v>
      </c>
      <c r="C438" s="12" t="s">
        <v>30</v>
      </c>
      <c r="D438" s="12" t="s">
        <v>1778</v>
      </c>
      <c r="E438" s="12" t="s">
        <v>1781</v>
      </c>
      <c r="F438" s="12">
        <v>245</v>
      </c>
      <c r="G438" s="12">
        <v>110</v>
      </c>
      <c r="H438" s="12">
        <v>135</v>
      </c>
      <c r="I438" s="12">
        <v>69</v>
      </c>
      <c r="J438" s="12">
        <v>37329</v>
      </c>
      <c r="K438" s="12">
        <v>49304.82</v>
      </c>
      <c r="L438" s="12">
        <v>5039415</v>
      </c>
      <c r="M438" s="12">
        <v>3</v>
      </c>
      <c r="N438" s="12">
        <v>5</v>
      </c>
      <c r="O438" s="12">
        <v>3.8</v>
      </c>
      <c r="P438" s="14">
        <v>46185</v>
      </c>
      <c r="Q438" s="12" t="s">
        <v>1775</v>
      </c>
    </row>
    <row r="439" spans="1:17" x14ac:dyDescent="0.3">
      <c r="A439" s="12" t="s">
        <v>253</v>
      </c>
      <c r="B439" s="12" t="s">
        <v>254</v>
      </c>
      <c r="C439" s="12" t="s">
        <v>54</v>
      </c>
      <c r="D439" s="12" t="s">
        <v>1773</v>
      </c>
      <c r="E439" s="12" t="s">
        <v>1774</v>
      </c>
      <c r="F439" s="12">
        <v>264</v>
      </c>
      <c r="G439" s="12">
        <v>191</v>
      </c>
      <c r="H439" s="12">
        <v>73</v>
      </c>
      <c r="I439" s="12">
        <v>54</v>
      </c>
      <c r="J439" s="12">
        <v>17140</v>
      </c>
      <c r="K439" s="12">
        <v>19055.2</v>
      </c>
      <c r="L439" s="12">
        <v>1251220</v>
      </c>
      <c r="M439" s="12">
        <v>2</v>
      </c>
      <c r="N439" s="12">
        <v>7</v>
      </c>
      <c r="O439" s="12">
        <v>3.8</v>
      </c>
      <c r="P439" s="14">
        <v>46055</v>
      </c>
      <c r="Q439" s="12" t="s">
        <v>1775</v>
      </c>
    </row>
    <row r="440" spans="1:17" x14ac:dyDescent="0.3">
      <c r="A440" s="12" t="s">
        <v>69</v>
      </c>
      <c r="B440" s="12" t="s">
        <v>70</v>
      </c>
      <c r="C440" s="12" t="s">
        <v>71</v>
      </c>
      <c r="D440" s="12" t="s">
        <v>1778</v>
      </c>
      <c r="E440" s="12" t="s">
        <v>1781</v>
      </c>
      <c r="F440" s="12">
        <v>321</v>
      </c>
      <c r="G440" s="12">
        <v>215</v>
      </c>
      <c r="H440" s="12">
        <v>106</v>
      </c>
      <c r="I440" s="12">
        <v>35</v>
      </c>
      <c r="J440" s="12">
        <v>28756</v>
      </c>
      <c r="K440" s="12">
        <v>33470.21</v>
      </c>
      <c r="L440" s="12">
        <v>3048136</v>
      </c>
      <c r="M440" s="12">
        <v>5</v>
      </c>
      <c r="N440" s="12">
        <v>3</v>
      </c>
      <c r="O440" s="12">
        <v>3.9</v>
      </c>
      <c r="P440" s="14">
        <v>46058</v>
      </c>
      <c r="Q440" s="12" t="s">
        <v>1775</v>
      </c>
    </row>
    <row r="441" spans="1:17" x14ac:dyDescent="0.3">
      <c r="A441" s="12" t="s">
        <v>447</v>
      </c>
      <c r="B441" s="12" t="s">
        <v>448</v>
      </c>
      <c r="C441" s="12" t="s">
        <v>71</v>
      </c>
      <c r="D441" s="12" t="s">
        <v>1778</v>
      </c>
      <c r="E441" s="12" t="s">
        <v>1779</v>
      </c>
      <c r="F441" s="12">
        <v>237</v>
      </c>
      <c r="G441" s="12">
        <v>51</v>
      </c>
      <c r="H441" s="12">
        <v>186</v>
      </c>
      <c r="I441" s="12">
        <v>52</v>
      </c>
      <c r="J441" s="12">
        <v>13032</v>
      </c>
      <c r="K441" s="12">
        <v>16349.25</v>
      </c>
      <c r="L441" s="12">
        <v>2423952</v>
      </c>
      <c r="M441" s="12">
        <v>2</v>
      </c>
      <c r="N441" s="12">
        <v>7</v>
      </c>
      <c r="O441" s="12">
        <v>5</v>
      </c>
      <c r="P441" s="14">
        <v>46042</v>
      </c>
      <c r="Q441" s="12" t="s">
        <v>1775</v>
      </c>
    </row>
    <row r="442" spans="1:17" x14ac:dyDescent="0.3">
      <c r="A442" s="12" t="s">
        <v>299</v>
      </c>
      <c r="B442" s="12" t="s">
        <v>300</v>
      </c>
      <c r="C442" s="12" t="s">
        <v>71</v>
      </c>
      <c r="D442" s="12" t="s">
        <v>1778</v>
      </c>
      <c r="E442" s="12" t="s">
        <v>1779</v>
      </c>
      <c r="F442" s="12">
        <v>296</v>
      </c>
      <c r="G442" s="12">
        <v>17</v>
      </c>
      <c r="H442" s="12">
        <v>279</v>
      </c>
      <c r="I442" s="12">
        <v>29</v>
      </c>
      <c r="J442" s="12">
        <v>7200</v>
      </c>
      <c r="K442" s="12">
        <v>9128.61</v>
      </c>
      <c r="L442" s="12">
        <v>2008800</v>
      </c>
      <c r="M442" s="12">
        <v>3</v>
      </c>
      <c r="N442" s="12">
        <v>7</v>
      </c>
      <c r="O442" s="12">
        <v>4.0999999999999996</v>
      </c>
      <c r="P442" s="14">
        <v>46157</v>
      </c>
      <c r="Q442" s="12" t="s">
        <v>1775</v>
      </c>
    </row>
    <row r="443" spans="1:17" x14ac:dyDescent="0.3">
      <c r="A443" s="12" t="s">
        <v>118</v>
      </c>
      <c r="B443" s="12" t="s">
        <v>119</v>
      </c>
      <c r="C443" s="12" t="s">
        <v>54</v>
      </c>
      <c r="D443" s="12" t="s">
        <v>1778</v>
      </c>
      <c r="E443" s="12" t="s">
        <v>1777</v>
      </c>
      <c r="F443" s="12">
        <v>332</v>
      </c>
      <c r="G443" s="12">
        <v>316</v>
      </c>
      <c r="H443" s="12">
        <v>16</v>
      </c>
      <c r="I443" s="12">
        <v>75</v>
      </c>
      <c r="J443" s="12">
        <v>52466</v>
      </c>
      <c r="K443" s="12">
        <v>67999.990000000005</v>
      </c>
      <c r="L443" s="12">
        <v>839456</v>
      </c>
      <c r="M443" s="12">
        <v>0</v>
      </c>
      <c r="N443" s="12">
        <v>8</v>
      </c>
      <c r="O443" s="12">
        <v>3.9</v>
      </c>
      <c r="P443" s="14">
        <v>46192</v>
      </c>
      <c r="Q443" s="12" t="s">
        <v>1782</v>
      </c>
    </row>
    <row r="444" spans="1:17" x14ac:dyDescent="0.3">
      <c r="A444" s="12" t="s">
        <v>1365</v>
      </c>
      <c r="B444" s="12" t="s">
        <v>1366</v>
      </c>
      <c r="C444" s="12" t="s">
        <v>54</v>
      </c>
      <c r="D444" s="12" t="s">
        <v>1773</v>
      </c>
      <c r="E444" s="12" t="s">
        <v>1774</v>
      </c>
      <c r="F444" s="12">
        <v>280</v>
      </c>
      <c r="G444" s="12">
        <v>216</v>
      </c>
      <c r="H444" s="12">
        <v>64</v>
      </c>
      <c r="I444" s="12">
        <v>42</v>
      </c>
      <c r="J444" s="12">
        <v>38270</v>
      </c>
      <c r="K444" s="12">
        <v>50541.08</v>
      </c>
      <c r="L444" s="12">
        <v>2449280</v>
      </c>
      <c r="M444" s="12">
        <v>1</v>
      </c>
      <c r="N444" s="12">
        <v>14</v>
      </c>
      <c r="O444" s="12">
        <v>3.8</v>
      </c>
      <c r="P444" s="14">
        <v>46041</v>
      </c>
      <c r="Q444" s="12" t="s">
        <v>1775</v>
      </c>
    </row>
    <row r="445" spans="1:17" x14ac:dyDescent="0.3">
      <c r="A445" s="12" t="s">
        <v>447</v>
      </c>
      <c r="B445" s="12" t="s">
        <v>448</v>
      </c>
      <c r="C445" s="12" t="s">
        <v>71</v>
      </c>
      <c r="D445" s="12" t="s">
        <v>1778</v>
      </c>
      <c r="E445" s="12" t="s">
        <v>1781</v>
      </c>
      <c r="F445" s="12">
        <v>186</v>
      </c>
      <c r="G445" s="12">
        <v>2</v>
      </c>
      <c r="H445" s="12">
        <v>184</v>
      </c>
      <c r="I445" s="12">
        <v>30</v>
      </c>
      <c r="J445" s="12">
        <v>47952</v>
      </c>
      <c r="K445" s="12">
        <v>66351.539999999994</v>
      </c>
      <c r="L445" s="12">
        <v>8823168</v>
      </c>
      <c r="M445" s="12">
        <v>1</v>
      </c>
      <c r="N445" s="12">
        <v>5</v>
      </c>
      <c r="O445" s="12">
        <v>4</v>
      </c>
      <c r="P445" s="14">
        <v>46085</v>
      </c>
      <c r="Q445" s="12" t="s">
        <v>1775</v>
      </c>
    </row>
    <row r="446" spans="1:17" x14ac:dyDescent="0.3">
      <c r="A446" s="12" t="s">
        <v>265</v>
      </c>
      <c r="B446" s="12" t="s">
        <v>266</v>
      </c>
      <c r="C446" s="12" t="s">
        <v>71</v>
      </c>
      <c r="D446" s="12" t="s">
        <v>1780</v>
      </c>
      <c r="E446" s="12" t="s">
        <v>1781</v>
      </c>
      <c r="F446" s="12">
        <v>175</v>
      </c>
      <c r="G446" s="12">
        <v>32</v>
      </c>
      <c r="H446" s="12">
        <v>143</v>
      </c>
      <c r="I446" s="12">
        <v>65</v>
      </c>
      <c r="J446" s="12">
        <v>18150</v>
      </c>
      <c r="K446" s="12">
        <v>21737.91</v>
      </c>
      <c r="L446" s="12">
        <v>2595450</v>
      </c>
      <c r="M446" s="12">
        <v>4</v>
      </c>
      <c r="N446" s="12">
        <v>5</v>
      </c>
      <c r="O446" s="12">
        <v>4.5999999999999996</v>
      </c>
      <c r="P446" s="14">
        <v>46064</v>
      </c>
      <c r="Q446" s="12" t="s">
        <v>1775</v>
      </c>
    </row>
    <row r="447" spans="1:17" x14ac:dyDescent="0.3">
      <c r="A447" s="12" t="s">
        <v>451</v>
      </c>
      <c r="B447" s="12" t="s">
        <v>452</v>
      </c>
      <c r="C447" s="12" t="s">
        <v>30</v>
      </c>
      <c r="D447" s="12" t="s">
        <v>1780</v>
      </c>
      <c r="E447" s="12" t="s">
        <v>1774</v>
      </c>
      <c r="F447" s="12">
        <v>70</v>
      </c>
      <c r="G447" s="12">
        <v>58</v>
      </c>
      <c r="H447" s="12">
        <v>12</v>
      </c>
      <c r="I447" s="12">
        <v>43</v>
      </c>
      <c r="J447" s="12">
        <v>35889</v>
      </c>
      <c r="K447" s="12">
        <v>40155.96</v>
      </c>
      <c r="L447" s="12">
        <v>430668</v>
      </c>
      <c r="M447" s="12">
        <v>2</v>
      </c>
      <c r="N447" s="12">
        <v>2</v>
      </c>
      <c r="O447" s="12">
        <v>4.2</v>
      </c>
      <c r="P447" s="14">
        <v>46145</v>
      </c>
      <c r="Q447" s="12" t="s">
        <v>1782</v>
      </c>
    </row>
    <row r="448" spans="1:17" x14ac:dyDescent="0.3">
      <c r="A448" s="12" t="s">
        <v>574</v>
      </c>
      <c r="B448" s="12" t="s">
        <v>575</v>
      </c>
      <c r="C448" s="12" t="s">
        <v>30</v>
      </c>
      <c r="D448" s="12" t="s">
        <v>1780</v>
      </c>
      <c r="E448" s="12" t="s">
        <v>1774</v>
      </c>
      <c r="F448" s="12">
        <v>290</v>
      </c>
      <c r="G448" s="12">
        <v>69</v>
      </c>
      <c r="H448" s="12">
        <v>221</v>
      </c>
      <c r="I448" s="12">
        <v>79</v>
      </c>
      <c r="J448" s="12">
        <v>57721</v>
      </c>
      <c r="K448" s="12">
        <v>71304.800000000003</v>
      </c>
      <c r="L448" s="12">
        <v>12756341</v>
      </c>
      <c r="M448" s="12">
        <v>3</v>
      </c>
      <c r="N448" s="12">
        <v>7</v>
      </c>
      <c r="O448" s="12">
        <v>3.5</v>
      </c>
      <c r="P448" s="14">
        <v>46178</v>
      </c>
      <c r="Q448" s="12" t="s">
        <v>1775</v>
      </c>
    </row>
    <row r="449" spans="1:17" x14ac:dyDescent="0.3">
      <c r="A449" s="12" t="s">
        <v>164</v>
      </c>
      <c r="B449" s="12" t="s">
        <v>165</v>
      </c>
      <c r="C449" s="12" t="s">
        <v>102</v>
      </c>
      <c r="D449" s="12" t="s">
        <v>1776</v>
      </c>
      <c r="E449" s="12" t="s">
        <v>1777</v>
      </c>
      <c r="F449" s="12">
        <v>447</v>
      </c>
      <c r="G449" s="12">
        <v>164</v>
      </c>
      <c r="H449" s="12">
        <v>283</v>
      </c>
      <c r="I449" s="12">
        <v>41</v>
      </c>
      <c r="J449" s="12">
        <v>52666</v>
      </c>
      <c r="K449" s="12">
        <v>60038.080000000002</v>
      </c>
      <c r="L449" s="12">
        <v>14904478</v>
      </c>
      <c r="M449" s="12">
        <v>5</v>
      </c>
      <c r="N449" s="12">
        <v>2</v>
      </c>
      <c r="O449" s="12">
        <v>4.9000000000000004</v>
      </c>
      <c r="P449" s="14">
        <v>46084</v>
      </c>
      <c r="Q449" s="12" t="s">
        <v>1775</v>
      </c>
    </row>
    <row r="450" spans="1:17" x14ac:dyDescent="0.3">
      <c r="A450" s="12" t="s">
        <v>415</v>
      </c>
      <c r="B450" s="12" t="s">
        <v>416</v>
      </c>
      <c r="C450" s="12" t="s">
        <v>30</v>
      </c>
      <c r="D450" s="12" t="s">
        <v>1776</v>
      </c>
      <c r="E450" s="12" t="s">
        <v>1781</v>
      </c>
      <c r="F450" s="12">
        <v>141</v>
      </c>
      <c r="G450" s="12">
        <v>135</v>
      </c>
      <c r="H450" s="12">
        <v>6</v>
      </c>
      <c r="I450" s="12">
        <v>46</v>
      </c>
      <c r="J450" s="12">
        <v>48976</v>
      </c>
      <c r="K450" s="12">
        <v>54011.53</v>
      </c>
      <c r="L450" s="12">
        <v>293856</v>
      </c>
      <c r="M450" s="12">
        <v>4</v>
      </c>
      <c r="N450" s="12">
        <v>5</v>
      </c>
      <c r="O450" s="12">
        <v>4.5999999999999996</v>
      </c>
      <c r="P450" s="14">
        <v>46156</v>
      </c>
      <c r="Q450" s="12" t="s">
        <v>1782</v>
      </c>
    </row>
    <row r="451" spans="1:17" x14ac:dyDescent="0.3">
      <c r="A451" s="12" t="s">
        <v>122</v>
      </c>
      <c r="B451" s="12" t="s">
        <v>123</v>
      </c>
      <c r="C451" s="12" t="s">
        <v>30</v>
      </c>
      <c r="D451" s="12" t="s">
        <v>1780</v>
      </c>
      <c r="E451" s="12" t="s">
        <v>1779</v>
      </c>
      <c r="F451" s="12">
        <v>186</v>
      </c>
      <c r="G451" s="12">
        <v>182</v>
      </c>
      <c r="H451" s="12">
        <v>4</v>
      </c>
      <c r="I451" s="12">
        <v>22</v>
      </c>
      <c r="J451" s="12">
        <v>14986</v>
      </c>
      <c r="K451" s="12">
        <v>19058.11</v>
      </c>
      <c r="L451" s="12">
        <v>59944</v>
      </c>
      <c r="M451" s="12">
        <v>0</v>
      </c>
      <c r="N451" s="12">
        <v>11</v>
      </c>
      <c r="O451" s="12">
        <v>4.4000000000000004</v>
      </c>
      <c r="P451" s="14">
        <v>46174</v>
      </c>
      <c r="Q451" s="12" t="s">
        <v>1782</v>
      </c>
    </row>
    <row r="452" spans="1:17" x14ac:dyDescent="0.3">
      <c r="A452" s="12" t="s">
        <v>735</v>
      </c>
      <c r="B452" s="12" t="s">
        <v>736</v>
      </c>
      <c r="C452" s="12" t="s">
        <v>54</v>
      </c>
      <c r="D452" s="12" t="s">
        <v>1778</v>
      </c>
      <c r="E452" s="12" t="s">
        <v>1779</v>
      </c>
      <c r="F452" s="12">
        <v>459</v>
      </c>
      <c r="G452" s="12">
        <v>129</v>
      </c>
      <c r="H452" s="12">
        <v>330</v>
      </c>
      <c r="I452" s="12">
        <v>61</v>
      </c>
      <c r="J452" s="12">
        <v>54889</v>
      </c>
      <c r="K452" s="12">
        <v>60946.23</v>
      </c>
      <c r="L452" s="12">
        <v>18113370</v>
      </c>
      <c r="M452" s="12">
        <v>3</v>
      </c>
      <c r="N452" s="12">
        <v>9</v>
      </c>
      <c r="O452" s="12">
        <v>4.4000000000000004</v>
      </c>
      <c r="P452" s="14">
        <v>46198</v>
      </c>
      <c r="Q452" s="12" t="s">
        <v>1775</v>
      </c>
    </row>
    <row r="453" spans="1:17" x14ac:dyDescent="0.3">
      <c r="A453" s="12" t="s">
        <v>234</v>
      </c>
      <c r="B453" s="12" t="s">
        <v>235</v>
      </c>
      <c r="C453" s="12" t="s">
        <v>102</v>
      </c>
      <c r="D453" s="12" t="s">
        <v>1780</v>
      </c>
      <c r="E453" s="12" t="s">
        <v>1781</v>
      </c>
      <c r="F453" s="12">
        <v>401</v>
      </c>
      <c r="G453" s="12">
        <v>362</v>
      </c>
      <c r="H453" s="12">
        <v>39</v>
      </c>
      <c r="I453" s="12">
        <v>69</v>
      </c>
      <c r="J453" s="12">
        <v>55024</v>
      </c>
      <c r="K453" s="12">
        <v>72872.44</v>
      </c>
      <c r="L453" s="12">
        <v>2145936</v>
      </c>
      <c r="M453" s="12">
        <v>3</v>
      </c>
      <c r="N453" s="12">
        <v>3</v>
      </c>
      <c r="O453" s="12">
        <v>3.7</v>
      </c>
      <c r="P453" s="14">
        <v>46199</v>
      </c>
      <c r="Q453" s="12" t="s">
        <v>1782</v>
      </c>
    </row>
    <row r="454" spans="1:17" x14ac:dyDescent="0.3">
      <c r="A454" s="12" t="s">
        <v>203</v>
      </c>
      <c r="B454" s="12" t="s">
        <v>204</v>
      </c>
      <c r="C454" s="12" t="s">
        <v>71</v>
      </c>
      <c r="D454" s="12" t="s">
        <v>1773</v>
      </c>
      <c r="E454" s="12" t="s">
        <v>1779</v>
      </c>
      <c r="F454" s="12">
        <v>136</v>
      </c>
      <c r="G454" s="12">
        <v>111</v>
      </c>
      <c r="H454" s="12">
        <v>25</v>
      </c>
      <c r="I454" s="12">
        <v>62</v>
      </c>
      <c r="J454" s="12">
        <v>46103</v>
      </c>
      <c r="K454" s="12">
        <v>63916.78</v>
      </c>
      <c r="L454" s="12">
        <v>1152575</v>
      </c>
      <c r="M454" s="12">
        <v>2</v>
      </c>
      <c r="N454" s="12">
        <v>11</v>
      </c>
      <c r="O454" s="12">
        <v>3.6</v>
      </c>
      <c r="P454" s="14">
        <v>46088</v>
      </c>
      <c r="Q454" s="12" t="s">
        <v>1782</v>
      </c>
    </row>
    <row r="455" spans="1:17" x14ac:dyDescent="0.3">
      <c r="A455" s="12" t="s">
        <v>193</v>
      </c>
      <c r="B455" s="12" t="s">
        <v>194</v>
      </c>
      <c r="C455" s="12" t="s">
        <v>71</v>
      </c>
      <c r="D455" s="12" t="s">
        <v>1773</v>
      </c>
      <c r="E455" s="12" t="s">
        <v>1777</v>
      </c>
      <c r="F455" s="12">
        <v>114</v>
      </c>
      <c r="G455" s="12">
        <v>60</v>
      </c>
      <c r="H455" s="12">
        <v>54</v>
      </c>
      <c r="I455" s="12">
        <v>68</v>
      </c>
      <c r="J455" s="12">
        <v>46283</v>
      </c>
      <c r="K455" s="12">
        <v>63505.33</v>
      </c>
      <c r="L455" s="12">
        <v>2499282</v>
      </c>
      <c r="M455" s="12">
        <v>4</v>
      </c>
      <c r="N455" s="12">
        <v>4</v>
      </c>
      <c r="O455" s="12">
        <v>4.5999999999999996</v>
      </c>
      <c r="P455" s="14">
        <v>46100</v>
      </c>
      <c r="Q455" s="12" t="s">
        <v>1782</v>
      </c>
    </row>
    <row r="456" spans="1:17" x14ac:dyDescent="0.3">
      <c r="A456" s="12" t="s">
        <v>28</v>
      </c>
      <c r="B456" s="12" t="s">
        <v>29</v>
      </c>
      <c r="C456" s="12" t="s">
        <v>30</v>
      </c>
      <c r="D456" s="12" t="s">
        <v>1773</v>
      </c>
      <c r="E456" s="12" t="s">
        <v>1781</v>
      </c>
      <c r="F456" s="12">
        <v>319</v>
      </c>
      <c r="G456" s="12">
        <v>89</v>
      </c>
      <c r="H456" s="12">
        <v>230</v>
      </c>
      <c r="I456" s="12">
        <v>45</v>
      </c>
      <c r="J456" s="12">
        <v>5041</v>
      </c>
      <c r="K456" s="12">
        <v>6971.28</v>
      </c>
      <c r="L456" s="12">
        <v>1159430</v>
      </c>
      <c r="M456" s="12">
        <v>3</v>
      </c>
      <c r="N456" s="12">
        <v>7</v>
      </c>
      <c r="O456" s="12">
        <v>4.7</v>
      </c>
      <c r="P456" s="14">
        <v>46108</v>
      </c>
      <c r="Q456" s="12" t="s">
        <v>1775</v>
      </c>
    </row>
    <row r="457" spans="1:17" x14ac:dyDescent="0.3">
      <c r="A457" s="12" t="s">
        <v>391</v>
      </c>
      <c r="B457" s="12" t="s">
        <v>392</v>
      </c>
      <c r="C457" s="12" t="s">
        <v>54</v>
      </c>
      <c r="D457" s="12" t="s">
        <v>1780</v>
      </c>
      <c r="E457" s="12" t="s">
        <v>1781</v>
      </c>
      <c r="F457" s="12">
        <v>209</v>
      </c>
      <c r="G457" s="12">
        <v>163</v>
      </c>
      <c r="H457" s="12">
        <v>46</v>
      </c>
      <c r="I457" s="12">
        <v>67</v>
      </c>
      <c r="J457" s="12">
        <v>18210</v>
      </c>
      <c r="K457" s="12">
        <v>22557.1</v>
      </c>
      <c r="L457" s="12">
        <v>837660</v>
      </c>
      <c r="M457" s="12">
        <v>2</v>
      </c>
      <c r="N457" s="12">
        <v>2</v>
      </c>
      <c r="O457" s="12">
        <v>3.8</v>
      </c>
      <c r="P457" s="14">
        <v>46116</v>
      </c>
      <c r="Q457" s="12" t="s">
        <v>1782</v>
      </c>
    </row>
    <row r="458" spans="1:17" x14ac:dyDescent="0.3">
      <c r="A458" s="12" t="s">
        <v>316</v>
      </c>
      <c r="B458" s="12" t="s">
        <v>317</v>
      </c>
      <c r="C458" s="12" t="s">
        <v>54</v>
      </c>
      <c r="D458" s="12" t="s">
        <v>1773</v>
      </c>
      <c r="E458" s="12" t="s">
        <v>1781</v>
      </c>
      <c r="F458" s="12">
        <v>93</v>
      </c>
      <c r="G458" s="12">
        <v>8</v>
      </c>
      <c r="H458" s="12">
        <v>85</v>
      </c>
      <c r="I458" s="12">
        <v>31</v>
      </c>
      <c r="J458" s="12">
        <v>46078</v>
      </c>
      <c r="K458" s="12">
        <v>51179.7</v>
      </c>
      <c r="L458" s="12">
        <v>3916630</v>
      </c>
      <c r="M458" s="12">
        <v>0</v>
      </c>
      <c r="N458" s="12">
        <v>6</v>
      </c>
      <c r="O458" s="12">
        <v>4.5999999999999996</v>
      </c>
      <c r="P458" s="14">
        <v>46121</v>
      </c>
      <c r="Q458" s="12" t="s">
        <v>1775</v>
      </c>
    </row>
    <row r="459" spans="1:17" x14ac:dyDescent="0.3">
      <c r="A459" s="12" t="s">
        <v>213</v>
      </c>
      <c r="B459" s="12" t="s">
        <v>214</v>
      </c>
      <c r="C459" s="12" t="s">
        <v>54</v>
      </c>
      <c r="D459" s="12" t="s">
        <v>1773</v>
      </c>
      <c r="E459" s="12" t="s">
        <v>1779</v>
      </c>
      <c r="F459" s="12">
        <v>193</v>
      </c>
      <c r="G459" s="12">
        <v>46</v>
      </c>
      <c r="H459" s="12">
        <v>147</v>
      </c>
      <c r="I459" s="12">
        <v>66</v>
      </c>
      <c r="J459" s="12">
        <v>50985</v>
      </c>
      <c r="K459" s="12">
        <v>65754.710000000006</v>
      </c>
      <c r="L459" s="12">
        <v>7494795</v>
      </c>
      <c r="M459" s="12">
        <v>3</v>
      </c>
      <c r="N459" s="12">
        <v>3</v>
      </c>
      <c r="O459" s="12">
        <v>3.7</v>
      </c>
      <c r="P459" s="14">
        <v>46065</v>
      </c>
      <c r="Q459" s="12" t="s">
        <v>1775</v>
      </c>
    </row>
    <row r="460" spans="1:17" x14ac:dyDescent="0.3">
      <c r="A460" s="12" t="s">
        <v>135</v>
      </c>
      <c r="B460" s="12" t="s">
        <v>136</v>
      </c>
      <c r="C460" s="12" t="s">
        <v>30</v>
      </c>
      <c r="D460" s="12" t="s">
        <v>1780</v>
      </c>
      <c r="E460" s="12" t="s">
        <v>1774</v>
      </c>
      <c r="F460" s="12">
        <v>166</v>
      </c>
      <c r="G460" s="12">
        <v>22</v>
      </c>
      <c r="H460" s="12">
        <v>144</v>
      </c>
      <c r="I460" s="12">
        <v>53</v>
      </c>
      <c r="J460" s="12">
        <v>35967</v>
      </c>
      <c r="K460" s="12">
        <v>46065.25</v>
      </c>
      <c r="L460" s="12">
        <v>5179248</v>
      </c>
      <c r="M460" s="12">
        <v>4</v>
      </c>
      <c r="N460" s="12">
        <v>11</v>
      </c>
      <c r="O460" s="12">
        <v>4.3</v>
      </c>
      <c r="P460" s="14">
        <v>46046</v>
      </c>
      <c r="Q460" s="12" t="s">
        <v>1775</v>
      </c>
    </row>
    <row r="461" spans="1:17" x14ac:dyDescent="0.3">
      <c r="A461" s="12" t="s">
        <v>265</v>
      </c>
      <c r="B461" s="12" t="s">
        <v>266</v>
      </c>
      <c r="C461" s="12" t="s">
        <v>71</v>
      </c>
      <c r="D461" s="12" t="s">
        <v>1773</v>
      </c>
      <c r="E461" s="12" t="s">
        <v>1777</v>
      </c>
      <c r="F461" s="12">
        <v>300</v>
      </c>
      <c r="G461" s="12">
        <v>6</v>
      </c>
      <c r="H461" s="12">
        <v>294</v>
      </c>
      <c r="I461" s="12">
        <v>33</v>
      </c>
      <c r="J461" s="12">
        <v>33915</v>
      </c>
      <c r="K461" s="12">
        <v>42385.41</v>
      </c>
      <c r="L461" s="12">
        <v>9971010</v>
      </c>
      <c r="M461" s="12">
        <v>5</v>
      </c>
      <c r="N461" s="12">
        <v>2</v>
      </c>
      <c r="O461" s="12">
        <v>3.7</v>
      </c>
      <c r="P461" s="14">
        <v>46179</v>
      </c>
      <c r="Q461" s="12" t="s">
        <v>1775</v>
      </c>
    </row>
    <row r="462" spans="1:17" x14ac:dyDescent="0.3">
      <c r="A462" s="12" t="s">
        <v>147</v>
      </c>
      <c r="B462" s="12" t="s">
        <v>148</v>
      </c>
      <c r="C462" s="12" t="s">
        <v>71</v>
      </c>
      <c r="D462" s="12" t="s">
        <v>1778</v>
      </c>
      <c r="E462" s="12" t="s">
        <v>1781</v>
      </c>
      <c r="F462" s="12">
        <v>480</v>
      </c>
      <c r="G462" s="12">
        <v>269</v>
      </c>
      <c r="H462" s="12">
        <v>211</v>
      </c>
      <c r="I462" s="12">
        <v>56</v>
      </c>
      <c r="J462" s="12">
        <v>38794</v>
      </c>
      <c r="K462" s="12">
        <v>44689.21</v>
      </c>
      <c r="L462" s="12">
        <v>8185534</v>
      </c>
      <c r="M462" s="12">
        <v>5</v>
      </c>
      <c r="N462" s="12">
        <v>2</v>
      </c>
      <c r="O462" s="12">
        <v>5</v>
      </c>
      <c r="P462" s="14">
        <v>46057</v>
      </c>
      <c r="Q462" s="12" t="s">
        <v>1775</v>
      </c>
    </row>
    <row r="463" spans="1:17" x14ac:dyDescent="0.3">
      <c r="A463" s="12" t="s">
        <v>238</v>
      </c>
      <c r="B463" s="12" t="s">
        <v>239</v>
      </c>
      <c r="C463" s="12" t="s">
        <v>71</v>
      </c>
      <c r="D463" s="12" t="s">
        <v>1776</v>
      </c>
      <c r="E463" s="12" t="s">
        <v>1777</v>
      </c>
      <c r="F463" s="12">
        <v>190</v>
      </c>
      <c r="G463" s="12">
        <v>71</v>
      </c>
      <c r="H463" s="12">
        <v>119</v>
      </c>
      <c r="I463" s="12">
        <v>24</v>
      </c>
      <c r="J463" s="12">
        <v>45876</v>
      </c>
      <c r="K463" s="12">
        <v>63388.11</v>
      </c>
      <c r="L463" s="12">
        <v>5459244</v>
      </c>
      <c r="M463" s="12">
        <v>3</v>
      </c>
      <c r="N463" s="12">
        <v>15</v>
      </c>
      <c r="O463" s="12">
        <v>4.2</v>
      </c>
      <c r="P463" s="14">
        <v>46174</v>
      </c>
      <c r="Q463" s="12" t="s">
        <v>1775</v>
      </c>
    </row>
    <row r="464" spans="1:17" x14ac:dyDescent="0.3">
      <c r="A464" s="12" t="s">
        <v>85</v>
      </c>
      <c r="B464" s="12" t="s">
        <v>86</v>
      </c>
      <c r="C464" s="12" t="s">
        <v>71</v>
      </c>
      <c r="D464" s="12" t="s">
        <v>1778</v>
      </c>
      <c r="E464" s="12" t="s">
        <v>1777</v>
      </c>
      <c r="F464" s="12">
        <v>138</v>
      </c>
      <c r="G464" s="12">
        <v>84</v>
      </c>
      <c r="H464" s="12">
        <v>54</v>
      </c>
      <c r="I464" s="12">
        <v>70</v>
      </c>
      <c r="J464" s="12">
        <v>37225</v>
      </c>
      <c r="K464" s="12">
        <v>49064.81</v>
      </c>
      <c r="L464" s="12">
        <v>2010150</v>
      </c>
      <c r="M464" s="12">
        <v>4</v>
      </c>
      <c r="N464" s="12">
        <v>3</v>
      </c>
      <c r="O464" s="12">
        <v>4.2</v>
      </c>
      <c r="P464" s="14">
        <v>46163</v>
      </c>
      <c r="Q464" s="12" t="s">
        <v>1782</v>
      </c>
    </row>
    <row r="465" spans="1:17" x14ac:dyDescent="0.3">
      <c r="A465" s="12" t="s">
        <v>574</v>
      </c>
      <c r="B465" s="12" t="s">
        <v>575</v>
      </c>
      <c r="C465" s="12" t="s">
        <v>30</v>
      </c>
      <c r="D465" s="12" t="s">
        <v>1773</v>
      </c>
      <c r="E465" s="12" t="s">
        <v>1774</v>
      </c>
      <c r="F465" s="12">
        <v>201</v>
      </c>
      <c r="G465" s="12">
        <v>14</v>
      </c>
      <c r="H465" s="12">
        <v>187</v>
      </c>
      <c r="I465" s="12">
        <v>31</v>
      </c>
      <c r="J465" s="12">
        <v>30900</v>
      </c>
      <c r="K465" s="12">
        <v>38655.57</v>
      </c>
      <c r="L465" s="12">
        <v>5778300</v>
      </c>
      <c r="M465" s="12">
        <v>2</v>
      </c>
      <c r="N465" s="12">
        <v>4</v>
      </c>
      <c r="O465" s="12">
        <v>4.3</v>
      </c>
      <c r="P465" s="14">
        <v>46191</v>
      </c>
      <c r="Q465" s="12" t="s">
        <v>1775</v>
      </c>
    </row>
    <row r="466" spans="1:17" x14ac:dyDescent="0.3">
      <c r="A466" s="12" t="s">
        <v>371</v>
      </c>
      <c r="B466" s="12" t="s">
        <v>372</v>
      </c>
      <c r="C466" s="12" t="s">
        <v>71</v>
      </c>
      <c r="D466" s="12" t="s">
        <v>1776</v>
      </c>
      <c r="E466" s="12" t="s">
        <v>1781</v>
      </c>
      <c r="F466" s="12">
        <v>387</v>
      </c>
      <c r="G466" s="12">
        <v>225</v>
      </c>
      <c r="H466" s="12">
        <v>162</v>
      </c>
      <c r="I466" s="12">
        <v>33</v>
      </c>
      <c r="J466" s="12">
        <v>38733</v>
      </c>
      <c r="K466" s="12">
        <v>47356.04</v>
      </c>
      <c r="L466" s="12">
        <v>6274746</v>
      </c>
      <c r="M466" s="12">
        <v>3</v>
      </c>
      <c r="N466" s="12">
        <v>12</v>
      </c>
      <c r="O466" s="12">
        <v>3.6</v>
      </c>
      <c r="P466" s="14">
        <v>46175</v>
      </c>
      <c r="Q466" s="12" t="s">
        <v>1775</v>
      </c>
    </row>
    <row r="467" spans="1:17" x14ac:dyDescent="0.3">
      <c r="A467" s="12" t="s">
        <v>172</v>
      </c>
      <c r="B467" s="12" t="s">
        <v>173</v>
      </c>
      <c r="C467" s="12" t="s">
        <v>54</v>
      </c>
      <c r="D467" s="12" t="s">
        <v>1780</v>
      </c>
      <c r="E467" s="12" t="s">
        <v>1779</v>
      </c>
      <c r="F467" s="12">
        <v>265</v>
      </c>
      <c r="G467" s="12">
        <v>234</v>
      </c>
      <c r="H467" s="12">
        <v>31</v>
      </c>
      <c r="I467" s="12">
        <v>55</v>
      </c>
      <c r="J467" s="12">
        <v>18422</v>
      </c>
      <c r="K467" s="12">
        <v>24499.94</v>
      </c>
      <c r="L467" s="12">
        <v>571082</v>
      </c>
      <c r="M467" s="12">
        <v>3</v>
      </c>
      <c r="N467" s="12">
        <v>12</v>
      </c>
      <c r="O467" s="12">
        <v>3.9</v>
      </c>
      <c r="P467" s="14">
        <v>46191</v>
      </c>
      <c r="Q467" s="12" t="s">
        <v>1782</v>
      </c>
    </row>
    <row r="468" spans="1:17" x14ac:dyDescent="0.3">
      <c r="A468" s="12" t="s">
        <v>189</v>
      </c>
      <c r="B468" s="12" t="s">
        <v>190</v>
      </c>
      <c r="C468" s="12" t="s">
        <v>102</v>
      </c>
      <c r="D468" s="12" t="s">
        <v>1776</v>
      </c>
      <c r="E468" s="12" t="s">
        <v>1781</v>
      </c>
      <c r="F468" s="12">
        <v>259</v>
      </c>
      <c r="G468" s="12">
        <v>130</v>
      </c>
      <c r="H468" s="12">
        <v>129</v>
      </c>
      <c r="I468" s="12">
        <v>77</v>
      </c>
      <c r="J468" s="12">
        <v>29715</v>
      </c>
      <c r="K468" s="12">
        <v>41225.29</v>
      </c>
      <c r="L468" s="12">
        <v>3833235</v>
      </c>
      <c r="M468" s="12">
        <v>2</v>
      </c>
      <c r="N468" s="12">
        <v>12</v>
      </c>
      <c r="O468" s="12">
        <v>3.9</v>
      </c>
      <c r="P468" s="14">
        <v>46121</v>
      </c>
      <c r="Q468" s="12" t="s">
        <v>1775</v>
      </c>
    </row>
    <row r="469" spans="1:17" x14ac:dyDescent="0.3">
      <c r="A469" s="12" t="s">
        <v>52</v>
      </c>
      <c r="B469" s="12" t="s">
        <v>53</v>
      </c>
      <c r="C469" s="12" t="s">
        <v>54</v>
      </c>
      <c r="D469" s="12" t="s">
        <v>1778</v>
      </c>
      <c r="E469" s="12" t="s">
        <v>1777</v>
      </c>
      <c r="F469" s="12">
        <v>476</v>
      </c>
      <c r="G469" s="12">
        <v>33</v>
      </c>
      <c r="H469" s="12">
        <v>443</v>
      </c>
      <c r="I469" s="12">
        <v>79</v>
      </c>
      <c r="J469" s="12">
        <v>21607</v>
      </c>
      <c r="K469" s="12">
        <v>28804.54</v>
      </c>
      <c r="L469" s="12">
        <v>9571901</v>
      </c>
      <c r="M469" s="12">
        <v>2</v>
      </c>
      <c r="N469" s="12">
        <v>2</v>
      </c>
      <c r="O469" s="12">
        <v>4.0999999999999996</v>
      </c>
      <c r="P469" s="14">
        <v>46191</v>
      </c>
      <c r="Q469" s="12" t="s">
        <v>1775</v>
      </c>
    </row>
    <row r="470" spans="1:17" x14ac:dyDescent="0.3">
      <c r="A470" s="12" t="s">
        <v>374</v>
      </c>
      <c r="B470" s="12" t="s">
        <v>375</v>
      </c>
      <c r="C470" s="12" t="s">
        <v>54</v>
      </c>
      <c r="D470" s="12" t="s">
        <v>1780</v>
      </c>
      <c r="E470" s="12" t="s">
        <v>1774</v>
      </c>
      <c r="F470" s="12">
        <v>370</v>
      </c>
      <c r="G470" s="12">
        <v>328</v>
      </c>
      <c r="H470" s="12">
        <v>42</v>
      </c>
      <c r="I470" s="12">
        <v>24</v>
      </c>
      <c r="J470" s="12">
        <v>29508</v>
      </c>
      <c r="K470" s="12">
        <v>36864.51</v>
      </c>
      <c r="L470" s="12">
        <v>1239336</v>
      </c>
      <c r="M470" s="12">
        <v>2</v>
      </c>
      <c r="N470" s="12">
        <v>3</v>
      </c>
      <c r="O470" s="12">
        <v>4.2</v>
      </c>
      <c r="P470" s="14">
        <v>46197</v>
      </c>
      <c r="Q470" s="12" t="s">
        <v>1775</v>
      </c>
    </row>
    <row r="471" spans="1:17" x14ac:dyDescent="0.3">
      <c r="A471" s="12" t="s">
        <v>334</v>
      </c>
      <c r="B471" s="12" t="s">
        <v>335</v>
      </c>
      <c r="C471" s="12" t="s">
        <v>71</v>
      </c>
      <c r="D471" s="12" t="s">
        <v>1776</v>
      </c>
      <c r="E471" s="12" t="s">
        <v>1781</v>
      </c>
      <c r="F471" s="12">
        <v>127</v>
      </c>
      <c r="G471" s="12">
        <v>100</v>
      </c>
      <c r="H471" s="12">
        <v>27</v>
      </c>
      <c r="I471" s="12">
        <v>21</v>
      </c>
      <c r="J471" s="12">
        <v>35905</v>
      </c>
      <c r="K471" s="12">
        <v>45184.12</v>
      </c>
      <c r="L471" s="12">
        <v>969435</v>
      </c>
      <c r="M471" s="12">
        <v>2</v>
      </c>
      <c r="N471" s="12">
        <v>12</v>
      </c>
      <c r="O471" s="12">
        <v>4.8</v>
      </c>
      <c r="P471" s="14">
        <v>46112</v>
      </c>
      <c r="Q471" s="12" t="s">
        <v>1775</v>
      </c>
    </row>
    <row r="472" spans="1:17" x14ac:dyDescent="0.3">
      <c r="A472" s="12" t="s">
        <v>762</v>
      </c>
      <c r="B472" s="12" t="s">
        <v>763</v>
      </c>
      <c r="C472" s="12" t="s">
        <v>54</v>
      </c>
      <c r="D472" s="12" t="s">
        <v>1773</v>
      </c>
      <c r="E472" s="12" t="s">
        <v>1774</v>
      </c>
      <c r="F472" s="12">
        <v>229</v>
      </c>
      <c r="G472" s="12">
        <v>79</v>
      </c>
      <c r="H472" s="12">
        <v>150</v>
      </c>
      <c r="I472" s="12">
        <v>48</v>
      </c>
      <c r="J472" s="12">
        <v>24578</v>
      </c>
      <c r="K472" s="12">
        <v>31661.759999999998</v>
      </c>
      <c r="L472" s="12">
        <v>3686700</v>
      </c>
      <c r="M472" s="12">
        <v>5</v>
      </c>
      <c r="N472" s="12">
        <v>13</v>
      </c>
      <c r="O472" s="12">
        <v>3.9</v>
      </c>
      <c r="P472" s="14">
        <v>46185</v>
      </c>
      <c r="Q472" s="12" t="s">
        <v>1775</v>
      </c>
    </row>
    <row r="473" spans="1:17" x14ac:dyDescent="0.3">
      <c r="A473" s="12" t="s">
        <v>62</v>
      </c>
      <c r="B473" s="12" t="s">
        <v>63</v>
      </c>
      <c r="C473" s="12" t="s">
        <v>54</v>
      </c>
      <c r="D473" s="12" t="s">
        <v>1778</v>
      </c>
      <c r="E473" s="12" t="s">
        <v>1779</v>
      </c>
      <c r="F473" s="12">
        <v>474</v>
      </c>
      <c r="G473" s="12">
        <v>111</v>
      </c>
      <c r="H473" s="12">
        <v>363</v>
      </c>
      <c r="I473" s="12">
        <v>21</v>
      </c>
      <c r="J473" s="12">
        <v>46055</v>
      </c>
      <c r="K473" s="12">
        <v>51074.8</v>
      </c>
      <c r="L473" s="12">
        <v>16717965</v>
      </c>
      <c r="M473" s="12">
        <v>1</v>
      </c>
      <c r="N473" s="12">
        <v>10</v>
      </c>
      <c r="O473" s="12">
        <v>3.7</v>
      </c>
      <c r="P473" s="14">
        <v>46031</v>
      </c>
      <c r="Q473" s="12" t="s">
        <v>1775</v>
      </c>
    </row>
    <row r="474" spans="1:17" x14ac:dyDescent="0.3">
      <c r="A474" s="12" t="s">
        <v>85</v>
      </c>
      <c r="B474" s="12" t="s">
        <v>86</v>
      </c>
      <c r="C474" s="12" t="s">
        <v>71</v>
      </c>
      <c r="D474" s="12" t="s">
        <v>1776</v>
      </c>
      <c r="E474" s="12" t="s">
        <v>1781</v>
      </c>
      <c r="F474" s="12">
        <v>109</v>
      </c>
      <c r="G474" s="12">
        <v>79</v>
      </c>
      <c r="H474" s="12">
        <v>30</v>
      </c>
      <c r="I474" s="12">
        <v>24</v>
      </c>
      <c r="J474" s="12">
        <v>51636</v>
      </c>
      <c r="K474" s="12">
        <v>64236.18</v>
      </c>
      <c r="L474" s="12">
        <v>1549080</v>
      </c>
      <c r="M474" s="12">
        <v>3</v>
      </c>
      <c r="N474" s="12">
        <v>12</v>
      </c>
      <c r="O474" s="12">
        <v>3.8</v>
      </c>
      <c r="P474" s="14">
        <v>46201</v>
      </c>
      <c r="Q474" s="12" t="s">
        <v>1775</v>
      </c>
    </row>
    <row r="475" spans="1:17" x14ac:dyDescent="0.3">
      <c r="A475" s="12" t="s">
        <v>141</v>
      </c>
      <c r="B475" s="12" t="s">
        <v>142</v>
      </c>
      <c r="C475" s="12" t="s">
        <v>71</v>
      </c>
      <c r="D475" s="12" t="s">
        <v>1776</v>
      </c>
      <c r="E475" s="12" t="s">
        <v>1781</v>
      </c>
      <c r="F475" s="12">
        <v>498</v>
      </c>
      <c r="G475" s="12">
        <v>13</v>
      </c>
      <c r="H475" s="12">
        <v>485</v>
      </c>
      <c r="I475" s="12">
        <v>66</v>
      </c>
      <c r="J475" s="12">
        <v>46665</v>
      </c>
      <c r="K475" s="12">
        <v>63615.199999999997</v>
      </c>
      <c r="L475" s="12">
        <v>22632525</v>
      </c>
      <c r="M475" s="12">
        <v>5</v>
      </c>
      <c r="N475" s="12">
        <v>3</v>
      </c>
      <c r="O475" s="12">
        <v>4.9000000000000004</v>
      </c>
      <c r="P475" s="14">
        <v>46117</v>
      </c>
      <c r="Q475" s="12" t="s">
        <v>1775</v>
      </c>
    </row>
    <row r="476" spans="1:17" x14ac:dyDescent="0.3">
      <c r="A476" s="12" t="s">
        <v>824</v>
      </c>
      <c r="B476" s="12" t="s">
        <v>825</v>
      </c>
      <c r="C476" s="12" t="s">
        <v>71</v>
      </c>
      <c r="D476" s="12" t="s">
        <v>1780</v>
      </c>
      <c r="E476" s="12" t="s">
        <v>1774</v>
      </c>
      <c r="F476" s="12">
        <v>495</v>
      </c>
      <c r="G476" s="12">
        <v>413</v>
      </c>
      <c r="H476" s="12">
        <v>82</v>
      </c>
      <c r="I476" s="12">
        <v>72</v>
      </c>
      <c r="J476" s="12">
        <v>28464</v>
      </c>
      <c r="K476" s="12">
        <v>35833.120000000003</v>
      </c>
      <c r="L476" s="12">
        <v>2334048</v>
      </c>
      <c r="M476" s="12">
        <v>5</v>
      </c>
      <c r="N476" s="12">
        <v>11</v>
      </c>
      <c r="O476" s="12">
        <v>4.7</v>
      </c>
      <c r="P476" s="14">
        <v>46045</v>
      </c>
      <c r="Q476" s="12" t="s">
        <v>1775</v>
      </c>
    </row>
    <row r="477" spans="1:17" x14ac:dyDescent="0.3">
      <c r="A477" s="12" t="s">
        <v>678</v>
      </c>
      <c r="B477" s="12" t="s">
        <v>679</v>
      </c>
      <c r="C477" s="12" t="s">
        <v>54</v>
      </c>
      <c r="D477" s="12" t="s">
        <v>1776</v>
      </c>
      <c r="E477" s="12" t="s">
        <v>1777</v>
      </c>
      <c r="F477" s="12">
        <v>307</v>
      </c>
      <c r="G477" s="12">
        <v>144</v>
      </c>
      <c r="H477" s="12">
        <v>163</v>
      </c>
      <c r="I477" s="12">
        <v>20</v>
      </c>
      <c r="J477" s="12">
        <v>28882</v>
      </c>
      <c r="K477" s="12">
        <v>32036.98</v>
      </c>
      <c r="L477" s="12">
        <v>4707766</v>
      </c>
      <c r="M477" s="12">
        <v>1</v>
      </c>
      <c r="N477" s="12">
        <v>15</v>
      </c>
      <c r="O477" s="12">
        <v>4.2</v>
      </c>
      <c r="P477" s="14">
        <v>46191</v>
      </c>
      <c r="Q477" s="12" t="s">
        <v>1775</v>
      </c>
    </row>
    <row r="478" spans="1:17" x14ac:dyDescent="0.3">
      <c r="A478" s="12" t="s">
        <v>717</v>
      </c>
      <c r="B478" s="12" t="s">
        <v>718</v>
      </c>
      <c r="C478" s="12" t="s">
        <v>102</v>
      </c>
      <c r="D478" s="12" t="s">
        <v>1776</v>
      </c>
      <c r="E478" s="12" t="s">
        <v>1781</v>
      </c>
      <c r="F478" s="12">
        <v>418</v>
      </c>
      <c r="G478" s="12">
        <v>7</v>
      </c>
      <c r="H478" s="12">
        <v>411</v>
      </c>
      <c r="I478" s="12">
        <v>37</v>
      </c>
      <c r="J478" s="12">
        <v>7971</v>
      </c>
      <c r="K478" s="12">
        <v>10528.1</v>
      </c>
      <c r="L478" s="12">
        <v>3276081</v>
      </c>
      <c r="M478" s="12">
        <v>2</v>
      </c>
      <c r="N478" s="12">
        <v>7</v>
      </c>
      <c r="O478" s="12">
        <v>4.0999999999999996</v>
      </c>
      <c r="P478" s="14">
        <v>46111</v>
      </c>
      <c r="Q478" s="12" t="s">
        <v>1775</v>
      </c>
    </row>
    <row r="479" spans="1:17" x14ac:dyDescent="0.3">
      <c r="A479" s="12" t="s">
        <v>160</v>
      </c>
      <c r="B479" s="12" t="s">
        <v>161</v>
      </c>
      <c r="C479" s="12" t="s">
        <v>102</v>
      </c>
      <c r="D479" s="12" t="s">
        <v>1778</v>
      </c>
      <c r="E479" s="12" t="s">
        <v>1781</v>
      </c>
      <c r="F479" s="12">
        <v>286</v>
      </c>
      <c r="G479" s="12">
        <v>161</v>
      </c>
      <c r="H479" s="12">
        <v>125</v>
      </c>
      <c r="I479" s="12">
        <v>46</v>
      </c>
      <c r="J479" s="12">
        <v>30210</v>
      </c>
      <c r="K479" s="12">
        <v>35947</v>
      </c>
      <c r="L479" s="12">
        <v>3776250</v>
      </c>
      <c r="M479" s="12">
        <v>4</v>
      </c>
      <c r="N479" s="12">
        <v>4</v>
      </c>
      <c r="O479" s="12">
        <v>4.4000000000000004</v>
      </c>
      <c r="P479" s="14">
        <v>46096</v>
      </c>
      <c r="Q479" s="12" t="s">
        <v>1775</v>
      </c>
    </row>
    <row r="480" spans="1:17" x14ac:dyDescent="0.3">
      <c r="A480" s="12" t="s">
        <v>234</v>
      </c>
      <c r="B480" s="12" t="s">
        <v>235</v>
      </c>
      <c r="C480" s="12" t="s">
        <v>102</v>
      </c>
      <c r="D480" s="12" t="s">
        <v>1773</v>
      </c>
      <c r="E480" s="12" t="s">
        <v>1774</v>
      </c>
      <c r="F480" s="12">
        <v>387</v>
      </c>
      <c r="G480" s="12">
        <v>357</v>
      </c>
      <c r="H480" s="12">
        <v>30</v>
      </c>
      <c r="I480" s="12">
        <v>77</v>
      </c>
      <c r="J480" s="12">
        <v>45944</v>
      </c>
      <c r="K480" s="12">
        <v>57442.53</v>
      </c>
      <c r="L480" s="12">
        <v>1378320</v>
      </c>
      <c r="M480" s="12">
        <v>5</v>
      </c>
      <c r="N480" s="12">
        <v>14</v>
      </c>
      <c r="O480" s="12">
        <v>3.6</v>
      </c>
      <c r="P480" s="14">
        <v>46121</v>
      </c>
      <c r="Q480" s="12" t="s">
        <v>1782</v>
      </c>
    </row>
    <row r="481" spans="1:17" x14ac:dyDescent="0.3">
      <c r="A481" s="12" t="s">
        <v>546</v>
      </c>
      <c r="B481" s="12" t="s">
        <v>547</v>
      </c>
      <c r="C481" s="12" t="s">
        <v>71</v>
      </c>
      <c r="D481" s="12" t="s">
        <v>1778</v>
      </c>
      <c r="E481" s="12" t="s">
        <v>1781</v>
      </c>
      <c r="F481" s="12">
        <v>162</v>
      </c>
      <c r="G481" s="12">
        <v>112</v>
      </c>
      <c r="H481" s="12">
        <v>50</v>
      </c>
      <c r="I481" s="12">
        <v>36</v>
      </c>
      <c r="J481" s="12">
        <v>56831</v>
      </c>
      <c r="K481" s="12">
        <v>77608.460000000006</v>
      </c>
      <c r="L481" s="12">
        <v>2841550</v>
      </c>
      <c r="M481" s="12">
        <v>5</v>
      </c>
      <c r="N481" s="12">
        <v>10</v>
      </c>
      <c r="O481" s="12">
        <v>4.5</v>
      </c>
      <c r="P481" s="14">
        <v>46110</v>
      </c>
      <c r="Q481" s="12" t="s">
        <v>1775</v>
      </c>
    </row>
    <row r="482" spans="1:17" x14ac:dyDescent="0.3">
      <c r="A482" s="12" t="s">
        <v>113</v>
      </c>
      <c r="B482" s="12" t="s">
        <v>114</v>
      </c>
      <c r="C482" s="12" t="s">
        <v>102</v>
      </c>
      <c r="D482" s="12" t="s">
        <v>1773</v>
      </c>
      <c r="E482" s="12" t="s">
        <v>1774</v>
      </c>
      <c r="F482" s="12">
        <v>183</v>
      </c>
      <c r="G482" s="12">
        <v>74</v>
      </c>
      <c r="H482" s="12">
        <v>109</v>
      </c>
      <c r="I482" s="12">
        <v>23</v>
      </c>
      <c r="J482" s="12">
        <v>10167</v>
      </c>
      <c r="K482" s="12">
        <v>13147.53</v>
      </c>
      <c r="L482" s="12">
        <v>1108203</v>
      </c>
      <c r="M482" s="12">
        <v>4</v>
      </c>
      <c r="N482" s="12">
        <v>7</v>
      </c>
      <c r="O482" s="12">
        <v>4.0999999999999996</v>
      </c>
      <c r="P482" s="14">
        <v>46041</v>
      </c>
      <c r="Q482" s="12" t="s">
        <v>1775</v>
      </c>
    </row>
    <row r="483" spans="1:17" x14ac:dyDescent="0.3">
      <c r="A483" s="12" t="s">
        <v>281</v>
      </c>
      <c r="B483" s="12" t="s">
        <v>282</v>
      </c>
      <c r="C483" s="12" t="s">
        <v>30</v>
      </c>
      <c r="D483" s="12" t="s">
        <v>1773</v>
      </c>
      <c r="E483" s="12" t="s">
        <v>1777</v>
      </c>
      <c r="F483" s="12">
        <v>105</v>
      </c>
      <c r="G483" s="12">
        <v>79</v>
      </c>
      <c r="H483" s="12">
        <v>26</v>
      </c>
      <c r="I483" s="12">
        <v>56</v>
      </c>
      <c r="J483" s="12">
        <v>37763</v>
      </c>
      <c r="K483" s="12">
        <v>46775.78</v>
      </c>
      <c r="L483" s="12">
        <v>981838</v>
      </c>
      <c r="M483" s="12">
        <v>3</v>
      </c>
      <c r="N483" s="12">
        <v>6</v>
      </c>
      <c r="O483" s="12">
        <v>4.3</v>
      </c>
      <c r="P483" s="14">
        <v>46126</v>
      </c>
      <c r="Q483" s="12" t="s">
        <v>1782</v>
      </c>
    </row>
    <row r="484" spans="1:17" x14ac:dyDescent="0.3">
      <c r="A484" s="12" t="s">
        <v>100</v>
      </c>
      <c r="B484" s="12" t="s">
        <v>101</v>
      </c>
      <c r="C484" s="12" t="s">
        <v>102</v>
      </c>
      <c r="D484" s="12" t="s">
        <v>1776</v>
      </c>
      <c r="E484" s="12" t="s">
        <v>1779</v>
      </c>
      <c r="F484" s="12">
        <v>325</v>
      </c>
      <c r="G484" s="12">
        <v>83</v>
      </c>
      <c r="H484" s="12">
        <v>242</v>
      </c>
      <c r="I484" s="12">
        <v>56</v>
      </c>
      <c r="J484" s="12">
        <v>49407</v>
      </c>
      <c r="K484" s="12">
        <v>67296.86</v>
      </c>
      <c r="L484" s="12">
        <v>11956494</v>
      </c>
      <c r="M484" s="12">
        <v>0</v>
      </c>
      <c r="N484" s="12">
        <v>11</v>
      </c>
      <c r="O484" s="12">
        <v>3.6</v>
      </c>
      <c r="P484" s="14">
        <v>46081</v>
      </c>
      <c r="Q484" s="12" t="s">
        <v>1775</v>
      </c>
    </row>
    <row r="485" spans="1:17" x14ac:dyDescent="0.3">
      <c r="A485" s="12" t="s">
        <v>193</v>
      </c>
      <c r="B485" s="12" t="s">
        <v>194</v>
      </c>
      <c r="C485" s="12" t="s">
        <v>71</v>
      </c>
      <c r="D485" s="12" t="s">
        <v>1776</v>
      </c>
      <c r="E485" s="12" t="s">
        <v>1781</v>
      </c>
      <c r="F485" s="12">
        <v>146</v>
      </c>
      <c r="G485" s="12">
        <v>144</v>
      </c>
      <c r="H485" s="12">
        <v>2</v>
      </c>
      <c r="I485" s="12">
        <v>47</v>
      </c>
      <c r="J485" s="12">
        <v>8804</v>
      </c>
      <c r="K485" s="12">
        <v>11129.04</v>
      </c>
      <c r="L485" s="12">
        <v>17608</v>
      </c>
      <c r="M485" s="12">
        <v>2</v>
      </c>
      <c r="N485" s="12">
        <v>8</v>
      </c>
      <c r="O485" s="12">
        <v>3.7</v>
      </c>
      <c r="P485" s="14">
        <v>46071</v>
      </c>
      <c r="Q485" s="12" t="s">
        <v>1782</v>
      </c>
    </row>
    <row r="486" spans="1:17" x14ac:dyDescent="0.3">
      <c r="A486" s="12" t="s">
        <v>338</v>
      </c>
      <c r="B486" s="12" t="s">
        <v>339</v>
      </c>
      <c r="C486" s="12" t="s">
        <v>54</v>
      </c>
      <c r="D486" s="12" t="s">
        <v>1780</v>
      </c>
      <c r="E486" s="12" t="s">
        <v>1774</v>
      </c>
      <c r="F486" s="12">
        <v>179</v>
      </c>
      <c r="G486" s="12">
        <v>72</v>
      </c>
      <c r="H486" s="12">
        <v>107</v>
      </c>
      <c r="I486" s="12">
        <v>60</v>
      </c>
      <c r="J486" s="12">
        <v>53130</v>
      </c>
      <c r="K486" s="12">
        <v>66558.55</v>
      </c>
      <c r="L486" s="12">
        <v>5684910</v>
      </c>
      <c r="M486" s="12">
        <v>5</v>
      </c>
      <c r="N486" s="12">
        <v>12</v>
      </c>
      <c r="O486" s="12">
        <v>4.8</v>
      </c>
      <c r="P486" s="14">
        <v>46052</v>
      </c>
      <c r="Q486" s="12" t="s">
        <v>1775</v>
      </c>
    </row>
    <row r="487" spans="1:17" x14ac:dyDescent="0.3">
      <c r="A487" s="12" t="s">
        <v>135</v>
      </c>
      <c r="B487" s="12" t="s">
        <v>136</v>
      </c>
      <c r="C487" s="12" t="s">
        <v>30</v>
      </c>
      <c r="D487" s="12" t="s">
        <v>1776</v>
      </c>
      <c r="E487" s="12" t="s">
        <v>1777</v>
      </c>
      <c r="F487" s="12">
        <v>273</v>
      </c>
      <c r="G487" s="12">
        <v>243</v>
      </c>
      <c r="H487" s="12">
        <v>30</v>
      </c>
      <c r="I487" s="12">
        <v>38</v>
      </c>
      <c r="J487" s="12">
        <v>15908</v>
      </c>
      <c r="K487" s="12">
        <v>21680.42</v>
      </c>
      <c r="L487" s="12">
        <v>477240</v>
      </c>
      <c r="M487" s="12">
        <v>0</v>
      </c>
      <c r="N487" s="12">
        <v>12</v>
      </c>
      <c r="O487" s="12">
        <v>4.7</v>
      </c>
      <c r="P487" s="14">
        <v>46097</v>
      </c>
      <c r="Q487" s="12" t="s">
        <v>1782</v>
      </c>
    </row>
    <row r="488" spans="1:17" x14ac:dyDescent="0.3">
      <c r="A488" s="12" t="s">
        <v>334</v>
      </c>
      <c r="B488" s="12" t="s">
        <v>335</v>
      </c>
      <c r="C488" s="12" t="s">
        <v>71</v>
      </c>
      <c r="D488" s="12" t="s">
        <v>1780</v>
      </c>
      <c r="E488" s="12" t="s">
        <v>1779</v>
      </c>
      <c r="F488" s="12">
        <v>478</v>
      </c>
      <c r="G488" s="12">
        <v>358</v>
      </c>
      <c r="H488" s="12">
        <v>120</v>
      </c>
      <c r="I488" s="12">
        <v>37</v>
      </c>
      <c r="J488" s="12">
        <v>32320</v>
      </c>
      <c r="K488" s="12">
        <v>41585.19</v>
      </c>
      <c r="L488" s="12">
        <v>3878400</v>
      </c>
      <c r="M488" s="12">
        <v>2</v>
      </c>
      <c r="N488" s="12">
        <v>13</v>
      </c>
      <c r="O488" s="12">
        <v>3.9</v>
      </c>
      <c r="P488" s="14">
        <v>46180</v>
      </c>
      <c r="Q488" s="12" t="s">
        <v>1775</v>
      </c>
    </row>
    <row r="489" spans="1:17" x14ac:dyDescent="0.3">
      <c r="A489" s="12" t="s">
        <v>762</v>
      </c>
      <c r="B489" s="12" t="s">
        <v>763</v>
      </c>
      <c r="C489" s="12" t="s">
        <v>54</v>
      </c>
      <c r="D489" s="12" t="s">
        <v>1778</v>
      </c>
      <c r="E489" s="12" t="s">
        <v>1774</v>
      </c>
      <c r="F489" s="12">
        <v>449</v>
      </c>
      <c r="G489" s="12">
        <v>286</v>
      </c>
      <c r="H489" s="12">
        <v>163</v>
      </c>
      <c r="I489" s="12">
        <v>21</v>
      </c>
      <c r="J489" s="12">
        <v>810</v>
      </c>
      <c r="K489" s="12">
        <v>1079.27</v>
      </c>
      <c r="L489" s="12">
        <v>132030</v>
      </c>
      <c r="M489" s="12">
        <v>1</v>
      </c>
      <c r="N489" s="12">
        <v>4</v>
      </c>
      <c r="O489" s="12">
        <v>4.8</v>
      </c>
      <c r="P489" s="14">
        <v>46203</v>
      </c>
      <c r="Q489" s="12" t="s">
        <v>1775</v>
      </c>
    </row>
    <row r="490" spans="1:17" x14ac:dyDescent="0.3">
      <c r="A490" s="12" t="s">
        <v>184</v>
      </c>
      <c r="B490" s="12" t="s">
        <v>185</v>
      </c>
      <c r="C490" s="12" t="s">
        <v>102</v>
      </c>
      <c r="D490" s="12" t="s">
        <v>1780</v>
      </c>
      <c r="E490" s="12" t="s">
        <v>1774</v>
      </c>
      <c r="F490" s="12">
        <v>479</v>
      </c>
      <c r="G490" s="12">
        <v>58</v>
      </c>
      <c r="H490" s="12">
        <v>421</v>
      </c>
      <c r="I490" s="12">
        <v>35</v>
      </c>
      <c r="J490" s="12">
        <v>25651</v>
      </c>
      <c r="K490" s="12">
        <v>35056.61</v>
      </c>
      <c r="L490" s="12">
        <v>10799071</v>
      </c>
      <c r="M490" s="12">
        <v>3</v>
      </c>
      <c r="N490" s="12">
        <v>10</v>
      </c>
      <c r="O490" s="12">
        <v>4.3</v>
      </c>
      <c r="P490" s="14">
        <v>46159</v>
      </c>
      <c r="Q490" s="12" t="s">
        <v>1775</v>
      </c>
    </row>
    <row r="491" spans="1:17" x14ac:dyDescent="0.3">
      <c r="A491" s="12" t="s">
        <v>640</v>
      </c>
      <c r="B491" s="12" t="s">
        <v>641</v>
      </c>
      <c r="C491" s="12" t="s">
        <v>54</v>
      </c>
      <c r="D491" s="12" t="s">
        <v>1778</v>
      </c>
      <c r="E491" s="12" t="s">
        <v>1774</v>
      </c>
      <c r="F491" s="12">
        <v>480</v>
      </c>
      <c r="G491" s="12">
        <v>142</v>
      </c>
      <c r="H491" s="12">
        <v>338</v>
      </c>
      <c r="I491" s="12">
        <v>73</v>
      </c>
      <c r="J491" s="12">
        <v>30134</v>
      </c>
      <c r="K491" s="12">
        <v>36688.769999999997</v>
      </c>
      <c r="L491" s="12">
        <v>10185292</v>
      </c>
      <c r="M491" s="12">
        <v>5</v>
      </c>
      <c r="N491" s="12">
        <v>13</v>
      </c>
      <c r="O491" s="12">
        <v>5</v>
      </c>
      <c r="P491" s="14">
        <v>46065</v>
      </c>
      <c r="Q491" s="12" t="s">
        <v>1775</v>
      </c>
    </row>
    <row r="492" spans="1:17" x14ac:dyDescent="0.3">
      <c r="A492" s="12" t="s">
        <v>735</v>
      </c>
      <c r="B492" s="12" t="s">
        <v>736</v>
      </c>
      <c r="C492" s="12" t="s">
        <v>54</v>
      </c>
      <c r="D492" s="12" t="s">
        <v>1773</v>
      </c>
      <c r="E492" s="12" t="s">
        <v>1779</v>
      </c>
      <c r="F492" s="12">
        <v>58</v>
      </c>
      <c r="G492" s="12">
        <v>7</v>
      </c>
      <c r="H492" s="12">
        <v>51</v>
      </c>
      <c r="I492" s="12">
        <v>66</v>
      </c>
      <c r="J492" s="12">
        <v>27619</v>
      </c>
      <c r="K492" s="12">
        <v>30947.18</v>
      </c>
      <c r="L492" s="12">
        <v>1408569</v>
      </c>
      <c r="M492" s="12">
        <v>3</v>
      </c>
      <c r="N492" s="12">
        <v>6</v>
      </c>
      <c r="O492" s="12">
        <v>3.9</v>
      </c>
      <c r="P492" s="14">
        <v>46068</v>
      </c>
      <c r="Q492" s="12" t="s">
        <v>1782</v>
      </c>
    </row>
    <row r="493" spans="1:17" x14ac:dyDescent="0.3">
      <c r="A493" s="12" t="s">
        <v>106</v>
      </c>
      <c r="B493" s="12" t="s">
        <v>107</v>
      </c>
      <c r="C493" s="12" t="s">
        <v>30</v>
      </c>
      <c r="D493" s="12" t="s">
        <v>1778</v>
      </c>
      <c r="E493" s="12" t="s">
        <v>1779</v>
      </c>
      <c r="F493" s="12">
        <v>330</v>
      </c>
      <c r="G493" s="12">
        <v>277</v>
      </c>
      <c r="H493" s="12">
        <v>53</v>
      </c>
      <c r="I493" s="12">
        <v>71</v>
      </c>
      <c r="J493" s="12">
        <v>22292</v>
      </c>
      <c r="K493" s="12">
        <v>30706.58</v>
      </c>
      <c r="L493" s="12">
        <v>1181476</v>
      </c>
      <c r="M493" s="12">
        <v>1</v>
      </c>
      <c r="N493" s="12">
        <v>8</v>
      </c>
      <c r="O493" s="12">
        <v>4</v>
      </c>
      <c r="P493" s="14">
        <v>46117</v>
      </c>
      <c r="Q493" s="12" t="s">
        <v>1782</v>
      </c>
    </row>
    <row r="494" spans="1:17" x14ac:dyDescent="0.3">
      <c r="A494" s="12" t="s">
        <v>541</v>
      </c>
      <c r="B494" s="12" t="s">
        <v>542</v>
      </c>
      <c r="C494" s="12" t="s">
        <v>54</v>
      </c>
      <c r="D494" s="12" t="s">
        <v>1773</v>
      </c>
      <c r="E494" s="12" t="s">
        <v>1781</v>
      </c>
      <c r="F494" s="12">
        <v>453</v>
      </c>
      <c r="G494" s="12">
        <v>257</v>
      </c>
      <c r="H494" s="12">
        <v>196</v>
      </c>
      <c r="I494" s="12">
        <v>50</v>
      </c>
      <c r="J494" s="12">
        <v>48287</v>
      </c>
      <c r="K494" s="12">
        <v>60642.99</v>
      </c>
      <c r="L494" s="12">
        <v>9464252</v>
      </c>
      <c r="M494" s="12">
        <v>3</v>
      </c>
      <c r="N494" s="12">
        <v>9</v>
      </c>
      <c r="O494" s="12">
        <v>4</v>
      </c>
      <c r="P494" s="14">
        <v>46023</v>
      </c>
      <c r="Q494" s="12" t="s">
        <v>1775</v>
      </c>
    </row>
    <row r="495" spans="1:17" x14ac:dyDescent="0.3">
      <c r="A495" s="12" t="s">
        <v>189</v>
      </c>
      <c r="B495" s="12" t="s">
        <v>190</v>
      </c>
      <c r="C495" s="12" t="s">
        <v>102</v>
      </c>
      <c r="D495" s="12" t="s">
        <v>1780</v>
      </c>
      <c r="E495" s="12" t="s">
        <v>1777</v>
      </c>
      <c r="F495" s="12">
        <v>305</v>
      </c>
      <c r="G495" s="12">
        <v>277</v>
      </c>
      <c r="H495" s="12">
        <v>28</v>
      </c>
      <c r="I495" s="12">
        <v>73</v>
      </c>
      <c r="J495" s="12">
        <v>10442</v>
      </c>
      <c r="K495" s="12">
        <v>14471.39</v>
      </c>
      <c r="L495" s="12">
        <v>292376</v>
      </c>
      <c r="M495" s="12">
        <v>0</v>
      </c>
      <c r="N495" s="12">
        <v>10</v>
      </c>
      <c r="O495" s="12">
        <v>4.5</v>
      </c>
      <c r="P495" s="14">
        <v>46155</v>
      </c>
      <c r="Q495" s="12" t="s">
        <v>1782</v>
      </c>
    </row>
    <row r="496" spans="1:17" x14ac:dyDescent="0.3">
      <c r="A496" s="12" t="s">
        <v>52</v>
      </c>
      <c r="B496" s="12" t="s">
        <v>53</v>
      </c>
      <c r="C496" s="12" t="s">
        <v>54</v>
      </c>
      <c r="D496" s="12" t="s">
        <v>1780</v>
      </c>
      <c r="E496" s="12" t="s">
        <v>1774</v>
      </c>
      <c r="F496" s="12">
        <v>260</v>
      </c>
      <c r="G496" s="12">
        <v>249</v>
      </c>
      <c r="H496" s="12">
        <v>11</v>
      </c>
      <c r="I496" s="12">
        <v>25</v>
      </c>
      <c r="J496" s="12">
        <v>53260</v>
      </c>
      <c r="K496" s="12">
        <v>58687.79</v>
      </c>
      <c r="L496" s="12">
        <v>585860</v>
      </c>
      <c r="M496" s="12">
        <v>4</v>
      </c>
      <c r="N496" s="12">
        <v>14</v>
      </c>
      <c r="O496" s="12">
        <v>4.5</v>
      </c>
      <c r="P496" s="14">
        <v>46051</v>
      </c>
      <c r="Q496" s="12" t="s">
        <v>1782</v>
      </c>
    </row>
    <row r="497" spans="1:17" x14ac:dyDescent="0.3">
      <c r="A497" s="12" t="s">
        <v>79</v>
      </c>
      <c r="B497" s="12" t="s">
        <v>80</v>
      </c>
      <c r="C497" s="12" t="s">
        <v>71</v>
      </c>
      <c r="D497" s="12" t="s">
        <v>1773</v>
      </c>
      <c r="E497" s="12" t="s">
        <v>1779</v>
      </c>
      <c r="F497" s="12">
        <v>413</v>
      </c>
      <c r="G497" s="12">
        <v>41</v>
      </c>
      <c r="H497" s="12">
        <v>372</v>
      </c>
      <c r="I497" s="12">
        <v>70</v>
      </c>
      <c r="J497" s="12">
        <v>4222</v>
      </c>
      <c r="K497" s="12">
        <v>5682.28</v>
      </c>
      <c r="L497" s="12">
        <v>1570584</v>
      </c>
      <c r="M497" s="12">
        <v>4</v>
      </c>
      <c r="N497" s="12">
        <v>6</v>
      </c>
      <c r="O497" s="12">
        <v>3.6</v>
      </c>
      <c r="P497" s="14">
        <v>46140</v>
      </c>
      <c r="Q497" s="12" t="s">
        <v>1775</v>
      </c>
    </row>
    <row r="498" spans="1:17" x14ac:dyDescent="0.3">
      <c r="A498" s="12" t="s">
        <v>440</v>
      </c>
      <c r="B498" s="12" t="s">
        <v>441</v>
      </c>
      <c r="C498" s="12" t="s">
        <v>30</v>
      </c>
      <c r="D498" s="12" t="s">
        <v>1773</v>
      </c>
      <c r="E498" s="12" t="s">
        <v>1781</v>
      </c>
      <c r="F498" s="12">
        <v>72</v>
      </c>
      <c r="G498" s="12">
        <v>20</v>
      </c>
      <c r="H498" s="12">
        <v>52</v>
      </c>
      <c r="I498" s="12">
        <v>65</v>
      </c>
      <c r="J498" s="12">
        <v>29461</v>
      </c>
      <c r="K498" s="12">
        <v>39247.620000000003</v>
      </c>
      <c r="L498" s="12">
        <v>1531972</v>
      </c>
      <c r="M498" s="12">
        <v>1</v>
      </c>
      <c r="N498" s="12">
        <v>3</v>
      </c>
      <c r="O498" s="12">
        <v>4.5</v>
      </c>
      <c r="P498" s="14">
        <v>46119</v>
      </c>
      <c r="Q498" s="12" t="s">
        <v>1782</v>
      </c>
    </row>
    <row r="499" spans="1:17" x14ac:dyDescent="0.3">
      <c r="A499" s="12" t="s">
        <v>358</v>
      </c>
      <c r="B499" s="12" t="s">
        <v>359</v>
      </c>
      <c r="C499" s="12" t="s">
        <v>102</v>
      </c>
      <c r="D499" s="12" t="s">
        <v>1773</v>
      </c>
      <c r="E499" s="12" t="s">
        <v>1781</v>
      </c>
      <c r="F499" s="12">
        <v>413</v>
      </c>
      <c r="G499" s="12">
        <v>19</v>
      </c>
      <c r="H499" s="12">
        <v>394</v>
      </c>
      <c r="I499" s="12">
        <v>41</v>
      </c>
      <c r="J499" s="12">
        <v>53336</v>
      </c>
      <c r="K499" s="12">
        <v>67653.429999999993</v>
      </c>
      <c r="L499" s="12">
        <v>21014384</v>
      </c>
      <c r="M499" s="12">
        <v>3</v>
      </c>
      <c r="N499" s="12">
        <v>10</v>
      </c>
      <c r="O499" s="12">
        <v>4.3</v>
      </c>
      <c r="P499" s="14">
        <v>46118</v>
      </c>
      <c r="Q499" s="12" t="s">
        <v>1775</v>
      </c>
    </row>
    <row r="500" spans="1:17" x14ac:dyDescent="0.3">
      <c r="A500" s="12" t="s">
        <v>387</v>
      </c>
      <c r="B500" s="12" t="s">
        <v>388</v>
      </c>
      <c r="C500" s="12" t="s">
        <v>54</v>
      </c>
      <c r="D500" s="12" t="s">
        <v>1773</v>
      </c>
      <c r="E500" s="12" t="s">
        <v>1774</v>
      </c>
      <c r="F500" s="12">
        <v>338</v>
      </c>
      <c r="G500" s="12">
        <v>111</v>
      </c>
      <c r="H500" s="12">
        <v>227</v>
      </c>
      <c r="I500" s="12">
        <v>62</v>
      </c>
      <c r="J500" s="12">
        <v>10815</v>
      </c>
      <c r="K500" s="12">
        <v>13186.93</v>
      </c>
      <c r="L500" s="12">
        <v>2455005</v>
      </c>
      <c r="M500" s="12">
        <v>2</v>
      </c>
      <c r="N500" s="12">
        <v>4</v>
      </c>
      <c r="O500" s="12">
        <v>3.8</v>
      </c>
      <c r="P500" s="14">
        <v>46094</v>
      </c>
      <c r="Q500" s="12" t="s">
        <v>1775</v>
      </c>
    </row>
    <row r="501" spans="1:17" x14ac:dyDescent="0.3">
      <c r="A501" s="12" t="s">
        <v>735</v>
      </c>
      <c r="B501" s="12" t="s">
        <v>736</v>
      </c>
      <c r="C501" s="12" t="s">
        <v>54</v>
      </c>
      <c r="D501" s="12" t="s">
        <v>1776</v>
      </c>
      <c r="E501" s="12" t="s">
        <v>1781</v>
      </c>
      <c r="F501" s="12">
        <v>270</v>
      </c>
      <c r="G501" s="12">
        <v>267</v>
      </c>
      <c r="H501" s="12">
        <v>3</v>
      </c>
      <c r="I501" s="12">
        <v>48</v>
      </c>
      <c r="J501" s="12">
        <v>16262</v>
      </c>
      <c r="K501" s="12">
        <v>22428.55</v>
      </c>
      <c r="L501" s="12">
        <v>48786</v>
      </c>
      <c r="M501" s="12">
        <v>5</v>
      </c>
      <c r="N501" s="12">
        <v>3</v>
      </c>
      <c r="O501" s="12">
        <v>4.9000000000000004</v>
      </c>
      <c r="P501" s="14">
        <v>46179</v>
      </c>
      <c r="Q501" s="12" t="s">
        <v>1782</v>
      </c>
    </row>
    <row r="502" spans="1:17" x14ac:dyDescent="0.3">
      <c r="A502" s="12" t="s">
        <v>95</v>
      </c>
      <c r="B502" s="12" t="s">
        <v>96</v>
      </c>
      <c r="C502" s="12" t="s">
        <v>54</v>
      </c>
      <c r="D502" s="12" t="s">
        <v>1778</v>
      </c>
      <c r="E502" s="12" t="s">
        <v>1779</v>
      </c>
      <c r="F502" s="12">
        <v>147</v>
      </c>
      <c r="G502" s="12">
        <v>127</v>
      </c>
      <c r="H502" s="12">
        <v>20</v>
      </c>
      <c r="I502" s="12">
        <v>60</v>
      </c>
      <c r="J502" s="12">
        <v>8832</v>
      </c>
      <c r="K502" s="12">
        <v>12125.42</v>
      </c>
      <c r="L502" s="12">
        <v>176640</v>
      </c>
      <c r="M502" s="12">
        <v>2</v>
      </c>
      <c r="N502" s="12">
        <v>9</v>
      </c>
      <c r="O502" s="12">
        <v>3.7</v>
      </c>
      <c r="P502" s="14">
        <v>46078</v>
      </c>
      <c r="Q502" s="12" t="s">
        <v>1782</v>
      </c>
    </row>
    <row r="503" spans="1:17" x14ac:dyDescent="0.3">
      <c r="A503" s="12" t="s">
        <v>261</v>
      </c>
      <c r="B503" s="12" t="s">
        <v>262</v>
      </c>
      <c r="C503" s="12" t="s">
        <v>102</v>
      </c>
      <c r="D503" s="12" t="s">
        <v>1778</v>
      </c>
      <c r="E503" s="12" t="s">
        <v>1777</v>
      </c>
      <c r="F503" s="12">
        <v>330</v>
      </c>
      <c r="G503" s="12">
        <v>323</v>
      </c>
      <c r="H503" s="12">
        <v>7</v>
      </c>
      <c r="I503" s="12">
        <v>40</v>
      </c>
      <c r="J503" s="12">
        <v>4194</v>
      </c>
      <c r="K503" s="12">
        <v>5376.4</v>
      </c>
      <c r="L503" s="12">
        <v>29358</v>
      </c>
      <c r="M503" s="12">
        <v>0</v>
      </c>
      <c r="N503" s="12">
        <v>9</v>
      </c>
      <c r="O503" s="12">
        <v>4.4000000000000004</v>
      </c>
      <c r="P503" s="14">
        <v>46027</v>
      </c>
      <c r="Q503" s="12" t="s">
        <v>1782</v>
      </c>
    </row>
    <row r="504" spans="1:17" x14ac:dyDescent="0.3">
      <c r="A504" s="12" t="s">
        <v>396</v>
      </c>
      <c r="B504" s="12" t="s">
        <v>397</v>
      </c>
      <c r="C504" s="12" t="s">
        <v>54</v>
      </c>
      <c r="D504" s="12" t="s">
        <v>1773</v>
      </c>
      <c r="E504" s="12" t="s">
        <v>1781</v>
      </c>
      <c r="F504" s="12">
        <v>430</v>
      </c>
      <c r="G504" s="12">
        <v>211</v>
      </c>
      <c r="H504" s="12">
        <v>219</v>
      </c>
      <c r="I504" s="12">
        <v>39</v>
      </c>
      <c r="J504" s="12">
        <v>43632</v>
      </c>
      <c r="K504" s="12">
        <v>59287.25</v>
      </c>
      <c r="L504" s="12">
        <v>9555408</v>
      </c>
      <c r="M504" s="12">
        <v>0</v>
      </c>
      <c r="N504" s="12">
        <v>9</v>
      </c>
      <c r="O504" s="12">
        <v>4.3</v>
      </c>
      <c r="P504" s="14">
        <v>46091</v>
      </c>
      <c r="Q504" s="12" t="s">
        <v>1775</v>
      </c>
    </row>
    <row r="505" spans="1:17" x14ac:dyDescent="0.3">
      <c r="A505" s="12" t="s">
        <v>253</v>
      </c>
      <c r="B505" s="12" t="s">
        <v>254</v>
      </c>
      <c r="C505" s="12" t="s">
        <v>54</v>
      </c>
      <c r="D505" s="12" t="s">
        <v>1778</v>
      </c>
      <c r="E505" s="12" t="s">
        <v>1781</v>
      </c>
      <c r="F505" s="12">
        <v>177</v>
      </c>
      <c r="G505" s="12">
        <v>158</v>
      </c>
      <c r="H505" s="12">
        <v>19</v>
      </c>
      <c r="I505" s="12">
        <v>36</v>
      </c>
      <c r="J505" s="12">
        <v>18349</v>
      </c>
      <c r="K505" s="12">
        <v>20298.72</v>
      </c>
      <c r="L505" s="12">
        <v>348631</v>
      </c>
      <c r="M505" s="12">
        <v>2</v>
      </c>
      <c r="N505" s="12">
        <v>13</v>
      </c>
      <c r="O505" s="12">
        <v>3.5</v>
      </c>
      <c r="P505" s="14">
        <v>46046</v>
      </c>
      <c r="Q505" s="12" t="s">
        <v>1782</v>
      </c>
    </row>
    <row r="506" spans="1:17" x14ac:dyDescent="0.3">
      <c r="A506" s="12" t="s">
        <v>69</v>
      </c>
      <c r="B506" s="12" t="s">
        <v>70</v>
      </c>
      <c r="C506" s="12" t="s">
        <v>71</v>
      </c>
      <c r="D506" s="12" t="s">
        <v>1780</v>
      </c>
      <c r="E506" s="12" t="s">
        <v>1781</v>
      </c>
      <c r="F506" s="12">
        <v>479</v>
      </c>
      <c r="G506" s="12">
        <v>215</v>
      </c>
      <c r="H506" s="12">
        <v>264</v>
      </c>
      <c r="I506" s="12">
        <v>70</v>
      </c>
      <c r="J506" s="12">
        <v>53583</v>
      </c>
      <c r="K506" s="12">
        <v>64846.28</v>
      </c>
      <c r="L506" s="12">
        <v>14145912</v>
      </c>
      <c r="M506" s="12">
        <v>4</v>
      </c>
      <c r="N506" s="12">
        <v>3</v>
      </c>
      <c r="O506" s="12">
        <v>4.0999999999999996</v>
      </c>
      <c r="P506" s="14">
        <v>46053</v>
      </c>
      <c r="Q506" s="12" t="s">
        <v>1775</v>
      </c>
    </row>
    <row r="507" spans="1:17" x14ac:dyDescent="0.3">
      <c r="A507" s="12" t="s">
        <v>415</v>
      </c>
      <c r="B507" s="12" t="s">
        <v>416</v>
      </c>
      <c r="C507" s="12" t="s">
        <v>30</v>
      </c>
      <c r="D507" s="12" t="s">
        <v>1776</v>
      </c>
      <c r="E507" s="12" t="s">
        <v>1781</v>
      </c>
      <c r="F507" s="12">
        <v>278</v>
      </c>
      <c r="G507" s="12">
        <v>35</v>
      </c>
      <c r="H507" s="12">
        <v>243</v>
      </c>
      <c r="I507" s="12">
        <v>49</v>
      </c>
      <c r="J507" s="12">
        <v>22956</v>
      </c>
      <c r="K507" s="12">
        <v>25607.23</v>
      </c>
      <c r="L507" s="12">
        <v>5578308</v>
      </c>
      <c r="M507" s="12">
        <v>3</v>
      </c>
      <c r="N507" s="12">
        <v>12</v>
      </c>
      <c r="O507" s="12">
        <v>4.0999999999999996</v>
      </c>
      <c r="P507" s="14">
        <v>46171</v>
      </c>
      <c r="Q507" s="12" t="s">
        <v>1775</v>
      </c>
    </row>
    <row r="508" spans="1:17" x14ac:dyDescent="0.3">
      <c r="A508" s="12" t="s">
        <v>203</v>
      </c>
      <c r="B508" s="12" t="s">
        <v>204</v>
      </c>
      <c r="C508" s="12" t="s">
        <v>71</v>
      </c>
      <c r="D508" s="12" t="s">
        <v>1780</v>
      </c>
      <c r="E508" s="12" t="s">
        <v>1779</v>
      </c>
      <c r="F508" s="12">
        <v>50</v>
      </c>
      <c r="G508" s="12">
        <v>7</v>
      </c>
      <c r="H508" s="12">
        <v>43</v>
      </c>
      <c r="I508" s="12">
        <v>62</v>
      </c>
      <c r="J508" s="12">
        <v>47409</v>
      </c>
      <c r="K508" s="12">
        <v>54625.98</v>
      </c>
      <c r="L508" s="12">
        <v>2038587</v>
      </c>
      <c r="M508" s="12">
        <v>0</v>
      </c>
      <c r="N508" s="12">
        <v>15</v>
      </c>
      <c r="O508" s="12">
        <v>4.7</v>
      </c>
      <c r="P508" s="14">
        <v>46028</v>
      </c>
      <c r="Q508" s="12" t="s">
        <v>1782</v>
      </c>
    </row>
    <row r="509" spans="1:17" x14ac:dyDescent="0.3">
      <c r="A509" s="12" t="s">
        <v>363</v>
      </c>
      <c r="B509" s="12" t="s">
        <v>364</v>
      </c>
      <c r="C509" s="12" t="s">
        <v>54</v>
      </c>
      <c r="D509" s="12" t="s">
        <v>1776</v>
      </c>
      <c r="E509" s="12" t="s">
        <v>1777</v>
      </c>
      <c r="F509" s="12">
        <v>453</v>
      </c>
      <c r="G509" s="12">
        <v>24</v>
      </c>
      <c r="H509" s="12">
        <v>429</v>
      </c>
      <c r="I509" s="12">
        <v>64</v>
      </c>
      <c r="J509" s="12">
        <v>34438</v>
      </c>
      <c r="K509" s="12">
        <v>44938.73</v>
      </c>
      <c r="L509" s="12">
        <v>14773902</v>
      </c>
      <c r="M509" s="12">
        <v>2</v>
      </c>
      <c r="N509" s="12">
        <v>15</v>
      </c>
      <c r="O509" s="12">
        <v>4.2</v>
      </c>
      <c r="P509" s="14">
        <v>46175</v>
      </c>
      <c r="Q509" s="12" t="s">
        <v>1775</v>
      </c>
    </row>
    <row r="510" spans="1:17" x14ac:dyDescent="0.3">
      <c r="A510" s="12" t="s">
        <v>461</v>
      </c>
      <c r="B510" s="12" t="s">
        <v>462</v>
      </c>
      <c r="C510" s="12" t="s">
        <v>71</v>
      </c>
      <c r="D510" s="12" t="s">
        <v>1778</v>
      </c>
      <c r="E510" s="12" t="s">
        <v>1779</v>
      </c>
      <c r="F510" s="12">
        <v>82</v>
      </c>
      <c r="G510" s="12">
        <v>13</v>
      </c>
      <c r="H510" s="12">
        <v>69</v>
      </c>
      <c r="I510" s="12">
        <v>44</v>
      </c>
      <c r="J510" s="12">
        <v>38802</v>
      </c>
      <c r="K510" s="12">
        <v>54120.65</v>
      </c>
      <c r="L510" s="12">
        <v>2677338</v>
      </c>
      <c r="M510" s="12">
        <v>4</v>
      </c>
      <c r="N510" s="12">
        <v>2</v>
      </c>
      <c r="O510" s="12">
        <v>4.5</v>
      </c>
      <c r="P510" s="14">
        <v>46164</v>
      </c>
      <c r="Q510" s="12" t="s">
        <v>1775</v>
      </c>
    </row>
    <row r="511" spans="1:17" x14ac:dyDescent="0.3">
      <c r="A511" s="12" t="s">
        <v>257</v>
      </c>
      <c r="B511" s="12" t="s">
        <v>258</v>
      </c>
      <c r="C511" s="12" t="s">
        <v>71</v>
      </c>
      <c r="D511" s="12" t="s">
        <v>1780</v>
      </c>
      <c r="E511" s="12" t="s">
        <v>1777</v>
      </c>
      <c r="F511" s="12">
        <v>258</v>
      </c>
      <c r="G511" s="12">
        <v>192</v>
      </c>
      <c r="H511" s="12">
        <v>66</v>
      </c>
      <c r="I511" s="12">
        <v>20</v>
      </c>
      <c r="J511" s="12">
        <v>11644</v>
      </c>
      <c r="K511" s="12">
        <v>14670.78</v>
      </c>
      <c r="L511" s="12">
        <v>768504</v>
      </c>
      <c r="M511" s="12">
        <v>4</v>
      </c>
      <c r="N511" s="12">
        <v>12</v>
      </c>
      <c r="O511" s="12">
        <v>4.0999999999999996</v>
      </c>
      <c r="P511" s="14">
        <v>46064</v>
      </c>
      <c r="Q511" s="12" t="s">
        <v>1775</v>
      </c>
    </row>
    <row r="512" spans="1:17" x14ac:dyDescent="0.3">
      <c r="A512" s="12" t="s">
        <v>245</v>
      </c>
      <c r="B512" s="12" t="s">
        <v>246</v>
      </c>
      <c r="C512" s="12" t="s">
        <v>54</v>
      </c>
      <c r="D512" s="12" t="s">
        <v>1776</v>
      </c>
      <c r="E512" s="12" t="s">
        <v>1781</v>
      </c>
      <c r="F512" s="12">
        <v>335</v>
      </c>
      <c r="G512" s="12">
        <v>311</v>
      </c>
      <c r="H512" s="12">
        <v>24</v>
      </c>
      <c r="I512" s="12">
        <v>63</v>
      </c>
      <c r="J512" s="12">
        <v>44558</v>
      </c>
      <c r="K512" s="12">
        <v>61051.73</v>
      </c>
      <c r="L512" s="12">
        <v>1069392</v>
      </c>
      <c r="M512" s="12">
        <v>4</v>
      </c>
      <c r="N512" s="12">
        <v>11</v>
      </c>
      <c r="O512" s="12">
        <v>3.5</v>
      </c>
      <c r="P512" s="14">
        <v>46136</v>
      </c>
      <c r="Q512" s="12" t="s">
        <v>1782</v>
      </c>
    </row>
    <row r="513" spans="1:17" x14ac:dyDescent="0.3">
      <c r="A513" s="12" t="s">
        <v>85</v>
      </c>
      <c r="B513" s="12" t="s">
        <v>86</v>
      </c>
      <c r="C513" s="12" t="s">
        <v>71</v>
      </c>
      <c r="D513" s="12" t="s">
        <v>1776</v>
      </c>
      <c r="E513" s="12" t="s">
        <v>1779</v>
      </c>
      <c r="F513" s="12">
        <v>263</v>
      </c>
      <c r="G513" s="12">
        <v>80</v>
      </c>
      <c r="H513" s="12">
        <v>183</v>
      </c>
      <c r="I513" s="12">
        <v>70</v>
      </c>
      <c r="J513" s="12">
        <v>43911</v>
      </c>
      <c r="K513" s="12">
        <v>54328.63</v>
      </c>
      <c r="L513" s="12">
        <v>8035713</v>
      </c>
      <c r="M513" s="12">
        <v>3</v>
      </c>
      <c r="N513" s="12">
        <v>9</v>
      </c>
      <c r="O513" s="12">
        <v>4.0999999999999996</v>
      </c>
      <c r="P513" s="14">
        <v>46092</v>
      </c>
      <c r="Q513" s="12" t="s">
        <v>1775</v>
      </c>
    </row>
    <row r="514" spans="1:17" x14ac:dyDescent="0.3">
      <c r="A514" s="12" t="s">
        <v>131</v>
      </c>
      <c r="B514" s="12" t="s">
        <v>132</v>
      </c>
      <c r="C514" s="12" t="s">
        <v>71</v>
      </c>
      <c r="D514" s="12" t="s">
        <v>1780</v>
      </c>
      <c r="E514" s="12" t="s">
        <v>1777</v>
      </c>
      <c r="F514" s="12">
        <v>358</v>
      </c>
      <c r="G514" s="12">
        <v>171</v>
      </c>
      <c r="H514" s="12">
        <v>187</v>
      </c>
      <c r="I514" s="12">
        <v>31</v>
      </c>
      <c r="J514" s="12">
        <v>43459</v>
      </c>
      <c r="K514" s="12">
        <v>48204.15</v>
      </c>
      <c r="L514" s="12">
        <v>8126833</v>
      </c>
      <c r="M514" s="12">
        <v>1</v>
      </c>
      <c r="N514" s="12">
        <v>10</v>
      </c>
      <c r="O514" s="12">
        <v>3.5</v>
      </c>
      <c r="P514" s="14">
        <v>46039</v>
      </c>
      <c r="Q514" s="12" t="s">
        <v>1775</v>
      </c>
    </row>
    <row r="515" spans="1:17" x14ac:dyDescent="0.3">
      <c r="A515" s="12" t="s">
        <v>479</v>
      </c>
      <c r="B515" s="12" t="s">
        <v>480</v>
      </c>
      <c r="C515" s="12" t="s">
        <v>71</v>
      </c>
      <c r="D515" s="12" t="s">
        <v>1773</v>
      </c>
      <c r="E515" s="12" t="s">
        <v>1781</v>
      </c>
      <c r="F515" s="12">
        <v>310</v>
      </c>
      <c r="G515" s="12">
        <v>9</v>
      </c>
      <c r="H515" s="12">
        <v>301</v>
      </c>
      <c r="I515" s="12">
        <v>76</v>
      </c>
      <c r="J515" s="12">
        <v>56220</v>
      </c>
      <c r="K515" s="12">
        <v>65519.59</v>
      </c>
      <c r="L515" s="12">
        <v>16922220</v>
      </c>
      <c r="M515" s="12">
        <v>3</v>
      </c>
      <c r="N515" s="12">
        <v>11</v>
      </c>
      <c r="O515" s="12">
        <v>4.8</v>
      </c>
      <c r="P515" s="14">
        <v>46161</v>
      </c>
      <c r="Q515" s="12" t="s">
        <v>1775</v>
      </c>
    </row>
    <row r="516" spans="1:17" x14ac:dyDescent="0.3">
      <c r="A516" s="12" t="s">
        <v>95</v>
      </c>
      <c r="B516" s="12" t="s">
        <v>96</v>
      </c>
      <c r="C516" s="12" t="s">
        <v>54</v>
      </c>
      <c r="D516" s="12" t="s">
        <v>1776</v>
      </c>
      <c r="E516" s="12" t="s">
        <v>1781</v>
      </c>
      <c r="F516" s="12">
        <v>460</v>
      </c>
      <c r="G516" s="12">
        <v>207</v>
      </c>
      <c r="H516" s="12">
        <v>253</v>
      </c>
      <c r="I516" s="12">
        <v>20</v>
      </c>
      <c r="J516" s="12">
        <v>58523</v>
      </c>
      <c r="K516" s="12">
        <v>79838.8</v>
      </c>
      <c r="L516" s="12">
        <v>14806319</v>
      </c>
      <c r="M516" s="12">
        <v>2</v>
      </c>
      <c r="N516" s="12">
        <v>14</v>
      </c>
      <c r="O516" s="12">
        <v>4.5999999999999996</v>
      </c>
      <c r="P516" s="14">
        <v>46147</v>
      </c>
      <c r="Q516" s="12" t="s">
        <v>1775</v>
      </c>
    </row>
    <row r="517" spans="1:17" x14ac:dyDescent="0.3">
      <c r="A517" s="12" t="s">
        <v>358</v>
      </c>
      <c r="B517" s="12" t="s">
        <v>359</v>
      </c>
      <c r="C517" s="12" t="s">
        <v>102</v>
      </c>
      <c r="D517" s="12" t="s">
        <v>1780</v>
      </c>
      <c r="E517" s="12" t="s">
        <v>1779</v>
      </c>
      <c r="F517" s="12">
        <v>326</v>
      </c>
      <c r="G517" s="12">
        <v>122</v>
      </c>
      <c r="H517" s="12">
        <v>204</v>
      </c>
      <c r="I517" s="12">
        <v>70</v>
      </c>
      <c r="J517" s="12">
        <v>45985</v>
      </c>
      <c r="K517" s="12">
        <v>51928.94</v>
      </c>
      <c r="L517" s="12">
        <v>9380940</v>
      </c>
      <c r="M517" s="12">
        <v>5</v>
      </c>
      <c r="N517" s="12">
        <v>11</v>
      </c>
      <c r="O517" s="12">
        <v>4.4000000000000004</v>
      </c>
      <c r="P517" s="14">
        <v>46170</v>
      </c>
      <c r="Q517" s="12" t="s">
        <v>1775</v>
      </c>
    </row>
    <row r="518" spans="1:17" x14ac:dyDescent="0.3">
      <c r="A518" s="12" t="s">
        <v>184</v>
      </c>
      <c r="B518" s="12" t="s">
        <v>185</v>
      </c>
      <c r="C518" s="12" t="s">
        <v>102</v>
      </c>
      <c r="D518" s="12" t="s">
        <v>1776</v>
      </c>
      <c r="E518" s="12" t="s">
        <v>1779</v>
      </c>
      <c r="F518" s="12">
        <v>281</v>
      </c>
      <c r="G518" s="12">
        <v>11</v>
      </c>
      <c r="H518" s="12">
        <v>270</v>
      </c>
      <c r="I518" s="12">
        <v>56</v>
      </c>
      <c r="J518" s="12">
        <v>7152</v>
      </c>
      <c r="K518" s="12">
        <v>8619.5</v>
      </c>
      <c r="L518" s="12">
        <v>1931040</v>
      </c>
      <c r="M518" s="12">
        <v>5</v>
      </c>
      <c r="N518" s="12">
        <v>12</v>
      </c>
      <c r="O518" s="12">
        <v>4.3</v>
      </c>
      <c r="P518" s="14">
        <v>46104</v>
      </c>
      <c r="Q518" s="12" t="s">
        <v>1775</v>
      </c>
    </row>
    <row r="519" spans="1:17" x14ac:dyDescent="0.3">
      <c r="A519" s="12" t="s">
        <v>42</v>
      </c>
      <c r="B519" s="12" t="s">
        <v>43</v>
      </c>
      <c r="C519" s="12" t="s">
        <v>30</v>
      </c>
      <c r="D519" s="12" t="s">
        <v>1773</v>
      </c>
      <c r="E519" s="12" t="s">
        <v>1777</v>
      </c>
      <c r="F519" s="12">
        <v>270</v>
      </c>
      <c r="G519" s="12">
        <v>226</v>
      </c>
      <c r="H519" s="12">
        <v>44</v>
      </c>
      <c r="I519" s="12">
        <v>79</v>
      </c>
      <c r="J519" s="12">
        <v>55916</v>
      </c>
      <c r="K519" s="12">
        <v>61768.81</v>
      </c>
      <c r="L519" s="12">
        <v>2460304</v>
      </c>
      <c r="M519" s="12">
        <v>2</v>
      </c>
      <c r="N519" s="12">
        <v>10</v>
      </c>
      <c r="O519" s="12">
        <v>4.9000000000000004</v>
      </c>
      <c r="P519" s="14">
        <v>46164</v>
      </c>
      <c r="Q519" s="12" t="s">
        <v>1782</v>
      </c>
    </row>
    <row r="520" spans="1:17" x14ac:dyDescent="0.3">
      <c r="A520" s="12" t="s">
        <v>358</v>
      </c>
      <c r="B520" s="12" t="s">
        <v>359</v>
      </c>
      <c r="C520" s="12" t="s">
        <v>102</v>
      </c>
      <c r="D520" s="12" t="s">
        <v>1776</v>
      </c>
      <c r="E520" s="12" t="s">
        <v>1777</v>
      </c>
      <c r="F520" s="12">
        <v>297</v>
      </c>
      <c r="G520" s="12">
        <v>36</v>
      </c>
      <c r="H520" s="12">
        <v>261</v>
      </c>
      <c r="I520" s="12">
        <v>63</v>
      </c>
      <c r="J520" s="12">
        <v>39189</v>
      </c>
      <c r="K520" s="12">
        <v>46512.52</v>
      </c>
      <c r="L520" s="12">
        <v>10228329</v>
      </c>
      <c r="M520" s="12">
        <v>0</v>
      </c>
      <c r="N520" s="12">
        <v>11</v>
      </c>
      <c r="O520" s="12">
        <v>4.0999999999999996</v>
      </c>
      <c r="P520" s="14">
        <v>46152</v>
      </c>
      <c r="Q520" s="12" t="s">
        <v>1775</v>
      </c>
    </row>
    <row r="521" spans="1:17" x14ac:dyDescent="0.3">
      <c r="A521" s="12" t="s">
        <v>100</v>
      </c>
      <c r="B521" s="12" t="s">
        <v>101</v>
      </c>
      <c r="C521" s="12" t="s">
        <v>102</v>
      </c>
      <c r="D521" s="12" t="s">
        <v>1773</v>
      </c>
      <c r="E521" s="12" t="s">
        <v>1777</v>
      </c>
      <c r="F521" s="12">
        <v>494</v>
      </c>
      <c r="G521" s="12">
        <v>441</v>
      </c>
      <c r="H521" s="12">
        <v>53</v>
      </c>
      <c r="I521" s="12">
        <v>26</v>
      </c>
      <c r="J521" s="12">
        <v>48429</v>
      </c>
      <c r="K521" s="12">
        <v>60015.040000000001</v>
      </c>
      <c r="L521" s="12">
        <v>2566737</v>
      </c>
      <c r="M521" s="12">
        <v>5</v>
      </c>
      <c r="N521" s="12">
        <v>12</v>
      </c>
      <c r="O521" s="12">
        <v>4.3</v>
      </c>
      <c r="P521" s="14">
        <v>46178</v>
      </c>
      <c r="Q521" s="12" t="s">
        <v>1775</v>
      </c>
    </row>
    <row r="522" spans="1:17" x14ac:dyDescent="0.3">
      <c r="A522" s="12" t="s">
        <v>759</v>
      </c>
      <c r="B522" s="12" t="s">
        <v>760</v>
      </c>
      <c r="C522" s="12" t="s">
        <v>71</v>
      </c>
      <c r="D522" s="12" t="s">
        <v>1776</v>
      </c>
      <c r="E522" s="12" t="s">
        <v>1774</v>
      </c>
      <c r="F522" s="12">
        <v>140</v>
      </c>
      <c r="G522" s="12">
        <v>70</v>
      </c>
      <c r="H522" s="12">
        <v>70</v>
      </c>
      <c r="I522" s="12">
        <v>29</v>
      </c>
      <c r="J522" s="12">
        <v>19049</v>
      </c>
      <c r="K522" s="12">
        <v>22312.89</v>
      </c>
      <c r="L522" s="12">
        <v>1333430</v>
      </c>
      <c r="M522" s="12">
        <v>5</v>
      </c>
      <c r="N522" s="12">
        <v>5</v>
      </c>
      <c r="O522" s="12">
        <v>3.7</v>
      </c>
      <c r="P522" s="14">
        <v>46072</v>
      </c>
      <c r="Q522" s="12" t="s">
        <v>1775</v>
      </c>
    </row>
    <row r="523" spans="1:17" x14ac:dyDescent="0.3">
      <c r="A523" s="12" t="s">
        <v>206</v>
      </c>
      <c r="B523" s="12" t="s">
        <v>207</v>
      </c>
      <c r="C523" s="12" t="s">
        <v>30</v>
      </c>
      <c r="D523" s="12" t="s">
        <v>1773</v>
      </c>
      <c r="E523" s="12" t="s">
        <v>1781</v>
      </c>
      <c r="F523" s="12">
        <v>149</v>
      </c>
      <c r="G523" s="12">
        <v>43</v>
      </c>
      <c r="H523" s="12">
        <v>106</v>
      </c>
      <c r="I523" s="12">
        <v>22</v>
      </c>
      <c r="J523" s="12">
        <v>42801</v>
      </c>
      <c r="K523" s="12">
        <v>53414.559999999998</v>
      </c>
      <c r="L523" s="12">
        <v>4536906</v>
      </c>
      <c r="M523" s="12">
        <v>5</v>
      </c>
      <c r="N523" s="12">
        <v>12</v>
      </c>
      <c r="O523" s="12">
        <v>4.3</v>
      </c>
      <c r="P523" s="14">
        <v>46124</v>
      </c>
      <c r="Q523" s="12" t="s">
        <v>1775</v>
      </c>
    </row>
    <row r="524" spans="1:17" x14ac:dyDescent="0.3">
      <c r="A524" s="12" t="s">
        <v>269</v>
      </c>
      <c r="B524" s="12" t="s">
        <v>270</v>
      </c>
      <c r="C524" s="12" t="s">
        <v>71</v>
      </c>
      <c r="D524" s="12" t="s">
        <v>1778</v>
      </c>
      <c r="E524" s="12" t="s">
        <v>1781</v>
      </c>
      <c r="F524" s="12">
        <v>75</v>
      </c>
      <c r="G524" s="12">
        <v>64</v>
      </c>
      <c r="H524" s="12">
        <v>11</v>
      </c>
      <c r="I524" s="12">
        <v>51</v>
      </c>
      <c r="J524" s="12">
        <v>2989</v>
      </c>
      <c r="K524" s="12">
        <v>4145.8900000000003</v>
      </c>
      <c r="L524" s="12">
        <v>32879</v>
      </c>
      <c r="M524" s="12">
        <v>1</v>
      </c>
      <c r="N524" s="12">
        <v>5</v>
      </c>
      <c r="O524" s="12">
        <v>4.7</v>
      </c>
      <c r="P524" s="14">
        <v>46067</v>
      </c>
      <c r="Q524" s="12" t="s">
        <v>1782</v>
      </c>
    </row>
    <row r="525" spans="1:17" x14ac:dyDescent="0.3">
      <c r="A525" s="12" t="s">
        <v>231</v>
      </c>
      <c r="B525" s="12" t="s">
        <v>232</v>
      </c>
      <c r="C525" s="12" t="s">
        <v>54</v>
      </c>
      <c r="D525" s="12" t="s">
        <v>1773</v>
      </c>
      <c r="E525" s="12" t="s">
        <v>1777</v>
      </c>
      <c r="F525" s="12">
        <v>371</v>
      </c>
      <c r="G525" s="12">
        <v>186</v>
      </c>
      <c r="H525" s="12">
        <v>185</v>
      </c>
      <c r="I525" s="12">
        <v>61</v>
      </c>
      <c r="J525" s="12">
        <v>13924</v>
      </c>
      <c r="K525" s="12">
        <v>18438.5</v>
      </c>
      <c r="L525" s="12">
        <v>2575940</v>
      </c>
      <c r="M525" s="12">
        <v>2</v>
      </c>
      <c r="N525" s="12">
        <v>3</v>
      </c>
      <c r="O525" s="12">
        <v>4.2</v>
      </c>
      <c r="P525" s="14">
        <v>46047</v>
      </c>
      <c r="Q525" s="12" t="s">
        <v>1775</v>
      </c>
    </row>
    <row r="526" spans="1:17" x14ac:dyDescent="0.3">
      <c r="A526" s="12" t="s">
        <v>759</v>
      </c>
      <c r="B526" s="12" t="s">
        <v>760</v>
      </c>
      <c r="C526" s="12" t="s">
        <v>71</v>
      </c>
      <c r="D526" s="12" t="s">
        <v>1776</v>
      </c>
      <c r="E526" s="12" t="s">
        <v>1774</v>
      </c>
      <c r="F526" s="12">
        <v>183</v>
      </c>
      <c r="G526" s="12">
        <v>38</v>
      </c>
      <c r="H526" s="12">
        <v>145</v>
      </c>
      <c r="I526" s="12">
        <v>80</v>
      </c>
      <c r="J526" s="12">
        <v>6907</v>
      </c>
      <c r="K526" s="12">
        <v>9240.94</v>
      </c>
      <c r="L526" s="12">
        <v>1001515</v>
      </c>
      <c r="M526" s="12">
        <v>3</v>
      </c>
      <c r="N526" s="12">
        <v>8</v>
      </c>
      <c r="O526" s="12">
        <v>4.5999999999999996</v>
      </c>
      <c r="P526" s="14">
        <v>46109</v>
      </c>
      <c r="Q526" s="12" t="s">
        <v>1775</v>
      </c>
    </row>
    <row r="527" spans="1:17" x14ac:dyDescent="0.3">
      <c r="A527" s="12" t="s">
        <v>28</v>
      </c>
      <c r="B527" s="12" t="s">
        <v>29</v>
      </c>
      <c r="C527" s="12" t="s">
        <v>30</v>
      </c>
      <c r="D527" s="12" t="s">
        <v>1773</v>
      </c>
      <c r="E527" s="12" t="s">
        <v>1781</v>
      </c>
      <c r="F527" s="12">
        <v>316</v>
      </c>
      <c r="G527" s="12">
        <v>275</v>
      </c>
      <c r="H527" s="12">
        <v>41</v>
      </c>
      <c r="I527" s="12">
        <v>48</v>
      </c>
      <c r="J527" s="12">
        <v>34563</v>
      </c>
      <c r="K527" s="12">
        <v>47814.35</v>
      </c>
      <c r="L527" s="12">
        <v>1417083</v>
      </c>
      <c r="M527" s="12">
        <v>3</v>
      </c>
      <c r="N527" s="12">
        <v>15</v>
      </c>
      <c r="O527" s="12">
        <v>4.3</v>
      </c>
      <c r="P527" s="14">
        <v>46126</v>
      </c>
      <c r="Q527" s="12" t="s">
        <v>1782</v>
      </c>
    </row>
    <row r="528" spans="1:17" x14ac:dyDescent="0.3">
      <c r="A528" s="12" t="s">
        <v>374</v>
      </c>
      <c r="B528" s="12" t="s">
        <v>375</v>
      </c>
      <c r="C528" s="12" t="s">
        <v>54</v>
      </c>
      <c r="D528" s="12" t="s">
        <v>1780</v>
      </c>
      <c r="E528" s="12" t="s">
        <v>1777</v>
      </c>
      <c r="F528" s="12">
        <v>270</v>
      </c>
      <c r="G528" s="12">
        <v>44</v>
      </c>
      <c r="H528" s="12">
        <v>226</v>
      </c>
      <c r="I528" s="12">
        <v>22</v>
      </c>
      <c r="J528" s="12">
        <v>23962</v>
      </c>
      <c r="K528" s="12">
        <v>31328.92</v>
      </c>
      <c r="L528" s="12">
        <v>5415412</v>
      </c>
      <c r="M528" s="12">
        <v>1</v>
      </c>
      <c r="N528" s="12">
        <v>15</v>
      </c>
      <c r="O528" s="12">
        <v>4.0999999999999996</v>
      </c>
      <c r="P528" s="14">
        <v>46123</v>
      </c>
      <c r="Q528" s="12" t="s">
        <v>1775</v>
      </c>
    </row>
    <row r="529" spans="1:17" x14ac:dyDescent="0.3">
      <c r="A529" s="12" t="s">
        <v>113</v>
      </c>
      <c r="B529" s="12" t="s">
        <v>114</v>
      </c>
      <c r="C529" s="12" t="s">
        <v>102</v>
      </c>
      <c r="D529" s="12" t="s">
        <v>1776</v>
      </c>
      <c r="E529" s="12" t="s">
        <v>1777</v>
      </c>
      <c r="F529" s="12">
        <v>312</v>
      </c>
      <c r="G529" s="12">
        <v>85</v>
      </c>
      <c r="H529" s="12">
        <v>227</v>
      </c>
      <c r="I529" s="12">
        <v>80</v>
      </c>
      <c r="J529" s="12">
        <v>22841</v>
      </c>
      <c r="K529" s="12">
        <v>31157.86</v>
      </c>
      <c r="L529" s="12">
        <v>5184907</v>
      </c>
      <c r="M529" s="12">
        <v>4</v>
      </c>
      <c r="N529" s="12">
        <v>6</v>
      </c>
      <c r="O529" s="12">
        <v>3.7</v>
      </c>
      <c r="P529" s="14">
        <v>46135</v>
      </c>
      <c r="Q529" s="12" t="s">
        <v>1775</v>
      </c>
    </row>
    <row r="530" spans="1:17" x14ac:dyDescent="0.3">
      <c r="A530" s="12" t="s">
        <v>358</v>
      </c>
      <c r="B530" s="12" t="s">
        <v>359</v>
      </c>
      <c r="C530" s="12" t="s">
        <v>102</v>
      </c>
      <c r="D530" s="12" t="s">
        <v>1778</v>
      </c>
      <c r="E530" s="12" t="s">
        <v>1774</v>
      </c>
      <c r="F530" s="12">
        <v>226</v>
      </c>
      <c r="G530" s="12">
        <v>180</v>
      </c>
      <c r="H530" s="12">
        <v>46</v>
      </c>
      <c r="I530" s="12">
        <v>63</v>
      </c>
      <c r="J530" s="12">
        <v>21004</v>
      </c>
      <c r="K530" s="12">
        <v>28933.06</v>
      </c>
      <c r="L530" s="12">
        <v>966184</v>
      </c>
      <c r="M530" s="12">
        <v>5</v>
      </c>
      <c r="N530" s="12">
        <v>9</v>
      </c>
      <c r="O530" s="12">
        <v>4.7</v>
      </c>
      <c r="P530" s="14">
        <v>46178</v>
      </c>
      <c r="Q530" s="12" t="s">
        <v>1782</v>
      </c>
    </row>
    <row r="531" spans="1:17" x14ac:dyDescent="0.3">
      <c r="A531" s="12" t="s">
        <v>160</v>
      </c>
      <c r="B531" s="12" t="s">
        <v>161</v>
      </c>
      <c r="C531" s="12" t="s">
        <v>102</v>
      </c>
      <c r="D531" s="12" t="s">
        <v>1780</v>
      </c>
      <c r="E531" s="12" t="s">
        <v>1781</v>
      </c>
      <c r="F531" s="12">
        <v>445</v>
      </c>
      <c r="G531" s="12">
        <v>412</v>
      </c>
      <c r="H531" s="12">
        <v>33</v>
      </c>
      <c r="I531" s="12">
        <v>51</v>
      </c>
      <c r="J531" s="12">
        <v>47787</v>
      </c>
      <c r="K531" s="12">
        <v>66591.63</v>
      </c>
      <c r="L531" s="12">
        <v>1576971</v>
      </c>
      <c r="M531" s="12">
        <v>0</v>
      </c>
      <c r="N531" s="12">
        <v>9</v>
      </c>
      <c r="O531" s="12">
        <v>3.7</v>
      </c>
      <c r="P531" s="14">
        <v>46168</v>
      </c>
      <c r="Q531" s="12" t="s">
        <v>1782</v>
      </c>
    </row>
    <row r="532" spans="1:17" x14ac:dyDescent="0.3">
      <c r="A532" s="12" t="s">
        <v>406</v>
      </c>
      <c r="B532" s="12" t="s">
        <v>407</v>
      </c>
      <c r="C532" s="12" t="s">
        <v>30</v>
      </c>
      <c r="D532" s="12" t="s">
        <v>1778</v>
      </c>
      <c r="E532" s="12" t="s">
        <v>1781</v>
      </c>
      <c r="F532" s="12">
        <v>55</v>
      </c>
      <c r="G532" s="12">
        <v>4</v>
      </c>
      <c r="H532" s="12">
        <v>51</v>
      </c>
      <c r="I532" s="12">
        <v>47</v>
      </c>
      <c r="J532" s="12">
        <v>10032</v>
      </c>
      <c r="K532" s="12">
        <v>12370.75</v>
      </c>
      <c r="L532" s="12">
        <v>511632</v>
      </c>
      <c r="M532" s="12">
        <v>1</v>
      </c>
      <c r="N532" s="12">
        <v>4</v>
      </c>
      <c r="O532" s="12">
        <v>4.5999999999999996</v>
      </c>
      <c r="P532" s="14">
        <v>46085</v>
      </c>
      <c r="Q532" s="12" t="s">
        <v>1775</v>
      </c>
    </row>
    <row r="533" spans="1:17" x14ac:dyDescent="0.3">
      <c r="A533" s="12" t="s">
        <v>269</v>
      </c>
      <c r="B533" s="12" t="s">
        <v>270</v>
      </c>
      <c r="C533" s="12" t="s">
        <v>71</v>
      </c>
      <c r="D533" s="12" t="s">
        <v>1780</v>
      </c>
      <c r="E533" s="12" t="s">
        <v>1777</v>
      </c>
      <c r="F533" s="12">
        <v>128</v>
      </c>
      <c r="G533" s="12">
        <v>57</v>
      </c>
      <c r="H533" s="12">
        <v>71</v>
      </c>
      <c r="I533" s="12">
        <v>29</v>
      </c>
      <c r="J533" s="12">
        <v>21992</v>
      </c>
      <c r="K533" s="12">
        <v>25896.81</v>
      </c>
      <c r="L533" s="12">
        <v>1561432</v>
      </c>
      <c r="M533" s="12">
        <v>2</v>
      </c>
      <c r="N533" s="12">
        <v>14</v>
      </c>
      <c r="O533" s="12">
        <v>3.9</v>
      </c>
      <c r="P533" s="14">
        <v>46045</v>
      </c>
      <c r="Q533" s="12" t="s">
        <v>1775</v>
      </c>
    </row>
    <row r="534" spans="1:17" x14ac:dyDescent="0.3">
      <c r="A534" s="12" t="s">
        <v>131</v>
      </c>
      <c r="B534" s="12" t="s">
        <v>132</v>
      </c>
      <c r="C534" s="12" t="s">
        <v>71</v>
      </c>
      <c r="D534" s="12" t="s">
        <v>1780</v>
      </c>
      <c r="E534" s="12" t="s">
        <v>1781</v>
      </c>
      <c r="F534" s="12">
        <v>433</v>
      </c>
      <c r="G534" s="12">
        <v>272</v>
      </c>
      <c r="H534" s="12">
        <v>161</v>
      </c>
      <c r="I534" s="12">
        <v>30</v>
      </c>
      <c r="J534" s="12">
        <v>55450</v>
      </c>
      <c r="K534" s="12">
        <v>70084.240000000005</v>
      </c>
      <c r="L534" s="12">
        <v>8927450</v>
      </c>
      <c r="M534" s="12">
        <v>0</v>
      </c>
      <c r="N534" s="12">
        <v>10</v>
      </c>
      <c r="O534" s="12">
        <v>4.0999999999999996</v>
      </c>
      <c r="P534" s="14">
        <v>46162</v>
      </c>
      <c r="Q534" s="12" t="s">
        <v>1775</v>
      </c>
    </row>
    <row r="535" spans="1:17" x14ac:dyDescent="0.3">
      <c r="A535" s="12" t="s">
        <v>566</v>
      </c>
      <c r="B535" s="12" t="s">
        <v>567</v>
      </c>
      <c r="C535" s="12" t="s">
        <v>54</v>
      </c>
      <c r="D535" s="12" t="s">
        <v>1773</v>
      </c>
      <c r="E535" s="12" t="s">
        <v>1781</v>
      </c>
      <c r="F535" s="12">
        <v>167</v>
      </c>
      <c r="G535" s="12">
        <v>36</v>
      </c>
      <c r="H535" s="12">
        <v>131</v>
      </c>
      <c r="I535" s="12">
        <v>23</v>
      </c>
      <c r="J535" s="12">
        <v>17114</v>
      </c>
      <c r="K535" s="12">
        <v>23834.99</v>
      </c>
      <c r="L535" s="12">
        <v>2241934</v>
      </c>
      <c r="M535" s="12">
        <v>4</v>
      </c>
      <c r="N535" s="12">
        <v>15</v>
      </c>
      <c r="O535" s="12">
        <v>3.9</v>
      </c>
      <c r="P535" s="14">
        <v>46184</v>
      </c>
      <c r="Q535" s="12" t="s">
        <v>1775</v>
      </c>
    </row>
    <row r="536" spans="1:17" x14ac:dyDescent="0.3">
      <c r="A536" s="12" t="s">
        <v>197</v>
      </c>
      <c r="B536" s="12" t="s">
        <v>198</v>
      </c>
      <c r="C536" s="12" t="s">
        <v>30</v>
      </c>
      <c r="D536" s="12" t="s">
        <v>1776</v>
      </c>
      <c r="E536" s="12" t="s">
        <v>1779</v>
      </c>
      <c r="F536" s="12">
        <v>220</v>
      </c>
      <c r="G536" s="12">
        <v>176</v>
      </c>
      <c r="H536" s="12">
        <v>44</v>
      </c>
      <c r="I536" s="12">
        <v>74</v>
      </c>
      <c r="J536" s="12">
        <v>59194</v>
      </c>
      <c r="K536" s="12">
        <v>73243.77</v>
      </c>
      <c r="L536" s="12">
        <v>2604536</v>
      </c>
      <c r="M536" s="12">
        <v>0</v>
      </c>
      <c r="N536" s="12">
        <v>6</v>
      </c>
      <c r="O536" s="12">
        <v>3.9</v>
      </c>
      <c r="P536" s="14">
        <v>46131</v>
      </c>
      <c r="Q536" s="12" t="s">
        <v>1782</v>
      </c>
    </row>
    <row r="537" spans="1:17" x14ac:dyDescent="0.3">
      <c r="A537" s="12" t="s">
        <v>553</v>
      </c>
      <c r="B537" s="12" t="s">
        <v>554</v>
      </c>
      <c r="C537" s="12" t="s">
        <v>54</v>
      </c>
      <c r="D537" s="12" t="s">
        <v>1773</v>
      </c>
      <c r="E537" s="12" t="s">
        <v>1777</v>
      </c>
      <c r="F537" s="12">
        <v>217</v>
      </c>
      <c r="G537" s="12">
        <v>163</v>
      </c>
      <c r="H537" s="12">
        <v>54</v>
      </c>
      <c r="I537" s="12">
        <v>34</v>
      </c>
      <c r="J537" s="12">
        <v>1129</v>
      </c>
      <c r="K537" s="12">
        <v>1559.31</v>
      </c>
      <c r="L537" s="12">
        <v>60966</v>
      </c>
      <c r="M537" s="12">
        <v>5</v>
      </c>
      <c r="N537" s="12">
        <v>15</v>
      </c>
      <c r="O537" s="12">
        <v>4.8</v>
      </c>
      <c r="P537" s="14">
        <v>46093</v>
      </c>
      <c r="Q537" s="12" t="s">
        <v>1775</v>
      </c>
    </row>
    <row r="538" spans="1:17" x14ac:dyDescent="0.3">
      <c r="A538" s="12" t="s">
        <v>168</v>
      </c>
      <c r="B538" s="12" t="s">
        <v>169</v>
      </c>
      <c r="C538" s="12" t="s">
        <v>102</v>
      </c>
      <c r="D538" s="12" t="s">
        <v>1778</v>
      </c>
      <c r="E538" s="12" t="s">
        <v>1777</v>
      </c>
      <c r="F538" s="12">
        <v>397</v>
      </c>
      <c r="G538" s="12">
        <v>52</v>
      </c>
      <c r="H538" s="12">
        <v>345</v>
      </c>
      <c r="I538" s="12">
        <v>74</v>
      </c>
      <c r="J538" s="12">
        <v>35908</v>
      </c>
      <c r="K538" s="12">
        <v>42664.5</v>
      </c>
      <c r="L538" s="12">
        <v>12388260</v>
      </c>
      <c r="M538" s="12">
        <v>3</v>
      </c>
      <c r="N538" s="12">
        <v>3</v>
      </c>
      <c r="O538" s="12">
        <v>3.9</v>
      </c>
      <c r="P538" s="14">
        <v>46177</v>
      </c>
      <c r="Q538" s="12" t="s">
        <v>1775</v>
      </c>
    </row>
    <row r="539" spans="1:17" x14ac:dyDescent="0.3">
      <c r="A539" s="12" t="s">
        <v>557</v>
      </c>
      <c r="B539" s="12" t="s">
        <v>558</v>
      </c>
      <c r="C539" s="12" t="s">
        <v>54</v>
      </c>
      <c r="D539" s="12" t="s">
        <v>1778</v>
      </c>
      <c r="E539" s="12" t="s">
        <v>1774</v>
      </c>
      <c r="F539" s="12">
        <v>83</v>
      </c>
      <c r="G539" s="12">
        <v>15</v>
      </c>
      <c r="H539" s="12">
        <v>68</v>
      </c>
      <c r="I539" s="12">
        <v>63</v>
      </c>
      <c r="J539" s="12">
        <v>35115</v>
      </c>
      <c r="K539" s="12">
        <v>47878.76</v>
      </c>
      <c r="L539" s="12">
        <v>2387820</v>
      </c>
      <c r="M539" s="12">
        <v>1</v>
      </c>
      <c r="N539" s="12">
        <v>4</v>
      </c>
      <c r="O539" s="12">
        <v>4.7</v>
      </c>
      <c r="P539" s="14">
        <v>46119</v>
      </c>
      <c r="Q539" s="12" t="s">
        <v>1775</v>
      </c>
    </row>
    <row r="540" spans="1:17" x14ac:dyDescent="0.3">
      <c r="A540" s="12" t="s">
        <v>90</v>
      </c>
      <c r="B540" s="12" t="s">
        <v>91</v>
      </c>
      <c r="C540" s="12" t="s">
        <v>71</v>
      </c>
      <c r="D540" s="12" t="s">
        <v>1776</v>
      </c>
      <c r="E540" s="12" t="s">
        <v>1774</v>
      </c>
      <c r="F540" s="12">
        <v>169</v>
      </c>
      <c r="G540" s="12">
        <v>10</v>
      </c>
      <c r="H540" s="12">
        <v>159</v>
      </c>
      <c r="I540" s="12">
        <v>51</v>
      </c>
      <c r="J540" s="12">
        <v>26336</v>
      </c>
      <c r="K540" s="12">
        <v>34870.050000000003</v>
      </c>
      <c r="L540" s="12">
        <v>4187424</v>
      </c>
      <c r="M540" s="12">
        <v>2</v>
      </c>
      <c r="N540" s="12">
        <v>11</v>
      </c>
      <c r="O540" s="12">
        <v>4.7</v>
      </c>
      <c r="P540" s="14">
        <v>46047</v>
      </c>
      <c r="Q540" s="12" t="s">
        <v>1775</v>
      </c>
    </row>
    <row r="541" spans="1:17" x14ac:dyDescent="0.3">
      <c r="A541" s="12" t="s">
        <v>156</v>
      </c>
      <c r="B541" s="12" t="s">
        <v>157</v>
      </c>
      <c r="C541" s="12" t="s">
        <v>30</v>
      </c>
      <c r="D541" s="12" t="s">
        <v>1780</v>
      </c>
      <c r="E541" s="12" t="s">
        <v>1774</v>
      </c>
      <c r="F541" s="12">
        <v>391</v>
      </c>
      <c r="G541" s="12">
        <v>162</v>
      </c>
      <c r="H541" s="12">
        <v>229</v>
      </c>
      <c r="I541" s="12">
        <v>23</v>
      </c>
      <c r="J541" s="12">
        <v>9293</v>
      </c>
      <c r="K541" s="12">
        <v>11181</v>
      </c>
      <c r="L541" s="12">
        <v>2128097</v>
      </c>
      <c r="M541" s="12">
        <v>3</v>
      </c>
      <c r="N541" s="12">
        <v>5</v>
      </c>
      <c r="O541" s="12">
        <v>4</v>
      </c>
      <c r="P541" s="14">
        <v>46072</v>
      </c>
      <c r="Q541" s="12" t="s">
        <v>1775</v>
      </c>
    </row>
    <row r="542" spans="1:17" x14ac:dyDescent="0.3">
      <c r="A542" s="12" t="s">
        <v>206</v>
      </c>
      <c r="B542" s="12" t="s">
        <v>207</v>
      </c>
      <c r="C542" s="12" t="s">
        <v>30</v>
      </c>
      <c r="D542" s="12" t="s">
        <v>1773</v>
      </c>
      <c r="E542" s="12" t="s">
        <v>1779</v>
      </c>
      <c r="F542" s="12">
        <v>301</v>
      </c>
      <c r="G542" s="12">
        <v>145</v>
      </c>
      <c r="H542" s="12">
        <v>156</v>
      </c>
      <c r="I542" s="12">
        <v>69</v>
      </c>
      <c r="J542" s="12">
        <v>46694</v>
      </c>
      <c r="K542" s="12">
        <v>64700.97</v>
      </c>
      <c r="L542" s="12">
        <v>7284264</v>
      </c>
      <c r="M542" s="12">
        <v>0</v>
      </c>
      <c r="N542" s="12">
        <v>5</v>
      </c>
      <c r="O542" s="12">
        <v>3.8</v>
      </c>
      <c r="P542" s="14">
        <v>46176</v>
      </c>
      <c r="Q542" s="12" t="s">
        <v>1775</v>
      </c>
    </row>
    <row r="543" spans="1:17" x14ac:dyDescent="0.3">
      <c r="A543" s="12" t="s">
        <v>406</v>
      </c>
      <c r="B543" s="12" t="s">
        <v>407</v>
      </c>
      <c r="C543" s="12" t="s">
        <v>30</v>
      </c>
      <c r="D543" s="12" t="s">
        <v>1778</v>
      </c>
      <c r="E543" s="12" t="s">
        <v>1779</v>
      </c>
      <c r="F543" s="12">
        <v>409</v>
      </c>
      <c r="G543" s="12">
        <v>405</v>
      </c>
      <c r="H543" s="12">
        <v>4</v>
      </c>
      <c r="I543" s="12">
        <v>63</v>
      </c>
      <c r="J543" s="12">
        <v>31372</v>
      </c>
      <c r="K543" s="12">
        <v>39625.550000000003</v>
      </c>
      <c r="L543" s="12">
        <v>125488</v>
      </c>
      <c r="M543" s="12">
        <v>5</v>
      </c>
      <c r="N543" s="12">
        <v>11</v>
      </c>
      <c r="O543" s="12">
        <v>4</v>
      </c>
      <c r="P543" s="14">
        <v>46093</v>
      </c>
      <c r="Q543" s="12" t="s">
        <v>1782</v>
      </c>
    </row>
    <row r="544" spans="1:17" x14ac:dyDescent="0.3">
      <c r="A544" s="12" t="s">
        <v>152</v>
      </c>
      <c r="B544" s="12" t="s">
        <v>153</v>
      </c>
      <c r="C544" s="12" t="s">
        <v>54</v>
      </c>
      <c r="D544" s="12" t="s">
        <v>1776</v>
      </c>
      <c r="E544" s="12" t="s">
        <v>1774</v>
      </c>
      <c r="F544" s="12">
        <v>495</v>
      </c>
      <c r="G544" s="12">
        <v>107</v>
      </c>
      <c r="H544" s="12">
        <v>388</v>
      </c>
      <c r="I544" s="12">
        <v>20</v>
      </c>
      <c r="J544" s="12">
        <v>29703</v>
      </c>
      <c r="K544" s="12">
        <v>36372.370000000003</v>
      </c>
      <c r="L544" s="12">
        <v>11524764</v>
      </c>
      <c r="M544" s="12">
        <v>2</v>
      </c>
      <c r="N544" s="12">
        <v>3</v>
      </c>
      <c r="O544" s="12">
        <v>4.5</v>
      </c>
      <c r="P544" s="14">
        <v>46059</v>
      </c>
      <c r="Q544" s="12" t="s">
        <v>1775</v>
      </c>
    </row>
    <row r="545" spans="1:17" x14ac:dyDescent="0.3">
      <c r="A545" s="12" t="s">
        <v>541</v>
      </c>
      <c r="B545" s="12" t="s">
        <v>542</v>
      </c>
      <c r="C545" s="12" t="s">
        <v>54</v>
      </c>
      <c r="D545" s="12" t="s">
        <v>1780</v>
      </c>
      <c r="E545" s="12" t="s">
        <v>1781</v>
      </c>
      <c r="F545" s="12">
        <v>295</v>
      </c>
      <c r="G545" s="12">
        <v>87</v>
      </c>
      <c r="H545" s="12">
        <v>208</v>
      </c>
      <c r="I545" s="12">
        <v>38</v>
      </c>
      <c r="J545" s="12">
        <v>1207</v>
      </c>
      <c r="K545" s="12">
        <v>1543.18</v>
      </c>
      <c r="L545" s="12">
        <v>251056</v>
      </c>
      <c r="M545" s="12">
        <v>1</v>
      </c>
      <c r="N545" s="12">
        <v>5</v>
      </c>
      <c r="O545" s="12">
        <v>4.7</v>
      </c>
      <c r="P545" s="14">
        <v>46065</v>
      </c>
      <c r="Q545" s="12" t="s">
        <v>1775</v>
      </c>
    </row>
    <row r="546" spans="1:17" x14ac:dyDescent="0.3">
      <c r="A546" s="12" t="s">
        <v>334</v>
      </c>
      <c r="B546" s="12" t="s">
        <v>335</v>
      </c>
      <c r="C546" s="12" t="s">
        <v>71</v>
      </c>
      <c r="D546" s="12" t="s">
        <v>1773</v>
      </c>
      <c r="E546" s="12" t="s">
        <v>1777</v>
      </c>
      <c r="F546" s="12">
        <v>406</v>
      </c>
      <c r="G546" s="12">
        <v>322</v>
      </c>
      <c r="H546" s="12">
        <v>84</v>
      </c>
      <c r="I546" s="12">
        <v>79</v>
      </c>
      <c r="J546" s="12">
        <v>33932</v>
      </c>
      <c r="K546" s="12">
        <v>40815.599999999999</v>
      </c>
      <c r="L546" s="12">
        <v>2850288</v>
      </c>
      <c r="M546" s="12">
        <v>2</v>
      </c>
      <c r="N546" s="12">
        <v>2</v>
      </c>
      <c r="O546" s="12">
        <v>4.9000000000000004</v>
      </c>
      <c r="P546" s="14">
        <v>46152</v>
      </c>
      <c r="Q546" s="12" t="s">
        <v>1775</v>
      </c>
    </row>
    <row r="547" spans="1:17" x14ac:dyDescent="0.3">
      <c r="A547" s="12" t="s">
        <v>184</v>
      </c>
      <c r="B547" s="12" t="s">
        <v>185</v>
      </c>
      <c r="C547" s="12" t="s">
        <v>102</v>
      </c>
      <c r="D547" s="12" t="s">
        <v>1773</v>
      </c>
      <c r="E547" s="12" t="s">
        <v>1774</v>
      </c>
      <c r="F547" s="12">
        <v>399</v>
      </c>
      <c r="G547" s="12">
        <v>396</v>
      </c>
      <c r="H547" s="12">
        <v>3</v>
      </c>
      <c r="I547" s="12">
        <v>52</v>
      </c>
      <c r="J547" s="12">
        <v>22861</v>
      </c>
      <c r="K547" s="12">
        <v>28582.9</v>
      </c>
      <c r="L547" s="12">
        <v>68583</v>
      </c>
      <c r="M547" s="12">
        <v>5</v>
      </c>
      <c r="N547" s="12">
        <v>7</v>
      </c>
      <c r="O547" s="12">
        <v>4.4000000000000004</v>
      </c>
      <c r="P547" s="14">
        <v>46131</v>
      </c>
      <c r="Q547" s="12" t="s">
        <v>1782</v>
      </c>
    </row>
    <row r="548" spans="1:17" x14ac:dyDescent="0.3">
      <c r="A548" s="12" t="s">
        <v>118</v>
      </c>
      <c r="B548" s="12" t="s">
        <v>119</v>
      </c>
      <c r="C548" s="12" t="s">
        <v>54</v>
      </c>
      <c r="D548" s="12" t="s">
        <v>1773</v>
      </c>
      <c r="E548" s="12" t="s">
        <v>1779</v>
      </c>
      <c r="F548" s="12">
        <v>494</v>
      </c>
      <c r="G548" s="12">
        <v>309</v>
      </c>
      <c r="H548" s="12">
        <v>185</v>
      </c>
      <c r="I548" s="12">
        <v>39</v>
      </c>
      <c r="J548" s="12">
        <v>1380</v>
      </c>
      <c r="K548" s="12">
        <v>1840.01</v>
      </c>
      <c r="L548" s="12">
        <v>255300</v>
      </c>
      <c r="M548" s="12">
        <v>1</v>
      </c>
      <c r="N548" s="12">
        <v>11</v>
      </c>
      <c r="O548" s="12">
        <v>4.0999999999999996</v>
      </c>
      <c r="P548" s="14">
        <v>46185</v>
      </c>
      <c r="Q548" s="12" t="s">
        <v>1775</v>
      </c>
    </row>
    <row r="549" spans="1:17" x14ac:dyDescent="0.3">
      <c r="A549" s="12" t="s">
        <v>447</v>
      </c>
      <c r="B549" s="12" t="s">
        <v>448</v>
      </c>
      <c r="C549" s="12" t="s">
        <v>71</v>
      </c>
      <c r="D549" s="12" t="s">
        <v>1780</v>
      </c>
      <c r="E549" s="12" t="s">
        <v>1781</v>
      </c>
      <c r="F549" s="12">
        <v>62</v>
      </c>
      <c r="G549" s="12">
        <v>56</v>
      </c>
      <c r="H549" s="12">
        <v>6</v>
      </c>
      <c r="I549" s="12">
        <v>61</v>
      </c>
      <c r="J549" s="12">
        <v>22765</v>
      </c>
      <c r="K549" s="12">
        <v>29461.35</v>
      </c>
      <c r="L549" s="12">
        <v>136590</v>
      </c>
      <c r="M549" s="12">
        <v>4</v>
      </c>
      <c r="N549" s="12">
        <v>3</v>
      </c>
      <c r="O549" s="12">
        <v>3.6</v>
      </c>
      <c r="P549" s="14">
        <v>46193</v>
      </c>
      <c r="Q549" s="12" t="s">
        <v>1782</v>
      </c>
    </row>
    <row r="550" spans="1:17" x14ac:dyDescent="0.3">
      <c r="A550" s="12" t="s">
        <v>203</v>
      </c>
      <c r="B550" s="12" t="s">
        <v>204</v>
      </c>
      <c r="C550" s="12" t="s">
        <v>71</v>
      </c>
      <c r="D550" s="12" t="s">
        <v>1776</v>
      </c>
      <c r="E550" s="12" t="s">
        <v>1781</v>
      </c>
      <c r="F550" s="12">
        <v>391</v>
      </c>
      <c r="G550" s="12">
        <v>333</v>
      </c>
      <c r="H550" s="12">
        <v>58</v>
      </c>
      <c r="I550" s="12">
        <v>35</v>
      </c>
      <c r="J550" s="12">
        <v>35181</v>
      </c>
      <c r="K550" s="12">
        <v>41368.949999999997</v>
      </c>
      <c r="L550" s="12">
        <v>2040498</v>
      </c>
      <c r="M550" s="12">
        <v>1</v>
      </c>
      <c r="N550" s="12">
        <v>5</v>
      </c>
      <c r="O550" s="12">
        <v>4.4000000000000004</v>
      </c>
      <c r="P550" s="14">
        <v>46187</v>
      </c>
      <c r="Q550" s="12" t="s">
        <v>1775</v>
      </c>
    </row>
    <row r="551" spans="1:17" x14ac:dyDescent="0.3">
      <c r="A551" s="12" t="s">
        <v>197</v>
      </c>
      <c r="B551" s="12" t="s">
        <v>198</v>
      </c>
      <c r="C551" s="12" t="s">
        <v>30</v>
      </c>
      <c r="D551" s="12" t="s">
        <v>1776</v>
      </c>
      <c r="E551" s="12" t="s">
        <v>1777</v>
      </c>
      <c r="F551" s="12">
        <v>161</v>
      </c>
      <c r="G551" s="12">
        <v>73</v>
      </c>
      <c r="H551" s="12">
        <v>88</v>
      </c>
      <c r="I551" s="12">
        <v>36</v>
      </c>
      <c r="J551" s="12">
        <v>10639</v>
      </c>
      <c r="K551" s="12">
        <v>14021.01</v>
      </c>
      <c r="L551" s="12">
        <v>936232</v>
      </c>
      <c r="M551" s="12">
        <v>0</v>
      </c>
      <c r="N551" s="12">
        <v>7</v>
      </c>
      <c r="O551" s="12">
        <v>3.6</v>
      </c>
      <c r="P551" s="14">
        <v>46195</v>
      </c>
      <c r="Q551" s="12" t="s">
        <v>1775</v>
      </c>
    </row>
    <row r="552" spans="1:17" x14ac:dyDescent="0.3">
      <c r="A552" s="12" t="s">
        <v>479</v>
      </c>
      <c r="B552" s="12" t="s">
        <v>480</v>
      </c>
      <c r="C552" s="12" t="s">
        <v>71</v>
      </c>
      <c r="D552" s="12" t="s">
        <v>1773</v>
      </c>
      <c r="E552" s="12" t="s">
        <v>1781</v>
      </c>
      <c r="F552" s="12">
        <v>495</v>
      </c>
      <c r="G552" s="12">
        <v>312</v>
      </c>
      <c r="H552" s="12">
        <v>183</v>
      </c>
      <c r="I552" s="12">
        <v>52</v>
      </c>
      <c r="J552" s="12">
        <v>53619</v>
      </c>
      <c r="K552" s="12">
        <v>73417.119999999995</v>
      </c>
      <c r="L552" s="12">
        <v>9812277</v>
      </c>
      <c r="M552" s="12">
        <v>4</v>
      </c>
      <c r="N552" s="12">
        <v>9</v>
      </c>
      <c r="O552" s="12">
        <v>3.9</v>
      </c>
      <c r="P552" s="14">
        <v>46046</v>
      </c>
      <c r="Q552" s="12" t="s">
        <v>1775</v>
      </c>
    </row>
    <row r="553" spans="1:17" x14ac:dyDescent="0.3">
      <c r="A553" s="12" t="s">
        <v>269</v>
      </c>
      <c r="B553" s="12" t="s">
        <v>270</v>
      </c>
      <c r="C553" s="12" t="s">
        <v>71</v>
      </c>
      <c r="D553" s="12" t="s">
        <v>1780</v>
      </c>
      <c r="E553" s="12" t="s">
        <v>1779</v>
      </c>
      <c r="F553" s="12">
        <v>444</v>
      </c>
      <c r="G553" s="12">
        <v>271</v>
      </c>
      <c r="H553" s="12">
        <v>173</v>
      </c>
      <c r="I553" s="12">
        <v>29</v>
      </c>
      <c r="J553" s="12">
        <v>48274</v>
      </c>
      <c r="K553" s="12">
        <v>63061.75</v>
      </c>
      <c r="L553" s="12">
        <v>8351402</v>
      </c>
      <c r="M553" s="12">
        <v>4</v>
      </c>
      <c r="N553" s="12">
        <v>4</v>
      </c>
      <c r="O553" s="12">
        <v>4.8</v>
      </c>
      <c r="P553" s="14">
        <v>46033</v>
      </c>
      <c r="Q553" s="12" t="s">
        <v>1775</v>
      </c>
    </row>
    <row r="554" spans="1:17" x14ac:dyDescent="0.3">
      <c r="A554" s="12" t="s">
        <v>241</v>
      </c>
      <c r="B554" s="12" t="s">
        <v>242</v>
      </c>
      <c r="C554" s="12" t="s">
        <v>54</v>
      </c>
      <c r="D554" s="12" t="s">
        <v>1780</v>
      </c>
      <c r="E554" s="12" t="s">
        <v>1779</v>
      </c>
      <c r="F554" s="12">
        <v>166</v>
      </c>
      <c r="G554" s="12">
        <v>147</v>
      </c>
      <c r="H554" s="12">
        <v>19</v>
      </c>
      <c r="I554" s="12">
        <v>60</v>
      </c>
      <c r="J554" s="12">
        <v>14140</v>
      </c>
      <c r="K554" s="12">
        <v>18220.810000000001</v>
      </c>
      <c r="L554" s="12">
        <v>268660</v>
      </c>
      <c r="M554" s="12">
        <v>3</v>
      </c>
      <c r="N554" s="12">
        <v>4</v>
      </c>
      <c r="O554" s="12">
        <v>4.7</v>
      </c>
      <c r="P554" s="14">
        <v>46174</v>
      </c>
      <c r="Q554" s="12" t="s">
        <v>1782</v>
      </c>
    </row>
    <row r="555" spans="1:17" x14ac:dyDescent="0.3">
      <c r="A555" s="12" t="s">
        <v>152</v>
      </c>
      <c r="B555" s="12" t="s">
        <v>153</v>
      </c>
      <c r="C555" s="12" t="s">
        <v>54</v>
      </c>
      <c r="D555" s="12" t="s">
        <v>1778</v>
      </c>
      <c r="E555" s="12" t="s">
        <v>1779</v>
      </c>
      <c r="F555" s="12">
        <v>238</v>
      </c>
      <c r="G555" s="12">
        <v>5</v>
      </c>
      <c r="H555" s="12">
        <v>233</v>
      </c>
      <c r="I555" s="12">
        <v>72</v>
      </c>
      <c r="J555" s="12">
        <v>6690</v>
      </c>
      <c r="K555" s="12">
        <v>9095.82</v>
      </c>
      <c r="L555" s="12">
        <v>1558770</v>
      </c>
      <c r="M555" s="12">
        <v>4</v>
      </c>
      <c r="N555" s="12">
        <v>5</v>
      </c>
      <c r="O555" s="12">
        <v>4.2</v>
      </c>
      <c r="P555" s="14">
        <v>46165</v>
      </c>
      <c r="Q555" s="12" t="s">
        <v>1775</v>
      </c>
    </row>
    <row r="556" spans="1:17" x14ac:dyDescent="0.3">
      <c r="A556" s="12" t="s">
        <v>411</v>
      </c>
      <c r="B556" s="12" t="s">
        <v>412</v>
      </c>
      <c r="C556" s="12" t="s">
        <v>54</v>
      </c>
      <c r="D556" s="12" t="s">
        <v>1776</v>
      </c>
      <c r="E556" s="12" t="s">
        <v>1781</v>
      </c>
      <c r="F556" s="12">
        <v>352</v>
      </c>
      <c r="G556" s="12">
        <v>336</v>
      </c>
      <c r="H556" s="12">
        <v>16</v>
      </c>
      <c r="I556" s="12">
        <v>50</v>
      </c>
      <c r="J556" s="12">
        <v>43050</v>
      </c>
      <c r="K556" s="12">
        <v>47667.68</v>
      </c>
      <c r="L556" s="12">
        <v>688800</v>
      </c>
      <c r="M556" s="12">
        <v>3</v>
      </c>
      <c r="N556" s="12">
        <v>11</v>
      </c>
      <c r="O556" s="12">
        <v>4.5</v>
      </c>
      <c r="P556" s="14">
        <v>46028</v>
      </c>
      <c r="Q556" s="12" t="s">
        <v>1782</v>
      </c>
    </row>
    <row r="557" spans="1:17" x14ac:dyDescent="0.3">
      <c r="A557" s="12" t="s">
        <v>156</v>
      </c>
      <c r="B557" s="12" t="s">
        <v>157</v>
      </c>
      <c r="C557" s="12" t="s">
        <v>30</v>
      </c>
      <c r="D557" s="12" t="s">
        <v>1778</v>
      </c>
      <c r="E557" s="12" t="s">
        <v>1779</v>
      </c>
      <c r="F557" s="12">
        <v>272</v>
      </c>
      <c r="G557" s="12">
        <v>255</v>
      </c>
      <c r="H557" s="12">
        <v>17</v>
      </c>
      <c r="I557" s="12">
        <v>74</v>
      </c>
      <c r="J557" s="12">
        <v>30699</v>
      </c>
      <c r="K557" s="12">
        <v>42712.56</v>
      </c>
      <c r="L557" s="12">
        <v>521883</v>
      </c>
      <c r="M557" s="12">
        <v>2</v>
      </c>
      <c r="N557" s="12">
        <v>13</v>
      </c>
      <c r="O557" s="12">
        <v>4</v>
      </c>
      <c r="P557" s="14">
        <v>46157</v>
      </c>
      <c r="Q557" s="12" t="s">
        <v>1782</v>
      </c>
    </row>
    <row r="558" spans="1:17" x14ac:dyDescent="0.3">
      <c r="A558" s="12" t="s">
        <v>816</v>
      </c>
      <c r="B558" s="12" t="s">
        <v>817</v>
      </c>
      <c r="C558" s="12" t="s">
        <v>54</v>
      </c>
      <c r="D558" s="12" t="s">
        <v>1780</v>
      </c>
      <c r="E558" s="12" t="s">
        <v>1777</v>
      </c>
      <c r="F558" s="12">
        <v>385</v>
      </c>
      <c r="G558" s="12">
        <v>111</v>
      </c>
      <c r="H558" s="12">
        <v>274</v>
      </c>
      <c r="I558" s="12">
        <v>70</v>
      </c>
      <c r="J558" s="12">
        <v>44108</v>
      </c>
      <c r="K558" s="12">
        <v>52693.29</v>
      </c>
      <c r="L558" s="12">
        <v>12085592</v>
      </c>
      <c r="M558" s="12">
        <v>4</v>
      </c>
      <c r="N558" s="12">
        <v>2</v>
      </c>
      <c r="O558" s="12">
        <v>5</v>
      </c>
      <c r="P558" s="14">
        <v>46158</v>
      </c>
      <c r="Q558" s="12" t="s">
        <v>1775</v>
      </c>
    </row>
    <row r="559" spans="1:17" x14ac:dyDescent="0.3">
      <c r="A559" s="12" t="s">
        <v>324</v>
      </c>
      <c r="B559" s="12" t="s">
        <v>325</v>
      </c>
      <c r="C559" s="12" t="s">
        <v>54</v>
      </c>
      <c r="D559" s="12" t="s">
        <v>1778</v>
      </c>
      <c r="E559" s="12" t="s">
        <v>1774</v>
      </c>
      <c r="F559" s="12">
        <v>317</v>
      </c>
      <c r="G559" s="12">
        <v>227</v>
      </c>
      <c r="H559" s="12">
        <v>90</v>
      </c>
      <c r="I559" s="12">
        <v>31</v>
      </c>
      <c r="J559" s="12">
        <v>43743</v>
      </c>
      <c r="K559" s="12">
        <v>61200.160000000003</v>
      </c>
      <c r="L559" s="12">
        <v>3936870</v>
      </c>
      <c r="M559" s="12">
        <v>2</v>
      </c>
      <c r="N559" s="12">
        <v>11</v>
      </c>
      <c r="O559" s="12">
        <v>4.7</v>
      </c>
      <c r="P559" s="14">
        <v>46144</v>
      </c>
      <c r="Q559" s="12" t="s">
        <v>1775</v>
      </c>
    </row>
    <row r="560" spans="1:17" x14ac:dyDescent="0.3">
      <c r="A560" s="12" t="s">
        <v>245</v>
      </c>
      <c r="B560" s="12" t="s">
        <v>246</v>
      </c>
      <c r="C560" s="12" t="s">
        <v>54</v>
      </c>
      <c r="D560" s="12" t="s">
        <v>1773</v>
      </c>
      <c r="E560" s="12" t="s">
        <v>1781</v>
      </c>
      <c r="F560" s="12">
        <v>111</v>
      </c>
      <c r="G560" s="12">
        <v>4</v>
      </c>
      <c r="H560" s="12">
        <v>107</v>
      </c>
      <c r="I560" s="12">
        <v>55</v>
      </c>
      <c r="J560" s="12">
        <v>38123</v>
      </c>
      <c r="K560" s="12">
        <v>44775.13</v>
      </c>
      <c r="L560" s="12">
        <v>4079161</v>
      </c>
      <c r="M560" s="12">
        <v>0</v>
      </c>
      <c r="N560" s="12">
        <v>6</v>
      </c>
      <c r="O560" s="12">
        <v>3.7</v>
      </c>
      <c r="P560" s="14">
        <v>46027</v>
      </c>
      <c r="Q560" s="12" t="s">
        <v>1775</v>
      </c>
    </row>
    <row r="561" spans="1:17" x14ac:dyDescent="0.3">
      <c r="A561" s="12" t="s">
        <v>299</v>
      </c>
      <c r="B561" s="12" t="s">
        <v>300</v>
      </c>
      <c r="C561" s="12" t="s">
        <v>71</v>
      </c>
      <c r="D561" s="12" t="s">
        <v>1780</v>
      </c>
      <c r="E561" s="12" t="s">
        <v>1781</v>
      </c>
      <c r="F561" s="12">
        <v>301</v>
      </c>
      <c r="G561" s="12">
        <v>133</v>
      </c>
      <c r="H561" s="12">
        <v>168</v>
      </c>
      <c r="I561" s="12">
        <v>60</v>
      </c>
      <c r="J561" s="12">
        <v>31013</v>
      </c>
      <c r="K561" s="12">
        <v>38184.639999999999</v>
      </c>
      <c r="L561" s="12">
        <v>5210184</v>
      </c>
      <c r="M561" s="12">
        <v>2</v>
      </c>
      <c r="N561" s="12">
        <v>4</v>
      </c>
      <c r="O561" s="12">
        <v>4.5999999999999996</v>
      </c>
      <c r="P561" s="14">
        <v>46093</v>
      </c>
      <c r="Q561" s="12" t="s">
        <v>1775</v>
      </c>
    </row>
    <row r="562" spans="1:17" x14ac:dyDescent="0.3">
      <c r="A562" s="12" t="s">
        <v>316</v>
      </c>
      <c r="B562" s="12" t="s">
        <v>317</v>
      </c>
      <c r="C562" s="12" t="s">
        <v>54</v>
      </c>
      <c r="D562" s="12" t="s">
        <v>1776</v>
      </c>
      <c r="E562" s="12" t="s">
        <v>1774</v>
      </c>
      <c r="F562" s="12">
        <v>440</v>
      </c>
      <c r="G562" s="12">
        <v>74</v>
      </c>
      <c r="H562" s="12">
        <v>366</v>
      </c>
      <c r="I562" s="12">
        <v>63</v>
      </c>
      <c r="J562" s="12">
        <v>33314</v>
      </c>
      <c r="K562" s="12">
        <v>43731.78</v>
      </c>
      <c r="L562" s="12">
        <v>12192924</v>
      </c>
      <c r="M562" s="12">
        <v>5</v>
      </c>
      <c r="N562" s="12">
        <v>12</v>
      </c>
      <c r="O562" s="12">
        <v>4.5</v>
      </c>
      <c r="P562" s="14">
        <v>46161</v>
      </c>
      <c r="Q562" s="12" t="s">
        <v>1775</v>
      </c>
    </row>
    <row r="563" spans="1:17" x14ac:dyDescent="0.3">
      <c r="A563" s="12" t="s">
        <v>176</v>
      </c>
      <c r="B563" s="12" t="s">
        <v>177</v>
      </c>
      <c r="C563" s="12" t="s">
        <v>54</v>
      </c>
      <c r="D563" s="12" t="s">
        <v>1780</v>
      </c>
      <c r="E563" s="12" t="s">
        <v>1781</v>
      </c>
      <c r="F563" s="12">
        <v>378</v>
      </c>
      <c r="G563" s="12">
        <v>174</v>
      </c>
      <c r="H563" s="12">
        <v>204</v>
      </c>
      <c r="I563" s="12">
        <v>41</v>
      </c>
      <c r="J563" s="12">
        <v>23465</v>
      </c>
      <c r="K563" s="12">
        <v>31936.67</v>
      </c>
      <c r="L563" s="12">
        <v>4786860</v>
      </c>
      <c r="M563" s="12">
        <v>3</v>
      </c>
      <c r="N563" s="12">
        <v>14</v>
      </c>
      <c r="O563" s="12">
        <v>3.9</v>
      </c>
      <c r="P563" s="14">
        <v>46110</v>
      </c>
      <c r="Q563" s="12" t="s">
        <v>1775</v>
      </c>
    </row>
    <row r="564" spans="1:17" x14ac:dyDescent="0.3">
      <c r="A564" s="12" t="s">
        <v>824</v>
      </c>
      <c r="B564" s="12" t="s">
        <v>825</v>
      </c>
      <c r="C564" s="12" t="s">
        <v>71</v>
      </c>
      <c r="D564" s="12" t="s">
        <v>1773</v>
      </c>
      <c r="E564" s="12" t="s">
        <v>1774</v>
      </c>
      <c r="F564" s="12">
        <v>451</v>
      </c>
      <c r="G564" s="12">
        <v>266</v>
      </c>
      <c r="H564" s="12">
        <v>185</v>
      </c>
      <c r="I564" s="12">
        <v>45</v>
      </c>
      <c r="J564" s="12">
        <v>37917</v>
      </c>
      <c r="K564" s="12">
        <v>47289.17</v>
      </c>
      <c r="L564" s="12">
        <v>7014645</v>
      </c>
      <c r="M564" s="12">
        <v>3</v>
      </c>
      <c r="N564" s="12">
        <v>14</v>
      </c>
      <c r="O564" s="12">
        <v>4.4000000000000004</v>
      </c>
      <c r="P564" s="14">
        <v>46063</v>
      </c>
      <c r="Q564" s="12" t="s">
        <v>1775</v>
      </c>
    </row>
    <row r="565" spans="1:17" x14ac:dyDescent="0.3">
      <c r="A565" s="12" t="s">
        <v>358</v>
      </c>
      <c r="B565" s="12" t="s">
        <v>359</v>
      </c>
      <c r="C565" s="12" t="s">
        <v>102</v>
      </c>
      <c r="D565" s="12" t="s">
        <v>1780</v>
      </c>
      <c r="E565" s="12" t="s">
        <v>1777</v>
      </c>
      <c r="F565" s="12">
        <v>397</v>
      </c>
      <c r="G565" s="12">
        <v>325</v>
      </c>
      <c r="H565" s="12">
        <v>72</v>
      </c>
      <c r="I565" s="12">
        <v>71</v>
      </c>
      <c r="J565" s="12">
        <v>23587</v>
      </c>
      <c r="K565" s="12">
        <v>26451.39</v>
      </c>
      <c r="L565" s="12">
        <v>1698264</v>
      </c>
      <c r="M565" s="12">
        <v>4</v>
      </c>
      <c r="N565" s="12">
        <v>4</v>
      </c>
      <c r="O565" s="12">
        <v>4</v>
      </c>
      <c r="P565" s="14">
        <v>46203</v>
      </c>
      <c r="Q565" s="12" t="s">
        <v>1775</v>
      </c>
    </row>
    <row r="566" spans="1:17" x14ac:dyDescent="0.3">
      <c r="A566" s="12" t="s">
        <v>52</v>
      </c>
      <c r="B566" s="12" t="s">
        <v>53</v>
      </c>
      <c r="C566" s="12" t="s">
        <v>54</v>
      </c>
      <c r="D566" s="12" t="s">
        <v>1773</v>
      </c>
      <c r="E566" s="12" t="s">
        <v>1781</v>
      </c>
      <c r="F566" s="12">
        <v>466</v>
      </c>
      <c r="G566" s="12">
        <v>400</v>
      </c>
      <c r="H566" s="12">
        <v>66</v>
      </c>
      <c r="I566" s="12">
        <v>70</v>
      </c>
      <c r="J566" s="12">
        <v>5721</v>
      </c>
      <c r="K566" s="12">
        <v>7142.31</v>
      </c>
      <c r="L566" s="12">
        <v>377586</v>
      </c>
      <c r="M566" s="12">
        <v>0</v>
      </c>
      <c r="N566" s="12">
        <v>5</v>
      </c>
      <c r="O566" s="12">
        <v>4.5999999999999996</v>
      </c>
      <c r="P566" s="14">
        <v>46108</v>
      </c>
      <c r="Q566" s="12" t="s">
        <v>1782</v>
      </c>
    </row>
    <row r="567" spans="1:17" x14ac:dyDescent="0.3">
      <c r="A567" s="12" t="s">
        <v>122</v>
      </c>
      <c r="B567" s="12" t="s">
        <v>123</v>
      </c>
      <c r="C567" s="12" t="s">
        <v>30</v>
      </c>
      <c r="D567" s="12" t="s">
        <v>1780</v>
      </c>
      <c r="E567" s="12" t="s">
        <v>1774</v>
      </c>
      <c r="F567" s="12">
        <v>329</v>
      </c>
      <c r="G567" s="12">
        <v>275</v>
      </c>
      <c r="H567" s="12">
        <v>54</v>
      </c>
      <c r="I567" s="12">
        <v>75</v>
      </c>
      <c r="J567" s="12">
        <v>40012</v>
      </c>
      <c r="K567" s="12">
        <v>44068.49</v>
      </c>
      <c r="L567" s="12">
        <v>2160648</v>
      </c>
      <c r="M567" s="12">
        <v>5</v>
      </c>
      <c r="N567" s="12">
        <v>9</v>
      </c>
      <c r="O567" s="12">
        <v>4</v>
      </c>
      <c r="P567" s="14">
        <v>46158</v>
      </c>
      <c r="Q567" s="12" t="s">
        <v>1782</v>
      </c>
    </row>
    <row r="568" spans="1:17" x14ac:dyDescent="0.3">
      <c r="A568" s="12" t="s">
        <v>461</v>
      </c>
      <c r="B568" s="12" t="s">
        <v>462</v>
      </c>
      <c r="C568" s="12" t="s">
        <v>71</v>
      </c>
      <c r="D568" s="12" t="s">
        <v>1780</v>
      </c>
      <c r="E568" s="12" t="s">
        <v>1777</v>
      </c>
      <c r="F568" s="12">
        <v>56</v>
      </c>
      <c r="G568" s="12">
        <v>0</v>
      </c>
      <c r="H568" s="12">
        <v>56</v>
      </c>
      <c r="I568" s="12">
        <v>56</v>
      </c>
      <c r="J568" s="12">
        <v>46499</v>
      </c>
      <c r="K568" s="12">
        <v>62671.75</v>
      </c>
      <c r="L568" s="12">
        <v>2603944</v>
      </c>
      <c r="M568" s="12">
        <v>0</v>
      </c>
      <c r="N568" s="12">
        <v>12</v>
      </c>
      <c r="O568" s="12">
        <v>4.9000000000000004</v>
      </c>
      <c r="P568" s="14">
        <v>46065</v>
      </c>
      <c r="Q568" s="12" t="s">
        <v>1775</v>
      </c>
    </row>
    <row r="569" spans="1:17" x14ac:dyDescent="0.3">
      <c r="A569" s="12" t="s">
        <v>85</v>
      </c>
      <c r="B569" s="12" t="s">
        <v>86</v>
      </c>
      <c r="C569" s="12" t="s">
        <v>71</v>
      </c>
      <c r="D569" s="12" t="s">
        <v>1778</v>
      </c>
      <c r="E569" s="12" t="s">
        <v>1774</v>
      </c>
      <c r="F569" s="12">
        <v>137</v>
      </c>
      <c r="G569" s="12">
        <v>30</v>
      </c>
      <c r="H569" s="12">
        <v>107</v>
      </c>
      <c r="I569" s="12">
        <v>41</v>
      </c>
      <c r="J569" s="12">
        <v>40100</v>
      </c>
      <c r="K569" s="12">
        <v>47757.73</v>
      </c>
      <c r="L569" s="12">
        <v>4290700</v>
      </c>
      <c r="M569" s="12">
        <v>5</v>
      </c>
      <c r="N569" s="12">
        <v>10</v>
      </c>
      <c r="O569" s="12">
        <v>4.5999999999999996</v>
      </c>
      <c r="P569" s="14">
        <v>46071</v>
      </c>
      <c r="Q569" s="12" t="s">
        <v>1775</v>
      </c>
    </row>
    <row r="570" spans="1:17" x14ac:dyDescent="0.3">
      <c r="A570" s="12" t="s">
        <v>391</v>
      </c>
      <c r="B570" s="12" t="s">
        <v>392</v>
      </c>
      <c r="C570" s="12" t="s">
        <v>54</v>
      </c>
      <c r="D570" s="12" t="s">
        <v>1780</v>
      </c>
      <c r="E570" s="12" t="s">
        <v>1777</v>
      </c>
      <c r="F570" s="12">
        <v>199</v>
      </c>
      <c r="G570" s="12">
        <v>114</v>
      </c>
      <c r="H570" s="12">
        <v>85</v>
      </c>
      <c r="I570" s="12">
        <v>31</v>
      </c>
      <c r="J570" s="12">
        <v>48551</v>
      </c>
      <c r="K570" s="12">
        <v>59978.61</v>
      </c>
      <c r="L570" s="12">
        <v>4126835</v>
      </c>
      <c r="M570" s="12">
        <v>1</v>
      </c>
      <c r="N570" s="12">
        <v>10</v>
      </c>
      <c r="O570" s="12">
        <v>4.7</v>
      </c>
      <c r="P570" s="14">
        <v>46112</v>
      </c>
      <c r="Q570" s="12" t="s">
        <v>1775</v>
      </c>
    </row>
    <row r="571" spans="1:17" x14ac:dyDescent="0.3">
      <c r="A571" s="12" t="s">
        <v>257</v>
      </c>
      <c r="B571" s="12" t="s">
        <v>258</v>
      </c>
      <c r="C571" s="12" t="s">
        <v>71</v>
      </c>
      <c r="D571" s="12" t="s">
        <v>1776</v>
      </c>
      <c r="E571" s="12" t="s">
        <v>1777</v>
      </c>
      <c r="F571" s="12">
        <v>290</v>
      </c>
      <c r="G571" s="12">
        <v>105</v>
      </c>
      <c r="H571" s="12">
        <v>185</v>
      </c>
      <c r="I571" s="12">
        <v>72</v>
      </c>
      <c r="J571" s="12">
        <v>25271</v>
      </c>
      <c r="K571" s="12">
        <v>28047.31</v>
      </c>
      <c r="L571" s="12">
        <v>4675135</v>
      </c>
      <c r="M571" s="12">
        <v>0</v>
      </c>
      <c r="N571" s="12">
        <v>10</v>
      </c>
      <c r="O571" s="12">
        <v>4.0999999999999996</v>
      </c>
      <c r="P571" s="14">
        <v>46121</v>
      </c>
      <c r="Q571" s="12" t="s">
        <v>1775</v>
      </c>
    </row>
    <row r="572" spans="1:17" x14ac:dyDescent="0.3">
      <c r="A572" s="12" t="s">
        <v>168</v>
      </c>
      <c r="B572" s="12" t="s">
        <v>169</v>
      </c>
      <c r="C572" s="12" t="s">
        <v>102</v>
      </c>
      <c r="D572" s="12" t="s">
        <v>1778</v>
      </c>
      <c r="E572" s="12" t="s">
        <v>1781</v>
      </c>
      <c r="F572" s="12">
        <v>422</v>
      </c>
      <c r="G572" s="12">
        <v>335</v>
      </c>
      <c r="H572" s="12">
        <v>87</v>
      </c>
      <c r="I572" s="12">
        <v>66</v>
      </c>
      <c r="J572" s="12">
        <v>43981</v>
      </c>
      <c r="K572" s="12">
        <v>52638.01</v>
      </c>
      <c r="L572" s="12">
        <v>3826347</v>
      </c>
      <c r="M572" s="12">
        <v>4</v>
      </c>
      <c r="N572" s="12">
        <v>6</v>
      </c>
      <c r="O572" s="12">
        <v>3.6</v>
      </c>
      <c r="P572" s="14">
        <v>46041</v>
      </c>
      <c r="Q572" s="12" t="s">
        <v>1775</v>
      </c>
    </row>
    <row r="573" spans="1:17" x14ac:dyDescent="0.3">
      <c r="A573" s="12" t="s">
        <v>206</v>
      </c>
      <c r="B573" s="12" t="s">
        <v>207</v>
      </c>
      <c r="C573" s="12" t="s">
        <v>30</v>
      </c>
      <c r="D573" s="12" t="s">
        <v>1780</v>
      </c>
      <c r="E573" s="12" t="s">
        <v>1774</v>
      </c>
      <c r="F573" s="12">
        <v>345</v>
      </c>
      <c r="G573" s="12">
        <v>92</v>
      </c>
      <c r="H573" s="12">
        <v>253</v>
      </c>
      <c r="I573" s="12">
        <v>71</v>
      </c>
      <c r="J573" s="12">
        <v>16381</v>
      </c>
      <c r="K573" s="12">
        <v>22905.77</v>
      </c>
      <c r="L573" s="12">
        <v>4144393</v>
      </c>
      <c r="M573" s="12">
        <v>4</v>
      </c>
      <c r="N573" s="12">
        <v>7</v>
      </c>
      <c r="O573" s="12">
        <v>4.3</v>
      </c>
      <c r="P573" s="14">
        <v>46135</v>
      </c>
      <c r="Q573" s="12" t="s">
        <v>1775</v>
      </c>
    </row>
    <row r="574" spans="1:17" x14ac:dyDescent="0.3">
      <c r="A574" s="12" t="s">
        <v>295</v>
      </c>
      <c r="B574" s="12" t="s">
        <v>296</v>
      </c>
      <c r="C574" s="12" t="s">
        <v>30</v>
      </c>
      <c r="D574" s="12" t="s">
        <v>1773</v>
      </c>
      <c r="E574" s="12" t="s">
        <v>1774</v>
      </c>
      <c r="F574" s="12">
        <v>151</v>
      </c>
      <c r="G574" s="12">
        <v>9</v>
      </c>
      <c r="H574" s="12">
        <v>142</v>
      </c>
      <c r="I574" s="12">
        <v>20</v>
      </c>
      <c r="J574" s="12">
        <v>34520</v>
      </c>
      <c r="K574" s="12">
        <v>42918.42</v>
      </c>
      <c r="L574" s="12">
        <v>4901840</v>
      </c>
      <c r="M574" s="12">
        <v>1</v>
      </c>
      <c r="N574" s="12">
        <v>7</v>
      </c>
      <c r="O574" s="12">
        <v>3.9</v>
      </c>
      <c r="P574" s="14">
        <v>46033</v>
      </c>
      <c r="Q574" s="12" t="s">
        <v>1775</v>
      </c>
    </row>
    <row r="575" spans="1:17" x14ac:dyDescent="0.3">
      <c r="A575" s="12" t="s">
        <v>284</v>
      </c>
      <c r="B575" s="12" t="s">
        <v>285</v>
      </c>
      <c r="C575" s="12" t="s">
        <v>54</v>
      </c>
      <c r="D575" s="12" t="s">
        <v>1780</v>
      </c>
      <c r="E575" s="12" t="s">
        <v>1774</v>
      </c>
      <c r="F575" s="12">
        <v>158</v>
      </c>
      <c r="G575" s="12">
        <v>139</v>
      </c>
      <c r="H575" s="12">
        <v>19</v>
      </c>
      <c r="I575" s="12">
        <v>22</v>
      </c>
      <c r="J575" s="12">
        <v>53099</v>
      </c>
      <c r="K575" s="12">
        <v>61443.54</v>
      </c>
      <c r="L575" s="12">
        <v>1008881</v>
      </c>
      <c r="M575" s="12">
        <v>3</v>
      </c>
      <c r="N575" s="12">
        <v>13</v>
      </c>
      <c r="O575" s="12">
        <v>4.3</v>
      </c>
      <c r="P575" s="14">
        <v>46139</v>
      </c>
      <c r="Q575" s="12" t="s">
        <v>1782</v>
      </c>
    </row>
    <row r="576" spans="1:17" x14ac:dyDescent="0.3">
      <c r="A576" s="12" t="s">
        <v>363</v>
      </c>
      <c r="B576" s="12" t="s">
        <v>364</v>
      </c>
      <c r="C576" s="12" t="s">
        <v>54</v>
      </c>
      <c r="D576" s="12" t="s">
        <v>1773</v>
      </c>
      <c r="E576" s="12" t="s">
        <v>1774</v>
      </c>
      <c r="F576" s="12">
        <v>406</v>
      </c>
      <c r="G576" s="12">
        <v>289</v>
      </c>
      <c r="H576" s="12">
        <v>117</v>
      </c>
      <c r="I576" s="12">
        <v>54</v>
      </c>
      <c r="J576" s="12">
        <v>27630</v>
      </c>
      <c r="K576" s="12">
        <v>36392.699999999997</v>
      </c>
      <c r="L576" s="12">
        <v>3232710</v>
      </c>
      <c r="M576" s="12">
        <v>1</v>
      </c>
      <c r="N576" s="12">
        <v>13</v>
      </c>
      <c r="O576" s="12">
        <v>4.5</v>
      </c>
      <c r="P576" s="14">
        <v>46089</v>
      </c>
      <c r="Q576" s="12" t="s">
        <v>1775</v>
      </c>
    </row>
    <row r="577" spans="1:17" x14ac:dyDescent="0.3">
      <c r="A577" s="12" t="s">
        <v>203</v>
      </c>
      <c r="B577" s="12" t="s">
        <v>204</v>
      </c>
      <c r="C577" s="12" t="s">
        <v>71</v>
      </c>
      <c r="D577" s="12" t="s">
        <v>1778</v>
      </c>
      <c r="E577" s="12" t="s">
        <v>1781</v>
      </c>
      <c r="F577" s="12">
        <v>258</v>
      </c>
      <c r="G577" s="12">
        <v>192</v>
      </c>
      <c r="H577" s="12">
        <v>66</v>
      </c>
      <c r="I577" s="12">
        <v>67</v>
      </c>
      <c r="J577" s="12">
        <v>40974</v>
      </c>
      <c r="K577" s="12">
        <v>45354.46</v>
      </c>
      <c r="L577" s="12">
        <v>2704284</v>
      </c>
      <c r="M577" s="12">
        <v>2</v>
      </c>
      <c r="N577" s="12">
        <v>2</v>
      </c>
      <c r="O577" s="12">
        <v>3.9</v>
      </c>
      <c r="P577" s="14">
        <v>46193</v>
      </c>
      <c r="Q577" s="12" t="s">
        <v>1782</v>
      </c>
    </row>
    <row r="578" spans="1:17" x14ac:dyDescent="0.3">
      <c r="A578" s="12" t="s">
        <v>553</v>
      </c>
      <c r="B578" s="12" t="s">
        <v>554</v>
      </c>
      <c r="C578" s="12" t="s">
        <v>54</v>
      </c>
      <c r="D578" s="12" t="s">
        <v>1780</v>
      </c>
      <c r="E578" s="12" t="s">
        <v>1777</v>
      </c>
      <c r="F578" s="12">
        <v>118</v>
      </c>
      <c r="G578" s="12">
        <v>70</v>
      </c>
      <c r="H578" s="12">
        <v>48</v>
      </c>
      <c r="I578" s="12">
        <v>77</v>
      </c>
      <c r="J578" s="12">
        <v>695</v>
      </c>
      <c r="K578" s="12">
        <v>950.72</v>
      </c>
      <c r="L578" s="12">
        <v>33360</v>
      </c>
      <c r="M578" s="12">
        <v>0</v>
      </c>
      <c r="N578" s="12">
        <v>4</v>
      </c>
      <c r="O578" s="12">
        <v>4.8</v>
      </c>
      <c r="P578" s="14">
        <v>46144</v>
      </c>
      <c r="Q578" s="12" t="s">
        <v>1782</v>
      </c>
    </row>
    <row r="579" spans="1:17" x14ac:dyDescent="0.3">
      <c r="A579" s="12" t="s">
        <v>367</v>
      </c>
      <c r="B579" s="12" t="s">
        <v>368</v>
      </c>
      <c r="C579" s="12" t="s">
        <v>71</v>
      </c>
      <c r="D579" s="12" t="s">
        <v>1773</v>
      </c>
      <c r="E579" s="12" t="s">
        <v>1781</v>
      </c>
      <c r="F579" s="12">
        <v>341</v>
      </c>
      <c r="G579" s="12">
        <v>242</v>
      </c>
      <c r="H579" s="12">
        <v>99</v>
      </c>
      <c r="I579" s="12">
        <v>58</v>
      </c>
      <c r="J579" s="12">
        <v>38085</v>
      </c>
      <c r="K579" s="12">
        <v>50761.81</v>
      </c>
      <c r="L579" s="12">
        <v>3770415</v>
      </c>
      <c r="M579" s="12">
        <v>2</v>
      </c>
      <c r="N579" s="12">
        <v>11</v>
      </c>
      <c r="O579" s="12">
        <v>4.4000000000000004</v>
      </c>
      <c r="P579" s="14">
        <v>46035</v>
      </c>
      <c r="Q579" s="12" t="s">
        <v>1775</v>
      </c>
    </row>
    <row r="580" spans="1:17" x14ac:dyDescent="0.3">
      <c r="A580" s="12" t="s">
        <v>374</v>
      </c>
      <c r="B580" s="12" t="s">
        <v>375</v>
      </c>
      <c r="C580" s="12" t="s">
        <v>54</v>
      </c>
      <c r="D580" s="12" t="s">
        <v>1773</v>
      </c>
      <c r="E580" s="12" t="s">
        <v>1779</v>
      </c>
      <c r="F580" s="12">
        <v>171</v>
      </c>
      <c r="G580" s="12">
        <v>47</v>
      </c>
      <c r="H580" s="12">
        <v>124</v>
      </c>
      <c r="I580" s="12">
        <v>79</v>
      </c>
      <c r="J580" s="12">
        <v>3912</v>
      </c>
      <c r="K580" s="12">
        <v>5339.3</v>
      </c>
      <c r="L580" s="12">
        <v>485088</v>
      </c>
      <c r="M580" s="12">
        <v>2</v>
      </c>
      <c r="N580" s="12">
        <v>2</v>
      </c>
      <c r="O580" s="12">
        <v>3.7</v>
      </c>
      <c r="P580" s="14">
        <v>46195</v>
      </c>
      <c r="Q580" s="12" t="s">
        <v>1775</v>
      </c>
    </row>
    <row r="581" spans="1:17" x14ac:dyDescent="0.3">
      <c r="A581" s="12" t="s">
        <v>28</v>
      </c>
      <c r="B581" s="12" t="s">
        <v>29</v>
      </c>
      <c r="C581" s="12" t="s">
        <v>30</v>
      </c>
      <c r="D581" s="12" t="s">
        <v>1773</v>
      </c>
      <c r="E581" s="12" t="s">
        <v>1774</v>
      </c>
      <c r="F581" s="12">
        <v>337</v>
      </c>
      <c r="G581" s="12">
        <v>142</v>
      </c>
      <c r="H581" s="12">
        <v>195</v>
      </c>
      <c r="I581" s="12">
        <v>79</v>
      </c>
      <c r="J581" s="12">
        <v>38593</v>
      </c>
      <c r="K581" s="12">
        <v>47585.18</v>
      </c>
      <c r="L581" s="12">
        <v>7525635</v>
      </c>
      <c r="M581" s="12">
        <v>5</v>
      </c>
      <c r="N581" s="12">
        <v>8</v>
      </c>
      <c r="O581" s="12">
        <v>3.6</v>
      </c>
      <c r="P581" s="14">
        <v>46129</v>
      </c>
      <c r="Q581" s="12" t="s">
        <v>1775</v>
      </c>
    </row>
    <row r="582" spans="1:17" x14ac:dyDescent="0.3">
      <c r="A582" s="12" t="s">
        <v>281</v>
      </c>
      <c r="B582" s="12" t="s">
        <v>282</v>
      </c>
      <c r="C582" s="12" t="s">
        <v>30</v>
      </c>
      <c r="D582" s="12" t="s">
        <v>1776</v>
      </c>
      <c r="E582" s="12" t="s">
        <v>1779</v>
      </c>
      <c r="F582" s="12">
        <v>192</v>
      </c>
      <c r="G582" s="12">
        <v>117</v>
      </c>
      <c r="H582" s="12">
        <v>75</v>
      </c>
      <c r="I582" s="12">
        <v>71</v>
      </c>
      <c r="J582" s="12">
        <v>4859</v>
      </c>
      <c r="K582" s="12">
        <v>5773.17</v>
      </c>
      <c r="L582" s="12">
        <v>364425</v>
      </c>
      <c r="M582" s="12">
        <v>0</v>
      </c>
      <c r="N582" s="12">
        <v>3</v>
      </c>
      <c r="O582" s="12">
        <v>4.5</v>
      </c>
      <c r="P582" s="14">
        <v>46139</v>
      </c>
      <c r="Q582" s="12" t="s">
        <v>1775</v>
      </c>
    </row>
    <row r="583" spans="1:17" x14ac:dyDescent="0.3">
      <c r="A583" s="12" t="s">
        <v>717</v>
      </c>
      <c r="B583" s="12" t="s">
        <v>718</v>
      </c>
      <c r="C583" s="12" t="s">
        <v>102</v>
      </c>
      <c r="D583" s="12" t="s">
        <v>1780</v>
      </c>
      <c r="E583" s="12" t="s">
        <v>1781</v>
      </c>
      <c r="F583" s="12">
        <v>247</v>
      </c>
      <c r="G583" s="12">
        <v>178</v>
      </c>
      <c r="H583" s="12">
        <v>69</v>
      </c>
      <c r="I583" s="12">
        <v>76</v>
      </c>
      <c r="J583" s="12">
        <v>55728</v>
      </c>
      <c r="K583" s="12">
        <v>75644.44</v>
      </c>
      <c r="L583" s="12">
        <v>3845232</v>
      </c>
      <c r="M583" s="12">
        <v>1</v>
      </c>
      <c r="N583" s="12">
        <v>5</v>
      </c>
      <c r="O583" s="12">
        <v>4.2</v>
      </c>
      <c r="P583" s="14">
        <v>46119</v>
      </c>
      <c r="Q583" s="12" t="s">
        <v>1782</v>
      </c>
    </row>
    <row r="584" spans="1:17" x14ac:dyDescent="0.3">
      <c r="A584" s="12" t="s">
        <v>384</v>
      </c>
      <c r="B584" s="12" t="s">
        <v>385</v>
      </c>
      <c r="C584" s="12" t="s">
        <v>102</v>
      </c>
      <c r="D584" s="12" t="s">
        <v>1778</v>
      </c>
      <c r="E584" s="12" t="s">
        <v>1774</v>
      </c>
      <c r="F584" s="12">
        <v>166</v>
      </c>
      <c r="G584" s="12">
        <v>90</v>
      </c>
      <c r="H584" s="12">
        <v>76</v>
      </c>
      <c r="I584" s="12">
        <v>39</v>
      </c>
      <c r="J584" s="12">
        <v>31299</v>
      </c>
      <c r="K584" s="12">
        <v>35923.19</v>
      </c>
      <c r="L584" s="12">
        <v>2378724</v>
      </c>
      <c r="M584" s="12">
        <v>1</v>
      </c>
      <c r="N584" s="12">
        <v>15</v>
      </c>
      <c r="O584" s="12">
        <v>4</v>
      </c>
      <c r="P584" s="14">
        <v>46073</v>
      </c>
      <c r="Q584" s="12" t="s">
        <v>1775</v>
      </c>
    </row>
    <row r="585" spans="1:17" x14ac:dyDescent="0.3">
      <c r="A585" s="12" t="s">
        <v>553</v>
      </c>
      <c r="B585" s="12" t="s">
        <v>554</v>
      </c>
      <c r="C585" s="12" t="s">
        <v>54</v>
      </c>
      <c r="D585" s="12" t="s">
        <v>1778</v>
      </c>
      <c r="E585" s="12" t="s">
        <v>1774</v>
      </c>
      <c r="F585" s="12">
        <v>116</v>
      </c>
      <c r="G585" s="12">
        <v>36</v>
      </c>
      <c r="H585" s="12">
        <v>80</v>
      </c>
      <c r="I585" s="12">
        <v>29</v>
      </c>
      <c r="J585" s="12">
        <v>59612</v>
      </c>
      <c r="K585" s="12">
        <v>75431.759999999995</v>
      </c>
      <c r="L585" s="12">
        <v>4768960</v>
      </c>
      <c r="M585" s="12">
        <v>4</v>
      </c>
      <c r="N585" s="12">
        <v>4</v>
      </c>
      <c r="O585" s="12">
        <v>4.3</v>
      </c>
      <c r="P585" s="14">
        <v>46058</v>
      </c>
      <c r="Q585" s="12" t="s">
        <v>1775</v>
      </c>
    </row>
    <row r="586" spans="1:17" x14ac:dyDescent="0.3">
      <c r="A586" s="12" t="s">
        <v>411</v>
      </c>
      <c r="B586" s="12" t="s">
        <v>412</v>
      </c>
      <c r="C586" s="12" t="s">
        <v>54</v>
      </c>
      <c r="D586" s="12" t="s">
        <v>1778</v>
      </c>
      <c r="E586" s="12" t="s">
        <v>1777</v>
      </c>
      <c r="F586" s="12">
        <v>303</v>
      </c>
      <c r="G586" s="12">
        <v>208</v>
      </c>
      <c r="H586" s="12">
        <v>95</v>
      </c>
      <c r="I586" s="12">
        <v>80</v>
      </c>
      <c r="J586" s="12">
        <v>32712</v>
      </c>
      <c r="K586" s="12">
        <v>45080</v>
      </c>
      <c r="L586" s="12">
        <v>3107640</v>
      </c>
      <c r="M586" s="12">
        <v>5</v>
      </c>
      <c r="N586" s="12">
        <v>9</v>
      </c>
      <c r="O586" s="12">
        <v>5</v>
      </c>
      <c r="P586" s="14">
        <v>46060</v>
      </c>
      <c r="Q586" s="12" t="s">
        <v>1775</v>
      </c>
    </row>
    <row r="587" spans="1:17" x14ac:dyDescent="0.3">
      <c r="A587" s="12" t="s">
        <v>210</v>
      </c>
      <c r="B587" s="12" t="s">
        <v>211</v>
      </c>
      <c r="C587" s="12" t="s">
        <v>102</v>
      </c>
      <c r="D587" s="12" t="s">
        <v>1780</v>
      </c>
      <c r="E587" s="12" t="s">
        <v>1774</v>
      </c>
      <c r="F587" s="12">
        <v>313</v>
      </c>
      <c r="G587" s="12">
        <v>182</v>
      </c>
      <c r="H587" s="12">
        <v>131</v>
      </c>
      <c r="I587" s="12">
        <v>80</v>
      </c>
      <c r="J587" s="12">
        <v>55671</v>
      </c>
      <c r="K587" s="12">
        <v>64964.14</v>
      </c>
      <c r="L587" s="12">
        <v>7292901</v>
      </c>
      <c r="M587" s="12">
        <v>0</v>
      </c>
      <c r="N587" s="12">
        <v>8</v>
      </c>
      <c r="O587" s="12">
        <v>4.5</v>
      </c>
      <c r="P587" s="14">
        <v>46189</v>
      </c>
      <c r="Q587" s="12" t="s">
        <v>1775</v>
      </c>
    </row>
    <row r="588" spans="1:17" x14ac:dyDescent="0.3">
      <c r="A588" s="12" t="s">
        <v>451</v>
      </c>
      <c r="B588" s="12" t="s">
        <v>452</v>
      </c>
      <c r="C588" s="12" t="s">
        <v>30</v>
      </c>
      <c r="D588" s="12" t="s">
        <v>1773</v>
      </c>
      <c r="E588" s="12" t="s">
        <v>1779</v>
      </c>
      <c r="F588" s="12">
        <v>449</v>
      </c>
      <c r="G588" s="12">
        <v>104</v>
      </c>
      <c r="H588" s="12">
        <v>345</v>
      </c>
      <c r="I588" s="12">
        <v>30</v>
      </c>
      <c r="J588" s="12">
        <v>778</v>
      </c>
      <c r="K588" s="12">
        <v>970.56</v>
      </c>
      <c r="L588" s="12">
        <v>268410</v>
      </c>
      <c r="M588" s="12">
        <v>1</v>
      </c>
      <c r="N588" s="12">
        <v>6</v>
      </c>
      <c r="O588" s="12">
        <v>5</v>
      </c>
      <c r="P588" s="14">
        <v>46026</v>
      </c>
      <c r="Q588" s="12" t="s">
        <v>1775</v>
      </c>
    </row>
    <row r="589" spans="1:17" x14ac:dyDescent="0.3">
      <c r="A589" s="12" t="s">
        <v>168</v>
      </c>
      <c r="B589" s="12" t="s">
        <v>169</v>
      </c>
      <c r="C589" s="12" t="s">
        <v>102</v>
      </c>
      <c r="D589" s="12" t="s">
        <v>1773</v>
      </c>
      <c r="E589" s="12" t="s">
        <v>1779</v>
      </c>
      <c r="F589" s="12">
        <v>202</v>
      </c>
      <c r="G589" s="12">
        <v>84</v>
      </c>
      <c r="H589" s="12">
        <v>118</v>
      </c>
      <c r="I589" s="12">
        <v>29</v>
      </c>
      <c r="J589" s="12">
        <v>15278</v>
      </c>
      <c r="K589" s="12">
        <v>18210.25</v>
      </c>
      <c r="L589" s="12">
        <v>1802804</v>
      </c>
      <c r="M589" s="12">
        <v>1</v>
      </c>
      <c r="N589" s="12">
        <v>7</v>
      </c>
      <c r="O589" s="12">
        <v>3.5</v>
      </c>
      <c r="P589" s="14">
        <v>46087</v>
      </c>
      <c r="Q589" s="12" t="s">
        <v>1775</v>
      </c>
    </row>
    <row r="590" spans="1:17" x14ac:dyDescent="0.3">
      <c r="A590" s="12" t="s">
        <v>678</v>
      </c>
      <c r="B590" s="12" t="s">
        <v>679</v>
      </c>
      <c r="C590" s="12" t="s">
        <v>54</v>
      </c>
      <c r="D590" s="12" t="s">
        <v>1780</v>
      </c>
      <c r="E590" s="12" t="s">
        <v>1774</v>
      </c>
      <c r="F590" s="12">
        <v>454</v>
      </c>
      <c r="G590" s="12">
        <v>13</v>
      </c>
      <c r="H590" s="12">
        <v>441</v>
      </c>
      <c r="I590" s="12">
        <v>74</v>
      </c>
      <c r="J590" s="12">
        <v>36790</v>
      </c>
      <c r="K590" s="12">
        <v>43658.61</v>
      </c>
      <c r="L590" s="12">
        <v>16224390</v>
      </c>
      <c r="M590" s="12">
        <v>3</v>
      </c>
      <c r="N590" s="12">
        <v>7</v>
      </c>
      <c r="O590" s="12">
        <v>4.9000000000000004</v>
      </c>
      <c r="P590" s="14">
        <v>46067</v>
      </c>
      <c r="Q590" s="12" t="s">
        <v>1775</v>
      </c>
    </row>
    <row r="591" spans="1:17" x14ac:dyDescent="0.3">
      <c r="A591" s="12" t="s">
        <v>28</v>
      </c>
      <c r="B591" s="12" t="s">
        <v>29</v>
      </c>
      <c r="C591" s="12" t="s">
        <v>30</v>
      </c>
      <c r="D591" s="12" t="s">
        <v>1776</v>
      </c>
      <c r="E591" s="12" t="s">
        <v>1781</v>
      </c>
      <c r="F591" s="12">
        <v>466</v>
      </c>
      <c r="G591" s="12">
        <v>428</v>
      </c>
      <c r="H591" s="12">
        <v>38</v>
      </c>
      <c r="I591" s="12">
        <v>46</v>
      </c>
      <c r="J591" s="12">
        <v>28208</v>
      </c>
      <c r="K591" s="12">
        <v>32150.84</v>
      </c>
      <c r="L591" s="12">
        <v>1071904</v>
      </c>
      <c r="M591" s="12">
        <v>3</v>
      </c>
      <c r="N591" s="12">
        <v>12</v>
      </c>
      <c r="O591" s="12">
        <v>4.7</v>
      </c>
      <c r="P591" s="14">
        <v>46187</v>
      </c>
      <c r="Q591" s="12" t="s">
        <v>1782</v>
      </c>
    </row>
    <row r="592" spans="1:17" x14ac:dyDescent="0.3">
      <c r="A592" s="12" t="s">
        <v>316</v>
      </c>
      <c r="B592" s="12" t="s">
        <v>317</v>
      </c>
      <c r="C592" s="12" t="s">
        <v>54</v>
      </c>
      <c r="D592" s="12" t="s">
        <v>1773</v>
      </c>
      <c r="E592" s="12" t="s">
        <v>1777</v>
      </c>
      <c r="F592" s="12">
        <v>453</v>
      </c>
      <c r="G592" s="12">
        <v>35</v>
      </c>
      <c r="H592" s="12">
        <v>418</v>
      </c>
      <c r="I592" s="12">
        <v>80</v>
      </c>
      <c r="J592" s="12">
        <v>20216</v>
      </c>
      <c r="K592" s="12">
        <v>26761.65</v>
      </c>
      <c r="L592" s="12">
        <v>8450288</v>
      </c>
      <c r="M592" s="12">
        <v>5</v>
      </c>
      <c r="N592" s="12">
        <v>12</v>
      </c>
      <c r="O592" s="12">
        <v>4.9000000000000004</v>
      </c>
      <c r="P592" s="14">
        <v>46132</v>
      </c>
      <c r="Q592" s="12" t="s">
        <v>1775</v>
      </c>
    </row>
    <row r="593" spans="1:17" x14ac:dyDescent="0.3">
      <c r="A593" s="12" t="s">
        <v>122</v>
      </c>
      <c r="B593" s="12" t="s">
        <v>123</v>
      </c>
      <c r="C593" s="12" t="s">
        <v>30</v>
      </c>
      <c r="D593" s="12" t="s">
        <v>1778</v>
      </c>
      <c r="E593" s="12" t="s">
        <v>1777</v>
      </c>
      <c r="F593" s="12">
        <v>198</v>
      </c>
      <c r="G593" s="12">
        <v>141</v>
      </c>
      <c r="H593" s="12">
        <v>57</v>
      </c>
      <c r="I593" s="12">
        <v>60</v>
      </c>
      <c r="J593" s="12">
        <v>55828</v>
      </c>
      <c r="K593" s="12">
        <v>73259.460000000006</v>
      </c>
      <c r="L593" s="12">
        <v>3182196</v>
      </c>
      <c r="M593" s="12">
        <v>2</v>
      </c>
      <c r="N593" s="12">
        <v>15</v>
      </c>
      <c r="O593" s="12">
        <v>4.3</v>
      </c>
      <c r="P593" s="14">
        <v>46132</v>
      </c>
      <c r="Q593" s="12" t="s">
        <v>1782</v>
      </c>
    </row>
    <row r="594" spans="1:17" x14ac:dyDescent="0.3">
      <c r="A594" s="12" t="s">
        <v>224</v>
      </c>
      <c r="B594" s="12" t="s">
        <v>225</v>
      </c>
      <c r="C594" s="12" t="s">
        <v>102</v>
      </c>
      <c r="D594" s="12" t="s">
        <v>1776</v>
      </c>
      <c r="E594" s="12" t="s">
        <v>1779</v>
      </c>
      <c r="F594" s="12">
        <v>205</v>
      </c>
      <c r="G594" s="12">
        <v>65</v>
      </c>
      <c r="H594" s="12">
        <v>140</v>
      </c>
      <c r="I594" s="12">
        <v>47</v>
      </c>
      <c r="J594" s="12">
        <v>35745</v>
      </c>
      <c r="K594" s="12">
        <v>49702.77</v>
      </c>
      <c r="L594" s="12">
        <v>5004300</v>
      </c>
      <c r="M594" s="12">
        <v>4</v>
      </c>
      <c r="N594" s="12">
        <v>13</v>
      </c>
      <c r="O594" s="12">
        <v>4.9000000000000004</v>
      </c>
      <c r="P594" s="14">
        <v>46065</v>
      </c>
      <c r="Q594" s="12" t="s">
        <v>1775</v>
      </c>
    </row>
    <row r="595" spans="1:17" x14ac:dyDescent="0.3">
      <c r="A595" s="12" t="s">
        <v>213</v>
      </c>
      <c r="B595" s="12" t="s">
        <v>214</v>
      </c>
      <c r="C595" s="12" t="s">
        <v>54</v>
      </c>
      <c r="D595" s="12" t="s">
        <v>1780</v>
      </c>
      <c r="E595" s="12" t="s">
        <v>1774</v>
      </c>
      <c r="F595" s="12">
        <v>288</v>
      </c>
      <c r="G595" s="12">
        <v>230</v>
      </c>
      <c r="H595" s="12">
        <v>58</v>
      </c>
      <c r="I595" s="12">
        <v>78</v>
      </c>
      <c r="J595" s="12">
        <v>34690</v>
      </c>
      <c r="K595" s="12">
        <v>40661.199999999997</v>
      </c>
      <c r="L595" s="12">
        <v>2012020</v>
      </c>
      <c r="M595" s="12">
        <v>4</v>
      </c>
      <c r="N595" s="12">
        <v>7</v>
      </c>
      <c r="O595" s="12">
        <v>3.8</v>
      </c>
      <c r="P595" s="14">
        <v>46029</v>
      </c>
      <c r="Q595" s="12" t="s">
        <v>1782</v>
      </c>
    </row>
    <row r="596" spans="1:17" x14ac:dyDescent="0.3">
      <c r="A596" s="12" t="s">
        <v>95</v>
      </c>
      <c r="B596" s="12" t="s">
        <v>96</v>
      </c>
      <c r="C596" s="12" t="s">
        <v>54</v>
      </c>
      <c r="D596" s="12" t="s">
        <v>1780</v>
      </c>
      <c r="E596" s="12" t="s">
        <v>1774</v>
      </c>
      <c r="F596" s="12">
        <v>439</v>
      </c>
      <c r="G596" s="12">
        <v>191</v>
      </c>
      <c r="H596" s="12">
        <v>248</v>
      </c>
      <c r="I596" s="12">
        <v>71</v>
      </c>
      <c r="J596" s="12">
        <v>43509</v>
      </c>
      <c r="K596" s="12">
        <v>54957.55</v>
      </c>
      <c r="L596" s="12">
        <v>10790232</v>
      </c>
      <c r="M596" s="12">
        <v>1</v>
      </c>
      <c r="N596" s="12">
        <v>8</v>
      </c>
      <c r="O596" s="12">
        <v>4.0999999999999996</v>
      </c>
      <c r="P596" s="14">
        <v>46161</v>
      </c>
      <c r="Q596" s="12" t="s">
        <v>1775</v>
      </c>
    </row>
    <row r="597" spans="1:17" x14ac:dyDescent="0.3">
      <c r="A597" s="12" t="s">
        <v>363</v>
      </c>
      <c r="B597" s="12" t="s">
        <v>364</v>
      </c>
      <c r="C597" s="12" t="s">
        <v>54</v>
      </c>
      <c r="D597" s="12" t="s">
        <v>1780</v>
      </c>
      <c r="E597" s="12" t="s">
        <v>1779</v>
      </c>
      <c r="F597" s="12">
        <v>457</v>
      </c>
      <c r="G597" s="12">
        <v>450</v>
      </c>
      <c r="H597" s="12">
        <v>7</v>
      </c>
      <c r="I597" s="12">
        <v>78</v>
      </c>
      <c r="J597" s="12">
        <v>53869</v>
      </c>
      <c r="K597" s="12">
        <v>66251.509999999995</v>
      </c>
      <c r="L597" s="12">
        <v>377083</v>
      </c>
      <c r="M597" s="12">
        <v>2</v>
      </c>
      <c r="N597" s="12">
        <v>13</v>
      </c>
      <c r="O597" s="12">
        <v>4.5999999999999996</v>
      </c>
      <c r="P597" s="14">
        <v>46043</v>
      </c>
      <c r="Q597" s="12" t="s">
        <v>1782</v>
      </c>
    </row>
    <row r="598" spans="1:17" x14ac:dyDescent="0.3">
      <c r="A598" s="12" t="s">
        <v>306</v>
      </c>
      <c r="B598" s="12" t="s">
        <v>307</v>
      </c>
      <c r="C598" s="12" t="s">
        <v>71</v>
      </c>
      <c r="D598" s="12" t="s">
        <v>1773</v>
      </c>
      <c r="E598" s="12" t="s">
        <v>1777</v>
      </c>
      <c r="F598" s="12">
        <v>338</v>
      </c>
      <c r="G598" s="12">
        <v>241</v>
      </c>
      <c r="H598" s="12">
        <v>97</v>
      </c>
      <c r="I598" s="12">
        <v>75</v>
      </c>
      <c r="J598" s="12">
        <v>14415</v>
      </c>
      <c r="K598" s="12">
        <v>16040.72</v>
      </c>
      <c r="L598" s="12">
        <v>1398255</v>
      </c>
      <c r="M598" s="12">
        <v>5</v>
      </c>
      <c r="N598" s="12">
        <v>4</v>
      </c>
      <c r="O598" s="12">
        <v>4.5999999999999996</v>
      </c>
      <c r="P598" s="14">
        <v>46148</v>
      </c>
      <c r="Q598" s="12" t="s">
        <v>1775</v>
      </c>
    </row>
    <row r="599" spans="1:17" x14ac:dyDescent="0.3">
      <c r="A599" s="12" t="s">
        <v>261</v>
      </c>
      <c r="B599" s="12" t="s">
        <v>262</v>
      </c>
      <c r="C599" s="12" t="s">
        <v>102</v>
      </c>
      <c r="D599" s="12" t="s">
        <v>1776</v>
      </c>
      <c r="E599" s="12" t="s">
        <v>1779</v>
      </c>
      <c r="F599" s="12">
        <v>268</v>
      </c>
      <c r="G599" s="12">
        <v>184</v>
      </c>
      <c r="H599" s="12">
        <v>84</v>
      </c>
      <c r="I599" s="12">
        <v>29</v>
      </c>
      <c r="J599" s="12">
        <v>5080</v>
      </c>
      <c r="K599" s="12">
        <v>5869.33</v>
      </c>
      <c r="L599" s="12">
        <v>426720</v>
      </c>
      <c r="M599" s="12">
        <v>1</v>
      </c>
      <c r="N599" s="12">
        <v>11</v>
      </c>
      <c r="O599" s="12">
        <v>4.3</v>
      </c>
      <c r="P599" s="14">
        <v>46158</v>
      </c>
      <c r="Q599" s="12" t="s">
        <v>1775</v>
      </c>
    </row>
    <row r="600" spans="1:17" x14ac:dyDescent="0.3">
      <c r="A600" s="12" t="s">
        <v>141</v>
      </c>
      <c r="B600" s="12" t="s">
        <v>142</v>
      </c>
      <c r="C600" s="12" t="s">
        <v>71</v>
      </c>
      <c r="D600" s="12" t="s">
        <v>1776</v>
      </c>
      <c r="E600" s="12" t="s">
        <v>1777</v>
      </c>
      <c r="F600" s="12">
        <v>145</v>
      </c>
      <c r="G600" s="12">
        <v>7</v>
      </c>
      <c r="H600" s="12">
        <v>138</v>
      </c>
      <c r="I600" s="12">
        <v>55</v>
      </c>
      <c r="J600" s="12">
        <v>57845</v>
      </c>
      <c r="K600" s="12">
        <v>65582.740000000005</v>
      </c>
      <c r="L600" s="12">
        <v>7982610</v>
      </c>
      <c r="M600" s="12">
        <v>1</v>
      </c>
      <c r="N600" s="12">
        <v>15</v>
      </c>
      <c r="O600" s="12">
        <v>4.8</v>
      </c>
      <c r="P600" s="14">
        <v>46092</v>
      </c>
      <c r="Q600" s="12" t="s">
        <v>1775</v>
      </c>
    </row>
    <row r="601" spans="1:17" x14ac:dyDescent="0.3">
      <c r="A601" s="12" t="s">
        <v>334</v>
      </c>
      <c r="B601" s="12" t="s">
        <v>335</v>
      </c>
      <c r="C601" s="12" t="s">
        <v>71</v>
      </c>
      <c r="D601" s="12" t="s">
        <v>1773</v>
      </c>
      <c r="E601" s="12" t="s">
        <v>1779</v>
      </c>
      <c r="F601" s="12">
        <v>451</v>
      </c>
      <c r="G601" s="12">
        <v>376</v>
      </c>
      <c r="H601" s="12">
        <v>75</v>
      </c>
      <c r="I601" s="12">
        <v>41</v>
      </c>
      <c r="J601" s="12">
        <v>23348</v>
      </c>
      <c r="K601" s="12">
        <v>31100.61</v>
      </c>
      <c r="L601" s="12">
        <v>1751100</v>
      </c>
      <c r="M601" s="12">
        <v>4</v>
      </c>
      <c r="N601" s="12">
        <v>6</v>
      </c>
      <c r="O601" s="12">
        <v>3.5</v>
      </c>
      <c r="P601" s="14">
        <v>46101</v>
      </c>
      <c r="Q601" s="12" t="s">
        <v>1775</v>
      </c>
    </row>
    <row r="602" spans="1:17" x14ac:dyDescent="0.3">
      <c r="A602" s="12" t="s">
        <v>759</v>
      </c>
      <c r="B602" s="12" t="s">
        <v>760</v>
      </c>
      <c r="C602" s="12" t="s">
        <v>71</v>
      </c>
      <c r="D602" s="12" t="s">
        <v>1778</v>
      </c>
      <c r="E602" s="12" t="s">
        <v>1777</v>
      </c>
      <c r="F602" s="12">
        <v>345</v>
      </c>
      <c r="G602" s="12">
        <v>335</v>
      </c>
      <c r="H602" s="12">
        <v>10</v>
      </c>
      <c r="I602" s="12">
        <v>67</v>
      </c>
      <c r="J602" s="12">
        <v>51499</v>
      </c>
      <c r="K602" s="12">
        <v>56888.59</v>
      </c>
      <c r="L602" s="12">
        <v>514990</v>
      </c>
      <c r="M602" s="12">
        <v>2</v>
      </c>
      <c r="N602" s="12">
        <v>11</v>
      </c>
      <c r="O602" s="12">
        <v>4.7</v>
      </c>
      <c r="P602" s="14">
        <v>46032</v>
      </c>
      <c r="Q602" s="12" t="s">
        <v>1782</v>
      </c>
    </row>
    <row r="603" spans="1:17" x14ac:dyDescent="0.3">
      <c r="A603" s="12" t="s">
        <v>396</v>
      </c>
      <c r="B603" s="12" t="s">
        <v>397</v>
      </c>
      <c r="C603" s="12" t="s">
        <v>54</v>
      </c>
      <c r="D603" s="12" t="s">
        <v>1778</v>
      </c>
      <c r="E603" s="12" t="s">
        <v>1779</v>
      </c>
      <c r="F603" s="12">
        <v>493</v>
      </c>
      <c r="G603" s="12">
        <v>264</v>
      </c>
      <c r="H603" s="12">
        <v>229</v>
      </c>
      <c r="I603" s="12">
        <v>78</v>
      </c>
      <c r="J603" s="12">
        <v>35766</v>
      </c>
      <c r="K603" s="12">
        <v>48022.32</v>
      </c>
      <c r="L603" s="12">
        <v>8190414</v>
      </c>
      <c r="M603" s="12">
        <v>0</v>
      </c>
      <c r="N603" s="12">
        <v>5</v>
      </c>
      <c r="O603" s="12">
        <v>3.5</v>
      </c>
      <c r="P603" s="14">
        <v>46088</v>
      </c>
      <c r="Q603" s="12" t="s">
        <v>1775</v>
      </c>
    </row>
    <row r="604" spans="1:17" x14ac:dyDescent="0.3">
      <c r="A604" s="12" t="s">
        <v>759</v>
      </c>
      <c r="B604" s="12" t="s">
        <v>760</v>
      </c>
      <c r="C604" s="12" t="s">
        <v>71</v>
      </c>
      <c r="D604" s="12" t="s">
        <v>1780</v>
      </c>
      <c r="E604" s="12" t="s">
        <v>1779</v>
      </c>
      <c r="F604" s="12">
        <v>315</v>
      </c>
      <c r="G604" s="12">
        <v>154</v>
      </c>
      <c r="H604" s="12">
        <v>161</v>
      </c>
      <c r="I604" s="12">
        <v>78</v>
      </c>
      <c r="J604" s="12">
        <v>4118</v>
      </c>
      <c r="K604" s="12">
        <v>5307.76</v>
      </c>
      <c r="L604" s="12">
        <v>662998</v>
      </c>
      <c r="M604" s="12">
        <v>0</v>
      </c>
      <c r="N604" s="12">
        <v>14</v>
      </c>
      <c r="O604" s="12">
        <v>4.8</v>
      </c>
      <c r="P604" s="14">
        <v>46087</v>
      </c>
      <c r="Q604" s="12" t="s">
        <v>1775</v>
      </c>
    </row>
    <row r="605" spans="1:17" x14ac:dyDescent="0.3">
      <c r="A605" s="12" t="s">
        <v>168</v>
      </c>
      <c r="B605" s="12" t="s">
        <v>169</v>
      </c>
      <c r="C605" s="12" t="s">
        <v>102</v>
      </c>
      <c r="D605" s="12" t="s">
        <v>1778</v>
      </c>
      <c r="E605" s="12" t="s">
        <v>1779</v>
      </c>
      <c r="F605" s="12">
        <v>189</v>
      </c>
      <c r="G605" s="12">
        <v>38</v>
      </c>
      <c r="H605" s="12">
        <v>151</v>
      </c>
      <c r="I605" s="12">
        <v>61</v>
      </c>
      <c r="J605" s="12">
        <v>31838</v>
      </c>
      <c r="K605" s="12">
        <v>42959.31</v>
      </c>
      <c r="L605" s="12">
        <v>4807538</v>
      </c>
      <c r="M605" s="12">
        <v>0</v>
      </c>
      <c r="N605" s="12">
        <v>11</v>
      </c>
      <c r="O605" s="12">
        <v>4.2</v>
      </c>
      <c r="P605" s="14">
        <v>46087</v>
      </c>
      <c r="Q605" s="12" t="s">
        <v>1775</v>
      </c>
    </row>
    <row r="606" spans="1:17" x14ac:dyDescent="0.3">
      <c r="A606" s="12" t="s">
        <v>324</v>
      </c>
      <c r="B606" s="12" t="s">
        <v>325</v>
      </c>
      <c r="C606" s="12" t="s">
        <v>54</v>
      </c>
      <c r="D606" s="12" t="s">
        <v>1773</v>
      </c>
      <c r="E606" s="12" t="s">
        <v>1774</v>
      </c>
      <c r="F606" s="12">
        <v>105</v>
      </c>
      <c r="G606" s="12">
        <v>100</v>
      </c>
      <c r="H606" s="12">
        <v>5</v>
      </c>
      <c r="I606" s="12">
        <v>77</v>
      </c>
      <c r="J606" s="12">
        <v>30473</v>
      </c>
      <c r="K606" s="12">
        <v>38682.99</v>
      </c>
      <c r="L606" s="12">
        <v>152365</v>
      </c>
      <c r="M606" s="12">
        <v>3</v>
      </c>
      <c r="N606" s="12">
        <v>2</v>
      </c>
      <c r="O606" s="12">
        <v>3.8</v>
      </c>
      <c r="P606" s="14">
        <v>46061</v>
      </c>
      <c r="Q606" s="12" t="s">
        <v>1782</v>
      </c>
    </row>
    <row r="607" spans="1:17" x14ac:dyDescent="0.3">
      <c r="A607" s="12" t="s">
        <v>391</v>
      </c>
      <c r="B607" s="12" t="s">
        <v>392</v>
      </c>
      <c r="C607" s="12" t="s">
        <v>54</v>
      </c>
      <c r="D607" s="12" t="s">
        <v>1773</v>
      </c>
      <c r="E607" s="12" t="s">
        <v>1779</v>
      </c>
      <c r="F607" s="12">
        <v>193</v>
      </c>
      <c r="G607" s="12">
        <v>178</v>
      </c>
      <c r="H607" s="12">
        <v>15</v>
      </c>
      <c r="I607" s="12">
        <v>46</v>
      </c>
      <c r="J607" s="12">
        <v>41658</v>
      </c>
      <c r="K607" s="12">
        <v>54566.23</v>
      </c>
      <c r="L607" s="12">
        <v>624870</v>
      </c>
      <c r="M607" s="12">
        <v>4</v>
      </c>
      <c r="N607" s="12">
        <v>13</v>
      </c>
      <c r="O607" s="12">
        <v>4.8</v>
      </c>
      <c r="P607" s="14">
        <v>46109</v>
      </c>
      <c r="Q607" s="12" t="s">
        <v>1782</v>
      </c>
    </row>
    <row r="608" spans="1:17" x14ac:dyDescent="0.3">
      <c r="A608" s="12" t="s">
        <v>113</v>
      </c>
      <c r="B608" s="12" t="s">
        <v>114</v>
      </c>
      <c r="C608" s="12" t="s">
        <v>102</v>
      </c>
      <c r="D608" s="12" t="s">
        <v>1776</v>
      </c>
      <c r="E608" s="12" t="s">
        <v>1777</v>
      </c>
      <c r="F608" s="12">
        <v>162</v>
      </c>
      <c r="G608" s="12">
        <v>93</v>
      </c>
      <c r="H608" s="12">
        <v>69</v>
      </c>
      <c r="I608" s="12">
        <v>69</v>
      </c>
      <c r="J608" s="12">
        <v>14440</v>
      </c>
      <c r="K608" s="12">
        <v>15966.97</v>
      </c>
      <c r="L608" s="12">
        <v>996360</v>
      </c>
      <c r="M608" s="12">
        <v>3</v>
      </c>
      <c r="N608" s="12">
        <v>11</v>
      </c>
      <c r="O608" s="12">
        <v>4.4000000000000004</v>
      </c>
      <c r="P608" s="14">
        <v>46135</v>
      </c>
      <c r="Q608" s="12" t="s">
        <v>1775</v>
      </c>
    </row>
    <row r="609" spans="1:17" x14ac:dyDescent="0.3">
      <c r="A609" s="12" t="s">
        <v>193</v>
      </c>
      <c r="B609" s="12" t="s">
        <v>194</v>
      </c>
      <c r="C609" s="12" t="s">
        <v>71</v>
      </c>
      <c r="D609" s="12" t="s">
        <v>1773</v>
      </c>
      <c r="E609" s="12" t="s">
        <v>1779</v>
      </c>
      <c r="F609" s="12">
        <v>415</v>
      </c>
      <c r="G609" s="12">
        <v>318</v>
      </c>
      <c r="H609" s="12">
        <v>97</v>
      </c>
      <c r="I609" s="12">
        <v>29</v>
      </c>
      <c r="J609" s="12">
        <v>45595</v>
      </c>
      <c r="K609" s="12">
        <v>58925.11</v>
      </c>
      <c r="L609" s="12">
        <v>4422715</v>
      </c>
      <c r="M609" s="12">
        <v>3</v>
      </c>
      <c r="N609" s="12">
        <v>7</v>
      </c>
      <c r="O609" s="12">
        <v>4</v>
      </c>
      <c r="P609" s="14">
        <v>46133</v>
      </c>
      <c r="Q609" s="12" t="s">
        <v>1775</v>
      </c>
    </row>
    <row r="610" spans="1:17" x14ac:dyDescent="0.3">
      <c r="A610" s="12" t="s">
        <v>210</v>
      </c>
      <c r="B610" s="12" t="s">
        <v>211</v>
      </c>
      <c r="C610" s="12" t="s">
        <v>102</v>
      </c>
      <c r="D610" s="12" t="s">
        <v>1773</v>
      </c>
      <c r="E610" s="12" t="s">
        <v>1777</v>
      </c>
      <c r="F610" s="12">
        <v>107</v>
      </c>
      <c r="G610" s="12">
        <v>64</v>
      </c>
      <c r="H610" s="12">
        <v>43</v>
      </c>
      <c r="I610" s="12">
        <v>50</v>
      </c>
      <c r="J610" s="12">
        <v>3026</v>
      </c>
      <c r="K610" s="12">
        <v>3471.71</v>
      </c>
      <c r="L610" s="12">
        <v>130118</v>
      </c>
      <c r="M610" s="12">
        <v>1</v>
      </c>
      <c r="N610" s="12">
        <v>10</v>
      </c>
      <c r="O610" s="12">
        <v>3.9</v>
      </c>
      <c r="P610" s="14">
        <v>46024</v>
      </c>
      <c r="Q610" s="12" t="s">
        <v>1782</v>
      </c>
    </row>
    <row r="611" spans="1:17" x14ac:dyDescent="0.3">
      <c r="A611" s="12" t="s">
        <v>206</v>
      </c>
      <c r="B611" s="12" t="s">
        <v>207</v>
      </c>
      <c r="C611" s="12" t="s">
        <v>30</v>
      </c>
      <c r="D611" s="12" t="s">
        <v>1776</v>
      </c>
      <c r="E611" s="12" t="s">
        <v>1779</v>
      </c>
      <c r="F611" s="12">
        <v>190</v>
      </c>
      <c r="G611" s="12">
        <v>58</v>
      </c>
      <c r="H611" s="12">
        <v>132</v>
      </c>
      <c r="I611" s="12">
        <v>29</v>
      </c>
      <c r="J611" s="12">
        <v>6176</v>
      </c>
      <c r="K611" s="12">
        <v>7949.75</v>
      </c>
      <c r="L611" s="12">
        <v>815232</v>
      </c>
      <c r="M611" s="12">
        <v>1</v>
      </c>
      <c r="N611" s="12">
        <v>3</v>
      </c>
      <c r="O611" s="12">
        <v>4.4000000000000004</v>
      </c>
      <c r="P611" s="14">
        <v>46054</v>
      </c>
      <c r="Q611" s="12" t="s">
        <v>1775</v>
      </c>
    </row>
    <row r="612" spans="1:17" x14ac:dyDescent="0.3">
      <c r="A612" s="12" t="s">
        <v>189</v>
      </c>
      <c r="B612" s="12" t="s">
        <v>190</v>
      </c>
      <c r="C612" s="12" t="s">
        <v>102</v>
      </c>
      <c r="D612" s="12" t="s">
        <v>1778</v>
      </c>
      <c r="E612" s="12" t="s">
        <v>1781</v>
      </c>
      <c r="F612" s="12">
        <v>359</v>
      </c>
      <c r="G612" s="12">
        <v>15</v>
      </c>
      <c r="H612" s="12">
        <v>344</v>
      </c>
      <c r="I612" s="12">
        <v>67</v>
      </c>
      <c r="J612" s="12">
        <v>55963</v>
      </c>
      <c r="K612" s="12">
        <v>63864.28</v>
      </c>
      <c r="L612" s="12">
        <v>19251272</v>
      </c>
      <c r="M612" s="12">
        <v>3</v>
      </c>
      <c r="N612" s="12">
        <v>14</v>
      </c>
      <c r="O612" s="12">
        <v>4.3</v>
      </c>
      <c r="P612" s="14">
        <v>46146</v>
      </c>
      <c r="Q612" s="12" t="s">
        <v>1775</v>
      </c>
    </row>
    <row r="613" spans="1:17" x14ac:dyDescent="0.3">
      <c r="A613" s="12" t="s">
        <v>374</v>
      </c>
      <c r="B613" s="12" t="s">
        <v>375</v>
      </c>
      <c r="C613" s="12" t="s">
        <v>54</v>
      </c>
      <c r="D613" s="12" t="s">
        <v>1780</v>
      </c>
      <c r="E613" s="12" t="s">
        <v>1779</v>
      </c>
      <c r="F613" s="12">
        <v>171</v>
      </c>
      <c r="G613" s="12">
        <v>144</v>
      </c>
      <c r="H613" s="12">
        <v>27</v>
      </c>
      <c r="I613" s="12">
        <v>41</v>
      </c>
      <c r="J613" s="12">
        <v>50018</v>
      </c>
      <c r="K613" s="12">
        <v>64155.74</v>
      </c>
      <c r="L613" s="12">
        <v>1350486</v>
      </c>
      <c r="M613" s="12">
        <v>3</v>
      </c>
      <c r="N613" s="12">
        <v>11</v>
      </c>
      <c r="O613" s="12">
        <v>4.7</v>
      </c>
      <c r="P613" s="14">
        <v>46073</v>
      </c>
      <c r="Q613" s="12" t="s">
        <v>1782</v>
      </c>
    </row>
    <row r="614" spans="1:17" x14ac:dyDescent="0.3">
      <c r="A614" s="12" t="s">
        <v>52</v>
      </c>
      <c r="B614" s="12" t="s">
        <v>53</v>
      </c>
      <c r="C614" s="12" t="s">
        <v>54</v>
      </c>
      <c r="D614" s="12" t="s">
        <v>1773</v>
      </c>
      <c r="E614" s="12" t="s">
        <v>1779</v>
      </c>
      <c r="F614" s="12">
        <v>76</v>
      </c>
      <c r="G614" s="12">
        <v>71</v>
      </c>
      <c r="H614" s="12">
        <v>5</v>
      </c>
      <c r="I614" s="12">
        <v>45</v>
      </c>
      <c r="J614" s="12">
        <v>45915</v>
      </c>
      <c r="K614" s="12">
        <v>63997.79</v>
      </c>
      <c r="L614" s="12">
        <v>229575</v>
      </c>
      <c r="M614" s="12">
        <v>5</v>
      </c>
      <c r="N614" s="12">
        <v>10</v>
      </c>
      <c r="O614" s="12">
        <v>3.9</v>
      </c>
      <c r="P614" s="14">
        <v>46094</v>
      </c>
      <c r="Q614" s="12" t="s">
        <v>1782</v>
      </c>
    </row>
    <row r="615" spans="1:17" x14ac:dyDescent="0.3">
      <c r="A615" s="12" t="s">
        <v>316</v>
      </c>
      <c r="B615" s="12" t="s">
        <v>317</v>
      </c>
      <c r="C615" s="12" t="s">
        <v>54</v>
      </c>
      <c r="D615" s="12" t="s">
        <v>1776</v>
      </c>
      <c r="E615" s="12" t="s">
        <v>1781</v>
      </c>
      <c r="F615" s="12">
        <v>420</v>
      </c>
      <c r="G615" s="12">
        <v>313</v>
      </c>
      <c r="H615" s="12">
        <v>107</v>
      </c>
      <c r="I615" s="12">
        <v>64</v>
      </c>
      <c r="J615" s="12">
        <v>24450</v>
      </c>
      <c r="K615" s="12">
        <v>32516.18</v>
      </c>
      <c r="L615" s="12">
        <v>2616150</v>
      </c>
      <c r="M615" s="12">
        <v>0</v>
      </c>
      <c r="N615" s="12">
        <v>10</v>
      </c>
      <c r="O615" s="12">
        <v>4.4000000000000004</v>
      </c>
      <c r="P615" s="14">
        <v>46119</v>
      </c>
      <c r="Q615" s="12" t="s">
        <v>1775</v>
      </c>
    </row>
    <row r="616" spans="1:17" x14ac:dyDescent="0.3">
      <c r="A616" s="12" t="s">
        <v>374</v>
      </c>
      <c r="B616" s="12" t="s">
        <v>375</v>
      </c>
      <c r="C616" s="12" t="s">
        <v>54</v>
      </c>
      <c r="D616" s="12" t="s">
        <v>1776</v>
      </c>
      <c r="E616" s="12" t="s">
        <v>1777</v>
      </c>
      <c r="F616" s="12">
        <v>60</v>
      </c>
      <c r="G616" s="12">
        <v>41</v>
      </c>
      <c r="H616" s="12">
        <v>19</v>
      </c>
      <c r="I616" s="12">
        <v>42</v>
      </c>
      <c r="J616" s="12">
        <v>35669</v>
      </c>
      <c r="K616" s="12">
        <v>41954.64</v>
      </c>
      <c r="L616" s="12">
        <v>677711</v>
      </c>
      <c r="M616" s="12">
        <v>3</v>
      </c>
      <c r="N616" s="12">
        <v>12</v>
      </c>
      <c r="O616" s="12">
        <v>4.5</v>
      </c>
      <c r="P616" s="14">
        <v>46084</v>
      </c>
      <c r="Q616" s="12" t="s">
        <v>1782</v>
      </c>
    </row>
    <row r="617" spans="1:17" x14ac:dyDescent="0.3">
      <c r="A617" s="12" t="s">
        <v>324</v>
      </c>
      <c r="B617" s="12" t="s">
        <v>325</v>
      </c>
      <c r="C617" s="12" t="s">
        <v>54</v>
      </c>
      <c r="D617" s="12" t="s">
        <v>1773</v>
      </c>
      <c r="E617" s="12" t="s">
        <v>1779</v>
      </c>
      <c r="F617" s="12">
        <v>143</v>
      </c>
      <c r="G617" s="12">
        <v>56</v>
      </c>
      <c r="H617" s="12">
        <v>87</v>
      </c>
      <c r="I617" s="12">
        <v>54</v>
      </c>
      <c r="J617" s="12">
        <v>13240</v>
      </c>
      <c r="K617" s="12">
        <v>15815.84</v>
      </c>
      <c r="L617" s="12">
        <v>1151880</v>
      </c>
      <c r="M617" s="12">
        <v>5</v>
      </c>
      <c r="N617" s="12">
        <v>12</v>
      </c>
      <c r="O617" s="12">
        <v>4.5999999999999996</v>
      </c>
      <c r="P617" s="14">
        <v>46202</v>
      </c>
      <c r="Q617" s="12" t="s">
        <v>1775</v>
      </c>
    </row>
    <row r="618" spans="1:17" x14ac:dyDescent="0.3">
      <c r="A618" s="12" t="s">
        <v>513</v>
      </c>
      <c r="B618" s="12" t="s">
        <v>514</v>
      </c>
      <c r="C618" s="12" t="s">
        <v>71</v>
      </c>
      <c r="D618" s="12" t="s">
        <v>1778</v>
      </c>
      <c r="E618" s="12" t="s">
        <v>1781</v>
      </c>
      <c r="F618" s="12">
        <v>335</v>
      </c>
      <c r="G618" s="12">
        <v>66</v>
      </c>
      <c r="H618" s="12">
        <v>269</v>
      </c>
      <c r="I618" s="12">
        <v>41</v>
      </c>
      <c r="J618" s="12">
        <v>5252</v>
      </c>
      <c r="K618" s="12">
        <v>6742.73</v>
      </c>
      <c r="L618" s="12">
        <v>1412788</v>
      </c>
      <c r="M618" s="12">
        <v>2</v>
      </c>
      <c r="N618" s="12">
        <v>10</v>
      </c>
      <c r="O618" s="12">
        <v>4.5999999999999996</v>
      </c>
      <c r="P618" s="14">
        <v>46051</v>
      </c>
      <c r="Q618" s="12" t="s">
        <v>1775</v>
      </c>
    </row>
    <row r="619" spans="1:17" x14ac:dyDescent="0.3">
      <c r="A619" s="12" t="s">
        <v>265</v>
      </c>
      <c r="B619" s="12" t="s">
        <v>266</v>
      </c>
      <c r="C619" s="12" t="s">
        <v>71</v>
      </c>
      <c r="D619" s="12" t="s">
        <v>1773</v>
      </c>
      <c r="E619" s="12" t="s">
        <v>1774</v>
      </c>
      <c r="F619" s="12">
        <v>240</v>
      </c>
      <c r="G619" s="12">
        <v>223</v>
      </c>
      <c r="H619" s="12">
        <v>17</v>
      </c>
      <c r="I619" s="12">
        <v>49</v>
      </c>
      <c r="J619" s="12">
        <v>55668</v>
      </c>
      <c r="K619" s="12">
        <v>72263.3</v>
      </c>
      <c r="L619" s="12">
        <v>946356</v>
      </c>
      <c r="M619" s="12">
        <v>2</v>
      </c>
      <c r="N619" s="12">
        <v>15</v>
      </c>
      <c r="O619" s="12">
        <v>4.7</v>
      </c>
      <c r="P619" s="14">
        <v>46183</v>
      </c>
      <c r="Q619" s="12" t="s">
        <v>1782</v>
      </c>
    </row>
    <row r="620" spans="1:17" x14ac:dyDescent="0.3">
      <c r="A620" s="12" t="s">
        <v>762</v>
      </c>
      <c r="B620" s="12" t="s">
        <v>763</v>
      </c>
      <c r="C620" s="12" t="s">
        <v>54</v>
      </c>
      <c r="D620" s="12" t="s">
        <v>1778</v>
      </c>
      <c r="E620" s="12" t="s">
        <v>1781</v>
      </c>
      <c r="F620" s="12">
        <v>493</v>
      </c>
      <c r="G620" s="12">
        <v>74</v>
      </c>
      <c r="H620" s="12">
        <v>419</v>
      </c>
      <c r="I620" s="12">
        <v>26</v>
      </c>
      <c r="J620" s="12">
        <v>9834</v>
      </c>
      <c r="K620" s="12">
        <v>13257.18</v>
      </c>
      <c r="L620" s="12">
        <v>4120446</v>
      </c>
      <c r="M620" s="12">
        <v>5</v>
      </c>
      <c r="N620" s="12">
        <v>2</v>
      </c>
      <c r="O620" s="12">
        <v>3.7</v>
      </c>
      <c r="P620" s="14">
        <v>46197</v>
      </c>
      <c r="Q620" s="12" t="s">
        <v>1775</v>
      </c>
    </row>
    <row r="621" spans="1:17" x14ac:dyDescent="0.3">
      <c r="A621" s="12" t="s">
        <v>342</v>
      </c>
      <c r="B621" s="12" t="s">
        <v>343</v>
      </c>
      <c r="C621" s="12" t="s">
        <v>54</v>
      </c>
      <c r="D621" s="12" t="s">
        <v>1776</v>
      </c>
      <c r="E621" s="12" t="s">
        <v>1781</v>
      </c>
      <c r="F621" s="12">
        <v>269</v>
      </c>
      <c r="G621" s="12">
        <v>143</v>
      </c>
      <c r="H621" s="12">
        <v>126</v>
      </c>
      <c r="I621" s="12">
        <v>71</v>
      </c>
      <c r="J621" s="12">
        <v>59512</v>
      </c>
      <c r="K621" s="12">
        <v>75884.740000000005</v>
      </c>
      <c r="L621" s="12">
        <v>7498512</v>
      </c>
      <c r="M621" s="12">
        <v>1</v>
      </c>
      <c r="N621" s="12">
        <v>13</v>
      </c>
      <c r="O621" s="12">
        <v>3.6</v>
      </c>
      <c r="P621" s="14">
        <v>46163</v>
      </c>
      <c r="Q621" s="12" t="s">
        <v>1775</v>
      </c>
    </row>
    <row r="622" spans="1:17" x14ac:dyDescent="0.3">
      <c r="A622" s="12" t="s">
        <v>431</v>
      </c>
      <c r="B622" s="12" t="s">
        <v>432</v>
      </c>
      <c r="C622" s="12" t="s">
        <v>30</v>
      </c>
      <c r="D622" s="12" t="s">
        <v>1773</v>
      </c>
      <c r="E622" s="12" t="s">
        <v>1779</v>
      </c>
      <c r="F622" s="12">
        <v>286</v>
      </c>
      <c r="G622" s="12">
        <v>139</v>
      </c>
      <c r="H622" s="12">
        <v>147</v>
      </c>
      <c r="I622" s="12">
        <v>27</v>
      </c>
      <c r="J622" s="12">
        <v>20289</v>
      </c>
      <c r="K622" s="12">
        <v>25167.06</v>
      </c>
      <c r="L622" s="12">
        <v>2982483</v>
      </c>
      <c r="M622" s="12">
        <v>5</v>
      </c>
      <c r="N622" s="12">
        <v>8</v>
      </c>
      <c r="O622" s="12">
        <v>3.8</v>
      </c>
      <c r="P622" s="14">
        <v>46174</v>
      </c>
      <c r="Q622" s="12" t="s">
        <v>1775</v>
      </c>
    </row>
    <row r="623" spans="1:17" x14ac:dyDescent="0.3">
      <c r="A623" s="12" t="s">
        <v>367</v>
      </c>
      <c r="B623" s="12" t="s">
        <v>368</v>
      </c>
      <c r="C623" s="12" t="s">
        <v>71</v>
      </c>
      <c r="D623" s="12" t="s">
        <v>1780</v>
      </c>
      <c r="E623" s="12" t="s">
        <v>1774</v>
      </c>
      <c r="F623" s="12">
        <v>223</v>
      </c>
      <c r="G623" s="12">
        <v>197</v>
      </c>
      <c r="H623" s="12">
        <v>26</v>
      </c>
      <c r="I623" s="12">
        <v>67</v>
      </c>
      <c r="J623" s="12">
        <v>31166</v>
      </c>
      <c r="K623" s="12">
        <v>39622.76</v>
      </c>
      <c r="L623" s="12">
        <v>810316</v>
      </c>
      <c r="M623" s="12">
        <v>2</v>
      </c>
      <c r="N623" s="12">
        <v>12</v>
      </c>
      <c r="O623" s="12">
        <v>3.6</v>
      </c>
      <c r="P623" s="14">
        <v>46047</v>
      </c>
      <c r="Q623" s="12" t="s">
        <v>1782</v>
      </c>
    </row>
    <row r="624" spans="1:17" x14ac:dyDescent="0.3">
      <c r="A624" s="12" t="s">
        <v>406</v>
      </c>
      <c r="B624" s="12" t="s">
        <v>407</v>
      </c>
      <c r="C624" s="12" t="s">
        <v>30</v>
      </c>
      <c r="D624" s="12" t="s">
        <v>1776</v>
      </c>
      <c r="E624" s="12" t="s">
        <v>1774</v>
      </c>
      <c r="F624" s="12">
        <v>312</v>
      </c>
      <c r="G624" s="12">
        <v>26</v>
      </c>
      <c r="H624" s="12">
        <v>286</v>
      </c>
      <c r="I624" s="12">
        <v>56</v>
      </c>
      <c r="J624" s="12">
        <v>49782</v>
      </c>
      <c r="K624" s="12">
        <v>69559.77</v>
      </c>
      <c r="L624" s="12">
        <v>14237652</v>
      </c>
      <c r="M624" s="12">
        <v>3</v>
      </c>
      <c r="N624" s="12">
        <v>3</v>
      </c>
      <c r="O624" s="12">
        <v>4</v>
      </c>
      <c r="P624" s="14">
        <v>46103</v>
      </c>
      <c r="Q624" s="12" t="s">
        <v>1775</v>
      </c>
    </row>
    <row r="625" spans="1:17" x14ac:dyDescent="0.3">
      <c r="A625" s="12" t="s">
        <v>406</v>
      </c>
      <c r="B625" s="12" t="s">
        <v>407</v>
      </c>
      <c r="C625" s="12" t="s">
        <v>30</v>
      </c>
      <c r="D625" s="12" t="s">
        <v>1780</v>
      </c>
      <c r="E625" s="12" t="s">
        <v>1781</v>
      </c>
      <c r="F625" s="12">
        <v>373</v>
      </c>
      <c r="G625" s="12">
        <v>8</v>
      </c>
      <c r="H625" s="12">
        <v>365</v>
      </c>
      <c r="I625" s="12">
        <v>52</v>
      </c>
      <c r="J625" s="12">
        <v>41953</v>
      </c>
      <c r="K625" s="12">
        <v>49630.02</v>
      </c>
      <c r="L625" s="12">
        <v>15312845</v>
      </c>
      <c r="M625" s="12">
        <v>2</v>
      </c>
      <c r="N625" s="12">
        <v>8</v>
      </c>
      <c r="O625" s="12">
        <v>4.2</v>
      </c>
      <c r="P625" s="14">
        <v>46098</v>
      </c>
      <c r="Q625" s="12" t="s">
        <v>1775</v>
      </c>
    </row>
    <row r="626" spans="1:17" x14ac:dyDescent="0.3">
      <c r="A626" s="12" t="s">
        <v>85</v>
      </c>
      <c r="B626" s="12" t="s">
        <v>86</v>
      </c>
      <c r="C626" s="12" t="s">
        <v>71</v>
      </c>
      <c r="D626" s="12" t="s">
        <v>1773</v>
      </c>
      <c r="E626" s="12" t="s">
        <v>1781</v>
      </c>
      <c r="F626" s="12">
        <v>50</v>
      </c>
      <c r="G626" s="12">
        <v>37</v>
      </c>
      <c r="H626" s="12">
        <v>13</v>
      </c>
      <c r="I626" s="12">
        <v>21</v>
      </c>
      <c r="J626" s="12">
        <v>14117</v>
      </c>
      <c r="K626" s="12">
        <v>18907.32</v>
      </c>
      <c r="L626" s="12">
        <v>183521</v>
      </c>
      <c r="M626" s="12">
        <v>2</v>
      </c>
      <c r="N626" s="12">
        <v>10</v>
      </c>
      <c r="O626" s="12">
        <v>3.9</v>
      </c>
      <c r="P626" s="14">
        <v>46032</v>
      </c>
      <c r="Q626" s="12" t="s">
        <v>1782</v>
      </c>
    </row>
    <row r="627" spans="1:17" x14ac:dyDescent="0.3">
      <c r="A627" s="12" t="s">
        <v>816</v>
      </c>
      <c r="B627" s="12" t="s">
        <v>817</v>
      </c>
      <c r="C627" s="12" t="s">
        <v>54</v>
      </c>
      <c r="D627" s="12" t="s">
        <v>1780</v>
      </c>
      <c r="E627" s="12" t="s">
        <v>1781</v>
      </c>
      <c r="F627" s="12">
        <v>499</v>
      </c>
      <c r="G627" s="12">
        <v>477</v>
      </c>
      <c r="H627" s="12">
        <v>22</v>
      </c>
      <c r="I627" s="12">
        <v>42</v>
      </c>
      <c r="J627" s="12">
        <v>59454</v>
      </c>
      <c r="K627" s="12">
        <v>82383.89</v>
      </c>
      <c r="L627" s="12">
        <v>1307988</v>
      </c>
      <c r="M627" s="12">
        <v>3</v>
      </c>
      <c r="N627" s="12">
        <v>7</v>
      </c>
      <c r="O627" s="12">
        <v>3.8</v>
      </c>
      <c r="P627" s="14">
        <v>46125</v>
      </c>
      <c r="Q627" s="12" t="s">
        <v>1782</v>
      </c>
    </row>
    <row r="628" spans="1:17" x14ac:dyDescent="0.3">
      <c r="A628" s="12" t="s">
        <v>118</v>
      </c>
      <c r="B628" s="12" t="s">
        <v>119</v>
      </c>
      <c r="C628" s="12" t="s">
        <v>54</v>
      </c>
      <c r="D628" s="12" t="s">
        <v>1780</v>
      </c>
      <c r="E628" s="12" t="s">
        <v>1777</v>
      </c>
      <c r="F628" s="12">
        <v>486</v>
      </c>
      <c r="G628" s="12">
        <v>144</v>
      </c>
      <c r="H628" s="12">
        <v>342</v>
      </c>
      <c r="I628" s="12">
        <v>44</v>
      </c>
      <c r="J628" s="12">
        <v>42928</v>
      </c>
      <c r="K628" s="12">
        <v>47718.09</v>
      </c>
      <c r="L628" s="12">
        <v>14681376</v>
      </c>
      <c r="M628" s="12">
        <v>4</v>
      </c>
      <c r="N628" s="12">
        <v>2</v>
      </c>
      <c r="O628" s="12">
        <v>3.9</v>
      </c>
      <c r="P628" s="14">
        <v>46120</v>
      </c>
      <c r="Q628" s="12" t="s">
        <v>1775</v>
      </c>
    </row>
    <row r="629" spans="1:17" x14ac:dyDescent="0.3">
      <c r="A629" s="12" t="s">
        <v>306</v>
      </c>
      <c r="B629" s="12" t="s">
        <v>307</v>
      </c>
      <c r="C629" s="12" t="s">
        <v>71</v>
      </c>
      <c r="D629" s="12" t="s">
        <v>1778</v>
      </c>
      <c r="E629" s="12" t="s">
        <v>1781</v>
      </c>
      <c r="F629" s="12">
        <v>54</v>
      </c>
      <c r="G629" s="12">
        <v>29</v>
      </c>
      <c r="H629" s="12">
        <v>25</v>
      </c>
      <c r="I629" s="12">
        <v>60</v>
      </c>
      <c r="J629" s="12">
        <v>33862</v>
      </c>
      <c r="K629" s="12">
        <v>45309.33</v>
      </c>
      <c r="L629" s="12">
        <v>846550</v>
      </c>
      <c r="M629" s="12">
        <v>3</v>
      </c>
      <c r="N629" s="12">
        <v>9</v>
      </c>
      <c r="O629" s="12">
        <v>4.0999999999999996</v>
      </c>
      <c r="P629" s="14">
        <v>46197</v>
      </c>
      <c r="Q629" s="12" t="s">
        <v>1782</v>
      </c>
    </row>
    <row r="630" spans="1:17" x14ac:dyDescent="0.3">
      <c r="A630" s="12" t="s">
        <v>824</v>
      </c>
      <c r="B630" s="12" t="s">
        <v>825</v>
      </c>
      <c r="C630" s="12" t="s">
        <v>71</v>
      </c>
      <c r="D630" s="12" t="s">
        <v>1778</v>
      </c>
      <c r="E630" s="12" t="s">
        <v>1777</v>
      </c>
      <c r="F630" s="12">
        <v>266</v>
      </c>
      <c r="G630" s="12">
        <v>119</v>
      </c>
      <c r="H630" s="12">
        <v>147</v>
      </c>
      <c r="I630" s="12">
        <v>55</v>
      </c>
      <c r="J630" s="12">
        <v>59742</v>
      </c>
      <c r="K630" s="12">
        <v>81770.92</v>
      </c>
      <c r="L630" s="12">
        <v>8782074</v>
      </c>
      <c r="M630" s="12">
        <v>2</v>
      </c>
      <c r="N630" s="12">
        <v>4</v>
      </c>
      <c r="O630" s="12">
        <v>4.5</v>
      </c>
      <c r="P630" s="14">
        <v>46030</v>
      </c>
      <c r="Q630" s="12" t="s">
        <v>1775</v>
      </c>
    </row>
    <row r="631" spans="1:17" x14ac:dyDescent="0.3">
      <c r="A631" s="12" t="s">
        <v>152</v>
      </c>
      <c r="B631" s="12" t="s">
        <v>153</v>
      </c>
      <c r="C631" s="12" t="s">
        <v>54</v>
      </c>
      <c r="D631" s="12" t="s">
        <v>1780</v>
      </c>
      <c r="E631" s="12" t="s">
        <v>1774</v>
      </c>
      <c r="F631" s="12">
        <v>354</v>
      </c>
      <c r="G631" s="12">
        <v>277</v>
      </c>
      <c r="H631" s="12">
        <v>77</v>
      </c>
      <c r="I631" s="12">
        <v>37</v>
      </c>
      <c r="J631" s="12">
        <v>37845</v>
      </c>
      <c r="K631" s="12">
        <v>42163.76</v>
      </c>
      <c r="L631" s="12">
        <v>2914065</v>
      </c>
      <c r="M631" s="12">
        <v>3</v>
      </c>
      <c r="N631" s="12">
        <v>10</v>
      </c>
      <c r="O631" s="12">
        <v>3.7</v>
      </c>
      <c r="P631" s="14">
        <v>46083</v>
      </c>
      <c r="Q631" s="12" t="s">
        <v>1775</v>
      </c>
    </row>
    <row r="632" spans="1:17" x14ac:dyDescent="0.3">
      <c r="A632" s="12" t="s">
        <v>245</v>
      </c>
      <c r="B632" s="12" t="s">
        <v>246</v>
      </c>
      <c r="C632" s="12" t="s">
        <v>54</v>
      </c>
      <c r="D632" s="12" t="s">
        <v>1773</v>
      </c>
      <c r="E632" s="12" t="s">
        <v>1781</v>
      </c>
      <c r="F632" s="12">
        <v>255</v>
      </c>
      <c r="G632" s="12">
        <v>93</v>
      </c>
      <c r="H632" s="12">
        <v>162</v>
      </c>
      <c r="I632" s="12">
        <v>55</v>
      </c>
      <c r="J632" s="12">
        <v>22980</v>
      </c>
      <c r="K632" s="12">
        <v>31002.14</v>
      </c>
      <c r="L632" s="12">
        <v>3722760</v>
      </c>
      <c r="M632" s="12">
        <v>3</v>
      </c>
      <c r="N632" s="12">
        <v>2</v>
      </c>
      <c r="O632" s="12">
        <v>4.3</v>
      </c>
      <c r="P632" s="14">
        <v>46151</v>
      </c>
      <c r="Q632" s="12" t="s">
        <v>1775</v>
      </c>
    </row>
    <row r="633" spans="1:17" x14ac:dyDescent="0.3">
      <c r="A633" s="12" t="s">
        <v>224</v>
      </c>
      <c r="B633" s="12" t="s">
        <v>225</v>
      </c>
      <c r="C633" s="12" t="s">
        <v>102</v>
      </c>
      <c r="D633" s="12" t="s">
        <v>1776</v>
      </c>
      <c r="E633" s="12" t="s">
        <v>1781</v>
      </c>
      <c r="F633" s="12">
        <v>331</v>
      </c>
      <c r="G633" s="12">
        <v>176</v>
      </c>
      <c r="H633" s="12">
        <v>155</v>
      </c>
      <c r="I633" s="12">
        <v>62</v>
      </c>
      <c r="J633" s="12">
        <v>57399</v>
      </c>
      <c r="K633" s="12">
        <v>77553.52</v>
      </c>
      <c r="L633" s="12">
        <v>8896845</v>
      </c>
      <c r="M633" s="12">
        <v>4</v>
      </c>
      <c r="N633" s="12">
        <v>14</v>
      </c>
      <c r="O633" s="12">
        <v>4.8</v>
      </c>
      <c r="P633" s="14">
        <v>46190</v>
      </c>
      <c r="Q633" s="12" t="s">
        <v>1775</v>
      </c>
    </row>
    <row r="634" spans="1:17" x14ac:dyDescent="0.3">
      <c r="A634" s="12" t="s">
        <v>299</v>
      </c>
      <c r="B634" s="12" t="s">
        <v>300</v>
      </c>
      <c r="C634" s="12" t="s">
        <v>71</v>
      </c>
      <c r="D634" s="12" t="s">
        <v>1780</v>
      </c>
      <c r="E634" s="12" t="s">
        <v>1779</v>
      </c>
      <c r="F634" s="12">
        <v>353</v>
      </c>
      <c r="G634" s="12">
        <v>122</v>
      </c>
      <c r="H634" s="12">
        <v>231</v>
      </c>
      <c r="I634" s="12">
        <v>67</v>
      </c>
      <c r="J634" s="12">
        <v>17397</v>
      </c>
      <c r="K634" s="12">
        <v>19396.34</v>
      </c>
      <c r="L634" s="12">
        <v>4018707</v>
      </c>
      <c r="M634" s="12">
        <v>5</v>
      </c>
      <c r="N634" s="12">
        <v>3</v>
      </c>
      <c r="O634" s="12">
        <v>4.5999999999999996</v>
      </c>
      <c r="P634" s="14">
        <v>46026</v>
      </c>
      <c r="Q634" s="12" t="s">
        <v>1775</v>
      </c>
    </row>
    <row r="635" spans="1:17" x14ac:dyDescent="0.3">
      <c r="A635" s="12" t="s">
        <v>295</v>
      </c>
      <c r="B635" s="12" t="s">
        <v>296</v>
      </c>
      <c r="C635" s="12" t="s">
        <v>30</v>
      </c>
      <c r="D635" s="12" t="s">
        <v>1780</v>
      </c>
      <c r="E635" s="12" t="s">
        <v>1781</v>
      </c>
      <c r="F635" s="12">
        <v>278</v>
      </c>
      <c r="G635" s="12">
        <v>123</v>
      </c>
      <c r="H635" s="12">
        <v>155</v>
      </c>
      <c r="I635" s="12">
        <v>71</v>
      </c>
      <c r="J635" s="12">
        <v>41799</v>
      </c>
      <c r="K635" s="12">
        <v>46420.82</v>
      </c>
      <c r="L635" s="12">
        <v>6478845</v>
      </c>
      <c r="M635" s="12">
        <v>1</v>
      </c>
      <c r="N635" s="12">
        <v>15</v>
      </c>
      <c r="O635" s="12">
        <v>5</v>
      </c>
      <c r="P635" s="14">
        <v>46072</v>
      </c>
      <c r="Q635" s="12" t="s">
        <v>1775</v>
      </c>
    </row>
    <row r="636" spans="1:17" x14ac:dyDescent="0.3">
      <c r="A636" s="12" t="s">
        <v>546</v>
      </c>
      <c r="B636" s="12" t="s">
        <v>547</v>
      </c>
      <c r="C636" s="12" t="s">
        <v>71</v>
      </c>
      <c r="D636" s="12" t="s">
        <v>1778</v>
      </c>
      <c r="E636" s="12" t="s">
        <v>1781</v>
      </c>
      <c r="F636" s="12">
        <v>309</v>
      </c>
      <c r="G636" s="12">
        <v>24</v>
      </c>
      <c r="H636" s="12">
        <v>285</v>
      </c>
      <c r="I636" s="12">
        <v>40</v>
      </c>
      <c r="J636" s="12">
        <v>34443</v>
      </c>
      <c r="K636" s="12">
        <v>45310.92</v>
      </c>
      <c r="L636" s="12">
        <v>9816255</v>
      </c>
      <c r="M636" s="12">
        <v>1</v>
      </c>
      <c r="N636" s="12">
        <v>15</v>
      </c>
      <c r="O636" s="12">
        <v>4.8</v>
      </c>
      <c r="P636" s="14">
        <v>46191</v>
      </c>
      <c r="Q636" s="12" t="s">
        <v>1775</v>
      </c>
    </row>
    <row r="637" spans="1:17" x14ac:dyDescent="0.3">
      <c r="A637" s="12" t="s">
        <v>384</v>
      </c>
      <c r="B637" s="12" t="s">
        <v>385</v>
      </c>
      <c r="C637" s="12" t="s">
        <v>102</v>
      </c>
      <c r="D637" s="12" t="s">
        <v>1776</v>
      </c>
      <c r="E637" s="12" t="s">
        <v>1774</v>
      </c>
      <c r="F637" s="12">
        <v>358</v>
      </c>
      <c r="G637" s="12">
        <v>7</v>
      </c>
      <c r="H637" s="12">
        <v>351</v>
      </c>
      <c r="I637" s="12">
        <v>66</v>
      </c>
      <c r="J637" s="12">
        <v>41753</v>
      </c>
      <c r="K637" s="12">
        <v>55620.75</v>
      </c>
      <c r="L637" s="12">
        <v>14655303</v>
      </c>
      <c r="M637" s="12">
        <v>2</v>
      </c>
      <c r="N637" s="12">
        <v>2</v>
      </c>
      <c r="O637" s="12">
        <v>4.5999999999999996</v>
      </c>
      <c r="P637" s="14">
        <v>46069</v>
      </c>
      <c r="Q637" s="12" t="s">
        <v>1775</v>
      </c>
    </row>
    <row r="638" spans="1:17" x14ac:dyDescent="0.3">
      <c r="A638" s="12" t="s">
        <v>253</v>
      </c>
      <c r="B638" s="12" t="s">
        <v>254</v>
      </c>
      <c r="C638" s="12" t="s">
        <v>54</v>
      </c>
      <c r="D638" s="12" t="s">
        <v>1778</v>
      </c>
      <c r="E638" s="12" t="s">
        <v>1781</v>
      </c>
      <c r="F638" s="12">
        <v>388</v>
      </c>
      <c r="G638" s="12">
        <v>169</v>
      </c>
      <c r="H638" s="12">
        <v>219</v>
      </c>
      <c r="I638" s="12">
        <v>34</v>
      </c>
      <c r="J638" s="12">
        <v>57267</v>
      </c>
      <c r="K638" s="12">
        <v>66583.66</v>
      </c>
      <c r="L638" s="12">
        <v>12541473</v>
      </c>
      <c r="M638" s="12">
        <v>1</v>
      </c>
      <c r="N638" s="12">
        <v>11</v>
      </c>
      <c r="O638" s="12">
        <v>4.8</v>
      </c>
      <c r="P638" s="14">
        <v>46181</v>
      </c>
      <c r="Q638" s="12" t="s">
        <v>1775</v>
      </c>
    </row>
    <row r="639" spans="1:17" x14ac:dyDescent="0.3">
      <c r="A639" s="12" t="s">
        <v>180</v>
      </c>
      <c r="B639" s="12" t="s">
        <v>181</v>
      </c>
      <c r="C639" s="12" t="s">
        <v>54</v>
      </c>
      <c r="D639" s="12" t="s">
        <v>1778</v>
      </c>
      <c r="E639" s="12" t="s">
        <v>1777</v>
      </c>
      <c r="F639" s="12">
        <v>349</v>
      </c>
      <c r="G639" s="12">
        <v>55</v>
      </c>
      <c r="H639" s="12">
        <v>294</v>
      </c>
      <c r="I639" s="12">
        <v>63</v>
      </c>
      <c r="J639" s="12">
        <v>50757</v>
      </c>
      <c r="K639" s="12">
        <v>61998.12</v>
      </c>
      <c r="L639" s="12">
        <v>14922558</v>
      </c>
      <c r="M639" s="12">
        <v>5</v>
      </c>
      <c r="N639" s="12">
        <v>9</v>
      </c>
      <c r="O639" s="12">
        <v>3.8</v>
      </c>
      <c r="P639" s="14">
        <v>46168</v>
      </c>
      <c r="Q639" s="12" t="s">
        <v>1775</v>
      </c>
    </row>
    <row r="640" spans="1:17" x14ac:dyDescent="0.3">
      <c r="A640" s="12" t="s">
        <v>224</v>
      </c>
      <c r="B640" s="12" t="s">
        <v>225</v>
      </c>
      <c r="C640" s="12" t="s">
        <v>102</v>
      </c>
      <c r="D640" s="12" t="s">
        <v>1776</v>
      </c>
      <c r="E640" s="12" t="s">
        <v>1779</v>
      </c>
      <c r="F640" s="12">
        <v>145</v>
      </c>
      <c r="G640" s="12">
        <v>52</v>
      </c>
      <c r="H640" s="12">
        <v>93</v>
      </c>
      <c r="I640" s="12">
        <v>46</v>
      </c>
      <c r="J640" s="12">
        <v>44820</v>
      </c>
      <c r="K640" s="12">
        <v>49402.92</v>
      </c>
      <c r="L640" s="12">
        <v>4168260</v>
      </c>
      <c r="M640" s="12">
        <v>0</v>
      </c>
      <c r="N640" s="12">
        <v>4</v>
      </c>
      <c r="O640" s="12">
        <v>5</v>
      </c>
      <c r="P640" s="14">
        <v>46202</v>
      </c>
      <c r="Q640" s="12" t="s">
        <v>1775</v>
      </c>
    </row>
    <row r="641" spans="1:17" x14ac:dyDescent="0.3">
      <c r="A641" s="12" t="s">
        <v>90</v>
      </c>
      <c r="B641" s="12" t="s">
        <v>91</v>
      </c>
      <c r="C641" s="12" t="s">
        <v>71</v>
      </c>
      <c r="D641" s="12" t="s">
        <v>1778</v>
      </c>
      <c r="E641" s="12" t="s">
        <v>1779</v>
      </c>
      <c r="F641" s="12">
        <v>64</v>
      </c>
      <c r="G641" s="12">
        <v>0</v>
      </c>
      <c r="H641" s="12">
        <v>64</v>
      </c>
      <c r="I641" s="12">
        <v>31</v>
      </c>
      <c r="J641" s="12">
        <v>14709</v>
      </c>
      <c r="K641" s="12">
        <v>17950.560000000001</v>
      </c>
      <c r="L641" s="12">
        <v>941376</v>
      </c>
      <c r="M641" s="12">
        <v>2</v>
      </c>
      <c r="N641" s="12">
        <v>3</v>
      </c>
      <c r="O641" s="12">
        <v>3.8</v>
      </c>
      <c r="P641" s="14">
        <v>46079</v>
      </c>
      <c r="Q641" s="12" t="s">
        <v>1775</v>
      </c>
    </row>
    <row r="642" spans="1:17" x14ac:dyDescent="0.3">
      <c r="A642" s="12" t="s">
        <v>217</v>
      </c>
      <c r="B642" s="12" t="s">
        <v>218</v>
      </c>
      <c r="C642" s="12" t="s">
        <v>54</v>
      </c>
      <c r="D642" s="12" t="s">
        <v>1780</v>
      </c>
      <c r="E642" s="12" t="s">
        <v>1774</v>
      </c>
      <c r="F642" s="12">
        <v>153</v>
      </c>
      <c r="G642" s="12">
        <v>103</v>
      </c>
      <c r="H642" s="12">
        <v>50</v>
      </c>
      <c r="I642" s="12">
        <v>20</v>
      </c>
      <c r="J642" s="12">
        <v>41555</v>
      </c>
      <c r="K642" s="12">
        <v>54210.26</v>
      </c>
      <c r="L642" s="12">
        <v>2077750</v>
      </c>
      <c r="M642" s="12">
        <v>1</v>
      </c>
      <c r="N642" s="12">
        <v>15</v>
      </c>
      <c r="O642" s="12">
        <v>4.3</v>
      </c>
      <c r="P642" s="14">
        <v>46055</v>
      </c>
      <c r="Q642" s="12" t="s">
        <v>1775</v>
      </c>
    </row>
    <row r="643" spans="1:17" x14ac:dyDescent="0.3">
      <c r="A643" s="12" t="s">
        <v>367</v>
      </c>
      <c r="B643" s="12" t="s">
        <v>368</v>
      </c>
      <c r="C643" s="12" t="s">
        <v>71</v>
      </c>
      <c r="D643" s="12" t="s">
        <v>1778</v>
      </c>
      <c r="E643" s="12" t="s">
        <v>1774</v>
      </c>
      <c r="F643" s="12">
        <v>313</v>
      </c>
      <c r="G643" s="12">
        <v>89</v>
      </c>
      <c r="H643" s="12">
        <v>224</v>
      </c>
      <c r="I643" s="12">
        <v>65</v>
      </c>
      <c r="J643" s="12">
        <v>14761</v>
      </c>
      <c r="K643" s="12">
        <v>19010.63</v>
      </c>
      <c r="L643" s="12">
        <v>3306464</v>
      </c>
      <c r="M643" s="12">
        <v>4</v>
      </c>
      <c r="N643" s="12">
        <v>15</v>
      </c>
      <c r="O643" s="12">
        <v>4.3</v>
      </c>
      <c r="P643" s="14">
        <v>46038</v>
      </c>
      <c r="Q643" s="12" t="s">
        <v>1775</v>
      </c>
    </row>
    <row r="644" spans="1:17" x14ac:dyDescent="0.3">
      <c r="A644" s="12" t="s">
        <v>461</v>
      </c>
      <c r="B644" s="12" t="s">
        <v>462</v>
      </c>
      <c r="C644" s="12" t="s">
        <v>71</v>
      </c>
      <c r="D644" s="12" t="s">
        <v>1776</v>
      </c>
      <c r="E644" s="12" t="s">
        <v>1781</v>
      </c>
      <c r="F644" s="12">
        <v>210</v>
      </c>
      <c r="G644" s="12">
        <v>5</v>
      </c>
      <c r="H644" s="12">
        <v>205</v>
      </c>
      <c r="I644" s="12">
        <v>62</v>
      </c>
      <c r="J644" s="12">
        <v>57898</v>
      </c>
      <c r="K644" s="12">
        <v>78971.8</v>
      </c>
      <c r="L644" s="12">
        <v>11869090</v>
      </c>
      <c r="M644" s="12">
        <v>3</v>
      </c>
      <c r="N644" s="12">
        <v>7</v>
      </c>
      <c r="O644" s="12">
        <v>3.6</v>
      </c>
      <c r="P644" s="14">
        <v>46180</v>
      </c>
      <c r="Q644" s="12" t="s">
        <v>1775</v>
      </c>
    </row>
    <row r="645" spans="1:17" x14ac:dyDescent="0.3">
      <c r="A645" s="12" t="s">
        <v>193</v>
      </c>
      <c r="B645" s="12" t="s">
        <v>194</v>
      </c>
      <c r="C645" s="12" t="s">
        <v>71</v>
      </c>
      <c r="D645" s="12" t="s">
        <v>1776</v>
      </c>
      <c r="E645" s="12" t="s">
        <v>1774</v>
      </c>
      <c r="F645" s="12">
        <v>71</v>
      </c>
      <c r="G645" s="12">
        <v>13</v>
      </c>
      <c r="H645" s="12">
        <v>58</v>
      </c>
      <c r="I645" s="12">
        <v>53</v>
      </c>
      <c r="J645" s="12">
        <v>16962</v>
      </c>
      <c r="K645" s="12">
        <v>18884.12</v>
      </c>
      <c r="L645" s="12">
        <v>983796</v>
      </c>
      <c r="M645" s="12">
        <v>0</v>
      </c>
      <c r="N645" s="12">
        <v>9</v>
      </c>
      <c r="O645" s="12">
        <v>4.5</v>
      </c>
      <c r="P645" s="14">
        <v>46134</v>
      </c>
      <c r="Q645" s="12" t="s">
        <v>1775</v>
      </c>
    </row>
    <row r="646" spans="1:17" x14ac:dyDescent="0.3">
      <c r="A646" s="12" t="s">
        <v>52</v>
      </c>
      <c r="B646" s="12" t="s">
        <v>53</v>
      </c>
      <c r="C646" s="12" t="s">
        <v>54</v>
      </c>
      <c r="D646" s="12" t="s">
        <v>1778</v>
      </c>
      <c r="E646" s="12" t="s">
        <v>1777</v>
      </c>
      <c r="F646" s="12">
        <v>339</v>
      </c>
      <c r="G646" s="12">
        <v>229</v>
      </c>
      <c r="H646" s="12">
        <v>110</v>
      </c>
      <c r="I646" s="12">
        <v>53</v>
      </c>
      <c r="J646" s="12">
        <v>5654</v>
      </c>
      <c r="K646" s="12">
        <v>6520.64</v>
      </c>
      <c r="L646" s="12">
        <v>621940</v>
      </c>
      <c r="M646" s="12">
        <v>1</v>
      </c>
      <c r="N646" s="12">
        <v>10</v>
      </c>
      <c r="O646" s="12">
        <v>4</v>
      </c>
      <c r="P646" s="14">
        <v>46157</v>
      </c>
      <c r="Q646" s="12" t="s">
        <v>1775</v>
      </c>
    </row>
    <row r="647" spans="1:17" x14ac:dyDescent="0.3">
      <c r="A647" s="12" t="s">
        <v>396</v>
      </c>
      <c r="B647" s="12" t="s">
        <v>397</v>
      </c>
      <c r="C647" s="12" t="s">
        <v>54</v>
      </c>
      <c r="D647" s="12" t="s">
        <v>1773</v>
      </c>
      <c r="E647" s="12" t="s">
        <v>1779</v>
      </c>
      <c r="F647" s="12">
        <v>217</v>
      </c>
      <c r="G647" s="12">
        <v>138</v>
      </c>
      <c r="H647" s="12">
        <v>79</v>
      </c>
      <c r="I647" s="12">
        <v>24</v>
      </c>
      <c r="J647" s="12">
        <v>41830</v>
      </c>
      <c r="K647" s="12">
        <v>54704.68</v>
      </c>
      <c r="L647" s="12">
        <v>3304570</v>
      </c>
      <c r="M647" s="12">
        <v>3</v>
      </c>
      <c r="N647" s="12">
        <v>9</v>
      </c>
      <c r="O647" s="12">
        <v>4</v>
      </c>
      <c r="P647" s="14">
        <v>46123</v>
      </c>
      <c r="Q647" s="12" t="s">
        <v>1775</v>
      </c>
    </row>
    <row r="648" spans="1:17" x14ac:dyDescent="0.3">
      <c r="A648" s="12" t="s">
        <v>238</v>
      </c>
      <c r="B648" s="12" t="s">
        <v>239</v>
      </c>
      <c r="C648" s="12" t="s">
        <v>71</v>
      </c>
      <c r="D648" s="12" t="s">
        <v>1773</v>
      </c>
      <c r="E648" s="12" t="s">
        <v>1774</v>
      </c>
      <c r="F648" s="12">
        <v>118</v>
      </c>
      <c r="G648" s="12">
        <v>33</v>
      </c>
      <c r="H648" s="12">
        <v>85</v>
      </c>
      <c r="I648" s="12">
        <v>68</v>
      </c>
      <c r="J648" s="12">
        <v>56460</v>
      </c>
      <c r="K648" s="12">
        <v>77108.160000000003</v>
      </c>
      <c r="L648" s="12">
        <v>4799100</v>
      </c>
      <c r="M648" s="12">
        <v>4</v>
      </c>
      <c r="N648" s="12">
        <v>10</v>
      </c>
      <c r="O648" s="12">
        <v>4.7</v>
      </c>
      <c r="P648" s="14">
        <v>46114</v>
      </c>
      <c r="Q648" s="12" t="s">
        <v>1775</v>
      </c>
    </row>
    <row r="649" spans="1:17" x14ac:dyDescent="0.3">
      <c r="A649" s="12" t="s">
        <v>759</v>
      </c>
      <c r="B649" s="12" t="s">
        <v>760</v>
      </c>
      <c r="C649" s="12" t="s">
        <v>71</v>
      </c>
      <c r="D649" s="12" t="s">
        <v>1780</v>
      </c>
      <c r="E649" s="12" t="s">
        <v>1781</v>
      </c>
      <c r="F649" s="12">
        <v>134</v>
      </c>
      <c r="G649" s="12">
        <v>91</v>
      </c>
      <c r="H649" s="12">
        <v>43</v>
      </c>
      <c r="I649" s="12">
        <v>24</v>
      </c>
      <c r="J649" s="12">
        <v>16327</v>
      </c>
      <c r="K649" s="12">
        <v>21823.84</v>
      </c>
      <c r="L649" s="12">
        <v>702061</v>
      </c>
      <c r="M649" s="12">
        <v>1</v>
      </c>
      <c r="N649" s="12">
        <v>2</v>
      </c>
      <c r="O649" s="12">
        <v>5</v>
      </c>
      <c r="P649" s="14">
        <v>46149</v>
      </c>
      <c r="Q649" s="12" t="s">
        <v>1775</v>
      </c>
    </row>
    <row r="650" spans="1:17" x14ac:dyDescent="0.3">
      <c r="A650" s="12" t="s">
        <v>113</v>
      </c>
      <c r="B650" s="12" t="s">
        <v>114</v>
      </c>
      <c r="C650" s="12" t="s">
        <v>102</v>
      </c>
      <c r="D650" s="12" t="s">
        <v>1780</v>
      </c>
      <c r="E650" s="12" t="s">
        <v>1779</v>
      </c>
      <c r="F650" s="12">
        <v>491</v>
      </c>
      <c r="G650" s="12">
        <v>377</v>
      </c>
      <c r="H650" s="12">
        <v>114</v>
      </c>
      <c r="I650" s="12">
        <v>21</v>
      </c>
      <c r="J650" s="12">
        <v>1410</v>
      </c>
      <c r="K650" s="12">
        <v>1791.44</v>
      </c>
      <c r="L650" s="12">
        <v>160740</v>
      </c>
      <c r="M650" s="12">
        <v>1</v>
      </c>
      <c r="N650" s="12">
        <v>7</v>
      </c>
      <c r="O650" s="12">
        <v>4</v>
      </c>
      <c r="P650" s="14">
        <v>46106</v>
      </c>
      <c r="Q650" s="12" t="s">
        <v>1775</v>
      </c>
    </row>
    <row r="651" spans="1:17" x14ac:dyDescent="0.3">
      <c r="A651" s="12" t="s">
        <v>411</v>
      </c>
      <c r="B651" s="12" t="s">
        <v>412</v>
      </c>
      <c r="C651" s="12" t="s">
        <v>54</v>
      </c>
      <c r="D651" s="12" t="s">
        <v>1776</v>
      </c>
      <c r="E651" s="12" t="s">
        <v>1774</v>
      </c>
      <c r="F651" s="12">
        <v>106</v>
      </c>
      <c r="G651" s="12">
        <v>4</v>
      </c>
      <c r="H651" s="12">
        <v>102</v>
      </c>
      <c r="I651" s="12">
        <v>53</v>
      </c>
      <c r="J651" s="12">
        <v>10871</v>
      </c>
      <c r="K651" s="12">
        <v>12439.15</v>
      </c>
      <c r="L651" s="12">
        <v>1108842</v>
      </c>
      <c r="M651" s="12">
        <v>2</v>
      </c>
      <c r="N651" s="12">
        <v>5</v>
      </c>
      <c r="O651" s="12">
        <v>4.9000000000000004</v>
      </c>
      <c r="P651" s="14">
        <v>46150</v>
      </c>
      <c r="Q651" s="12" t="s">
        <v>1775</v>
      </c>
    </row>
    <row r="652" spans="1:17" x14ac:dyDescent="0.3">
      <c r="A652" s="12" t="s">
        <v>415</v>
      </c>
      <c r="B652" s="12" t="s">
        <v>416</v>
      </c>
      <c r="C652" s="12" t="s">
        <v>30</v>
      </c>
      <c r="D652" s="12" t="s">
        <v>1776</v>
      </c>
      <c r="E652" s="12" t="s">
        <v>1779</v>
      </c>
      <c r="F652" s="12">
        <v>363</v>
      </c>
      <c r="G652" s="12">
        <v>293</v>
      </c>
      <c r="H652" s="12">
        <v>70</v>
      </c>
      <c r="I652" s="12">
        <v>26</v>
      </c>
      <c r="J652" s="12">
        <v>47635</v>
      </c>
      <c r="K652" s="12">
        <v>61912.59</v>
      </c>
      <c r="L652" s="12">
        <v>3334450</v>
      </c>
      <c r="M652" s="12">
        <v>0</v>
      </c>
      <c r="N652" s="12">
        <v>15</v>
      </c>
      <c r="O652" s="12">
        <v>4.5</v>
      </c>
      <c r="P652" s="14">
        <v>46164</v>
      </c>
      <c r="Q652" s="12" t="s">
        <v>1775</v>
      </c>
    </row>
    <row r="653" spans="1:17" x14ac:dyDescent="0.3">
      <c r="A653" s="12" t="s">
        <v>261</v>
      </c>
      <c r="B653" s="12" t="s">
        <v>262</v>
      </c>
      <c r="C653" s="12" t="s">
        <v>102</v>
      </c>
      <c r="D653" s="12" t="s">
        <v>1780</v>
      </c>
      <c r="E653" s="12" t="s">
        <v>1781</v>
      </c>
      <c r="F653" s="12">
        <v>195</v>
      </c>
      <c r="G653" s="12">
        <v>89</v>
      </c>
      <c r="H653" s="12">
        <v>106</v>
      </c>
      <c r="I653" s="12">
        <v>59</v>
      </c>
      <c r="J653" s="12">
        <v>17105</v>
      </c>
      <c r="K653" s="12">
        <v>20044.82</v>
      </c>
      <c r="L653" s="12">
        <v>1813130</v>
      </c>
      <c r="M653" s="12">
        <v>1</v>
      </c>
      <c r="N653" s="12">
        <v>7</v>
      </c>
      <c r="O653" s="12">
        <v>4.4000000000000004</v>
      </c>
      <c r="P653" s="14">
        <v>46171</v>
      </c>
      <c r="Q653" s="12" t="s">
        <v>1775</v>
      </c>
    </row>
    <row r="654" spans="1:17" x14ac:dyDescent="0.3">
      <c r="A654" s="12" t="s">
        <v>197</v>
      </c>
      <c r="B654" s="12" t="s">
        <v>198</v>
      </c>
      <c r="C654" s="12" t="s">
        <v>30</v>
      </c>
      <c r="D654" s="12" t="s">
        <v>1780</v>
      </c>
      <c r="E654" s="12" t="s">
        <v>1779</v>
      </c>
      <c r="F654" s="12">
        <v>212</v>
      </c>
      <c r="G654" s="12">
        <v>75</v>
      </c>
      <c r="H654" s="12">
        <v>137</v>
      </c>
      <c r="I654" s="12">
        <v>79</v>
      </c>
      <c r="J654" s="12">
        <v>52015</v>
      </c>
      <c r="K654" s="12">
        <v>58913.31</v>
      </c>
      <c r="L654" s="12">
        <v>7126055</v>
      </c>
      <c r="M654" s="12">
        <v>4</v>
      </c>
      <c r="N654" s="12">
        <v>15</v>
      </c>
      <c r="O654" s="12">
        <v>3.6</v>
      </c>
      <c r="P654" s="14">
        <v>46081</v>
      </c>
      <c r="Q654" s="12" t="s">
        <v>1775</v>
      </c>
    </row>
    <row r="655" spans="1:17" x14ac:dyDescent="0.3">
      <c r="A655" s="12" t="s">
        <v>210</v>
      </c>
      <c r="B655" s="12" t="s">
        <v>211</v>
      </c>
      <c r="C655" s="12" t="s">
        <v>102</v>
      </c>
      <c r="D655" s="12" t="s">
        <v>1778</v>
      </c>
      <c r="E655" s="12" t="s">
        <v>1774</v>
      </c>
      <c r="F655" s="12">
        <v>167</v>
      </c>
      <c r="G655" s="12">
        <v>114</v>
      </c>
      <c r="H655" s="12">
        <v>53</v>
      </c>
      <c r="I655" s="12">
        <v>76</v>
      </c>
      <c r="J655" s="12">
        <v>28836</v>
      </c>
      <c r="K655" s="12">
        <v>35292.43</v>
      </c>
      <c r="L655" s="12">
        <v>1528308</v>
      </c>
      <c r="M655" s="12">
        <v>2</v>
      </c>
      <c r="N655" s="12">
        <v>4</v>
      </c>
      <c r="O655" s="12">
        <v>4.5999999999999996</v>
      </c>
      <c r="P655" s="14">
        <v>46074</v>
      </c>
      <c r="Q655" s="12" t="s">
        <v>1782</v>
      </c>
    </row>
    <row r="656" spans="1:17" x14ac:dyDescent="0.3">
      <c r="A656" s="12" t="s">
        <v>164</v>
      </c>
      <c r="B656" s="12" t="s">
        <v>165</v>
      </c>
      <c r="C656" s="12" t="s">
        <v>102</v>
      </c>
      <c r="D656" s="12" t="s">
        <v>1778</v>
      </c>
      <c r="E656" s="12" t="s">
        <v>1779</v>
      </c>
      <c r="F656" s="12">
        <v>466</v>
      </c>
      <c r="G656" s="12">
        <v>348</v>
      </c>
      <c r="H656" s="12">
        <v>118</v>
      </c>
      <c r="I656" s="12">
        <v>73</v>
      </c>
      <c r="J656" s="12">
        <v>53379</v>
      </c>
      <c r="K656" s="12">
        <v>68406.36</v>
      </c>
      <c r="L656" s="12">
        <v>6298722</v>
      </c>
      <c r="M656" s="12">
        <v>4</v>
      </c>
      <c r="N656" s="12">
        <v>9</v>
      </c>
      <c r="O656" s="12">
        <v>3.7</v>
      </c>
      <c r="P656" s="14">
        <v>46117</v>
      </c>
      <c r="Q656" s="12" t="s">
        <v>1775</v>
      </c>
    </row>
    <row r="657" spans="1:17" x14ac:dyDescent="0.3">
      <c r="A657" s="12" t="s">
        <v>541</v>
      </c>
      <c r="B657" s="12" t="s">
        <v>542</v>
      </c>
      <c r="C657" s="12" t="s">
        <v>54</v>
      </c>
      <c r="D657" s="12" t="s">
        <v>1773</v>
      </c>
      <c r="E657" s="12" t="s">
        <v>1779</v>
      </c>
      <c r="F657" s="12">
        <v>435</v>
      </c>
      <c r="G657" s="12">
        <v>419</v>
      </c>
      <c r="H657" s="12">
        <v>16</v>
      </c>
      <c r="I657" s="12">
        <v>24</v>
      </c>
      <c r="J657" s="12">
        <v>19534</v>
      </c>
      <c r="K657" s="12">
        <v>24337.43</v>
      </c>
      <c r="L657" s="12">
        <v>312544</v>
      </c>
      <c r="M657" s="12">
        <v>0</v>
      </c>
      <c r="N657" s="12">
        <v>13</v>
      </c>
      <c r="O657" s="12">
        <v>3.7</v>
      </c>
      <c r="P657" s="14">
        <v>46124</v>
      </c>
      <c r="Q657" s="12" t="s">
        <v>1782</v>
      </c>
    </row>
    <row r="658" spans="1:17" x14ac:dyDescent="0.3">
      <c r="A658" s="12" t="s">
        <v>557</v>
      </c>
      <c r="B658" s="12" t="s">
        <v>558</v>
      </c>
      <c r="C658" s="12" t="s">
        <v>54</v>
      </c>
      <c r="D658" s="12" t="s">
        <v>1780</v>
      </c>
      <c r="E658" s="12" t="s">
        <v>1781</v>
      </c>
      <c r="F658" s="12">
        <v>100</v>
      </c>
      <c r="G658" s="12">
        <v>94</v>
      </c>
      <c r="H658" s="12">
        <v>6</v>
      </c>
      <c r="I658" s="12">
        <v>50</v>
      </c>
      <c r="J658" s="12">
        <v>14490</v>
      </c>
      <c r="K658" s="12">
        <v>16574.8</v>
      </c>
      <c r="L658" s="12">
        <v>86940</v>
      </c>
      <c r="M658" s="12">
        <v>2</v>
      </c>
      <c r="N658" s="12">
        <v>4</v>
      </c>
      <c r="O658" s="12">
        <v>4.5999999999999996</v>
      </c>
      <c r="P658" s="14">
        <v>46054</v>
      </c>
      <c r="Q658" s="12" t="s">
        <v>1782</v>
      </c>
    </row>
    <row r="659" spans="1:17" x14ac:dyDescent="0.3">
      <c r="A659" s="12" t="s">
        <v>152</v>
      </c>
      <c r="B659" s="12" t="s">
        <v>153</v>
      </c>
      <c r="C659" s="12" t="s">
        <v>54</v>
      </c>
      <c r="D659" s="12" t="s">
        <v>1780</v>
      </c>
      <c r="E659" s="12" t="s">
        <v>1779</v>
      </c>
      <c r="F659" s="12">
        <v>153</v>
      </c>
      <c r="G659" s="12">
        <v>116</v>
      </c>
      <c r="H659" s="12">
        <v>37</v>
      </c>
      <c r="I659" s="12">
        <v>60</v>
      </c>
      <c r="J659" s="12">
        <v>37759</v>
      </c>
      <c r="K659" s="12">
        <v>44248.99</v>
      </c>
      <c r="L659" s="12">
        <v>1397083</v>
      </c>
      <c r="M659" s="12">
        <v>0</v>
      </c>
      <c r="N659" s="12">
        <v>3</v>
      </c>
      <c r="O659" s="12">
        <v>4.0999999999999996</v>
      </c>
      <c r="P659" s="14">
        <v>46190</v>
      </c>
      <c r="Q659" s="12" t="s">
        <v>1782</v>
      </c>
    </row>
    <row r="660" spans="1:17" x14ac:dyDescent="0.3">
      <c r="A660" s="12" t="s">
        <v>367</v>
      </c>
      <c r="B660" s="12" t="s">
        <v>368</v>
      </c>
      <c r="C660" s="12" t="s">
        <v>71</v>
      </c>
      <c r="D660" s="12" t="s">
        <v>1773</v>
      </c>
      <c r="E660" s="12" t="s">
        <v>1774</v>
      </c>
      <c r="F660" s="12">
        <v>435</v>
      </c>
      <c r="G660" s="12">
        <v>335</v>
      </c>
      <c r="H660" s="12">
        <v>100</v>
      </c>
      <c r="I660" s="12">
        <v>47</v>
      </c>
      <c r="J660" s="12">
        <v>37163</v>
      </c>
      <c r="K660" s="12">
        <v>45088.87</v>
      </c>
      <c r="L660" s="12">
        <v>3716300</v>
      </c>
      <c r="M660" s="12">
        <v>4</v>
      </c>
      <c r="N660" s="12">
        <v>10</v>
      </c>
      <c r="O660" s="12">
        <v>4.2</v>
      </c>
      <c r="P660" s="14">
        <v>46162</v>
      </c>
      <c r="Q660" s="12" t="s">
        <v>1775</v>
      </c>
    </row>
    <row r="661" spans="1:17" x14ac:dyDescent="0.3">
      <c r="A661" s="12" t="s">
        <v>203</v>
      </c>
      <c r="B661" s="12" t="s">
        <v>204</v>
      </c>
      <c r="C661" s="12" t="s">
        <v>71</v>
      </c>
      <c r="D661" s="12" t="s">
        <v>1780</v>
      </c>
      <c r="E661" s="12" t="s">
        <v>1779</v>
      </c>
      <c r="F661" s="12">
        <v>226</v>
      </c>
      <c r="G661" s="12">
        <v>125</v>
      </c>
      <c r="H661" s="12">
        <v>101</v>
      </c>
      <c r="I661" s="12">
        <v>79</v>
      </c>
      <c r="J661" s="12">
        <v>26584</v>
      </c>
      <c r="K661" s="12">
        <v>32023.919999999998</v>
      </c>
      <c r="L661" s="12">
        <v>2684984</v>
      </c>
      <c r="M661" s="12">
        <v>2</v>
      </c>
      <c r="N661" s="12">
        <v>6</v>
      </c>
      <c r="O661" s="12">
        <v>4.4000000000000004</v>
      </c>
      <c r="P661" s="14">
        <v>46177</v>
      </c>
      <c r="Q661" s="12" t="s">
        <v>1775</v>
      </c>
    </row>
    <row r="662" spans="1:17" x14ac:dyDescent="0.3">
      <c r="A662" s="12" t="s">
        <v>122</v>
      </c>
      <c r="B662" s="12" t="s">
        <v>123</v>
      </c>
      <c r="C662" s="12" t="s">
        <v>30</v>
      </c>
      <c r="D662" s="12" t="s">
        <v>1773</v>
      </c>
      <c r="E662" s="12" t="s">
        <v>1779</v>
      </c>
      <c r="F662" s="12">
        <v>262</v>
      </c>
      <c r="G662" s="12">
        <v>196</v>
      </c>
      <c r="H662" s="12">
        <v>66</v>
      </c>
      <c r="I662" s="12">
        <v>44</v>
      </c>
      <c r="J662" s="12">
        <v>3968</v>
      </c>
      <c r="K662" s="12">
        <v>4388.04</v>
      </c>
      <c r="L662" s="12">
        <v>261888</v>
      </c>
      <c r="M662" s="12">
        <v>1</v>
      </c>
      <c r="N662" s="12">
        <v>12</v>
      </c>
      <c r="O662" s="12">
        <v>4.7</v>
      </c>
      <c r="P662" s="14">
        <v>46102</v>
      </c>
      <c r="Q662" s="12" t="s">
        <v>1775</v>
      </c>
    </row>
    <row r="663" spans="1:17" x14ac:dyDescent="0.3">
      <c r="A663" s="12" t="s">
        <v>415</v>
      </c>
      <c r="B663" s="12" t="s">
        <v>416</v>
      </c>
      <c r="C663" s="12" t="s">
        <v>30</v>
      </c>
      <c r="D663" s="12" t="s">
        <v>1773</v>
      </c>
      <c r="E663" s="12" t="s">
        <v>1777</v>
      </c>
      <c r="F663" s="12">
        <v>422</v>
      </c>
      <c r="G663" s="12">
        <v>412</v>
      </c>
      <c r="H663" s="12">
        <v>10</v>
      </c>
      <c r="I663" s="12">
        <v>48</v>
      </c>
      <c r="J663" s="12">
        <v>45560</v>
      </c>
      <c r="K663" s="12">
        <v>55840.76</v>
      </c>
      <c r="L663" s="12">
        <v>455600</v>
      </c>
      <c r="M663" s="12">
        <v>2</v>
      </c>
      <c r="N663" s="12">
        <v>6</v>
      </c>
      <c r="O663" s="12">
        <v>4.0999999999999996</v>
      </c>
      <c r="P663" s="14">
        <v>46048</v>
      </c>
      <c r="Q663" s="12" t="s">
        <v>1782</v>
      </c>
    </row>
    <row r="664" spans="1:17" x14ac:dyDescent="0.3">
      <c r="A664" s="12" t="s">
        <v>735</v>
      </c>
      <c r="B664" s="12" t="s">
        <v>736</v>
      </c>
      <c r="C664" s="12" t="s">
        <v>54</v>
      </c>
      <c r="D664" s="12" t="s">
        <v>1780</v>
      </c>
      <c r="E664" s="12" t="s">
        <v>1781</v>
      </c>
      <c r="F664" s="12">
        <v>446</v>
      </c>
      <c r="G664" s="12">
        <v>195</v>
      </c>
      <c r="H664" s="12">
        <v>251</v>
      </c>
      <c r="I664" s="12">
        <v>79</v>
      </c>
      <c r="J664" s="12">
        <v>34349</v>
      </c>
      <c r="K664" s="12">
        <v>45958.03</v>
      </c>
      <c r="L664" s="12">
        <v>8621599</v>
      </c>
      <c r="M664" s="12">
        <v>5</v>
      </c>
      <c r="N664" s="12">
        <v>9</v>
      </c>
      <c r="O664" s="12">
        <v>4.5999999999999996</v>
      </c>
      <c r="P664" s="14">
        <v>46164</v>
      </c>
      <c r="Q664" s="12" t="s">
        <v>1775</v>
      </c>
    </row>
    <row r="665" spans="1:17" x14ac:dyDescent="0.3">
      <c r="A665" s="12" t="s">
        <v>160</v>
      </c>
      <c r="B665" s="12" t="s">
        <v>161</v>
      </c>
      <c r="C665" s="12" t="s">
        <v>102</v>
      </c>
      <c r="D665" s="12" t="s">
        <v>1773</v>
      </c>
      <c r="E665" s="12" t="s">
        <v>1781</v>
      </c>
      <c r="F665" s="12">
        <v>238</v>
      </c>
      <c r="G665" s="12">
        <v>6</v>
      </c>
      <c r="H665" s="12">
        <v>232</v>
      </c>
      <c r="I665" s="12">
        <v>65</v>
      </c>
      <c r="J665" s="12">
        <v>720</v>
      </c>
      <c r="K665" s="12">
        <v>968.2</v>
      </c>
      <c r="L665" s="12">
        <v>167040</v>
      </c>
      <c r="M665" s="12">
        <v>3</v>
      </c>
      <c r="N665" s="12">
        <v>12</v>
      </c>
      <c r="O665" s="12">
        <v>4.0999999999999996</v>
      </c>
      <c r="P665" s="14">
        <v>46110</v>
      </c>
      <c r="Q665" s="12" t="s">
        <v>1775</v>
      </c>
    </row>
    <row r="666" spans="1:17" x14ac:dyDescent="0.3">
      <c r="A666" s="12" t="s">
        <v>479</v>
      </c>
      <c r="B666" s="12" t="s">
        <v>480</v>
      </c>
      <c r="C666" s="12" t="s">
        <v>71</v>
      </c>
      <c r="D666" s="12" t="s">
        <v>1778</v>
      </c>
      <c r="E666" s="12" t="s">
        <v>1777</v>
      </c>
      <c r="F666" s="12">
        <v>301</v>
      </c>
      <c r="G666" s="12">
        <v>112</v>
      </c>
      <c r="H666" s="12">
        <v>189</v>
      </c>
      <c r="I666" s="12">
        <v>23</v>
      </c>
      <c r="J666" s="12">
        <v>38419</v>
      </c>
      <c r="K666" s="12">
        <v>46148.05</v>
      </c>
      <c r="L666" s="12">
        <v>7261191</v>
      </c>
      <c r="M666" s="12">
        <v>1</v>
      </c>
      <c r="N666" s="12">
        <v>13</v>
      </c>
      <c r="O666" s="12">
        <v>3.5</v>
      </c>
      <c r="P666" s="14">
        <v>46110</v>
      </c>
      <c r="Q666" s="12" t="s">
        <v>1775</v>
      </c>
    </row>
    <row r="667" spans="1:17" x14ac:dyDescent="0.3">
      <c r="A667" s="12" t="s">
        <v>261</v>
      </c>
      <c r="B667" s="12" t="s">
        <v>262</v>
      </c>
      <c r="C667" s="12" t="s">
        <v>102</v>
      </c>
      <c r="D667" s="12" t="s">
        <v>1773</v>
      </c>
      <c r="E667" s="12" t="s">
        <v>1781</v>
      </c>
      <c r="F667" s="12">
        <v>263</v>
      </c>
      <c r="G667" s="12">
        <v>163</v>
      </c>
      <c r="H667" s="12">
        <v>100</v>
      </c>
      <c r="I667" s="12">
        <v>69</v>
      </c>
      <c r="J667" s="12">
        <v>6122</v>
      </c>
      <c r="K667" s="12">
        <v>7253.57</v>
      </c>
      <c r="L667" s="12">
        <v>612200</v>
      </c>
      <c r="M667" s="12">
        <v>4</v>
      </c>
      <c r="N667" s="12">
        <v>5</v>
      </c>
      <c r="O667" s="12">
        <v>4.7</v>
      </c>
      <c r="P667" s="14">
        <v>46024</v>
      </c>
      <c r="Q667" s="12" t="s">
        <v>1775</v>
      </c>
    </row>
    <row r="668" spans="1:17" x14ac:dyDescent="0.3">
      <c r="A668" s="12" t="s">
        <v>203</v>
      </c>
      <c r="B668" s="12" t="s">
        <v>204</v>
      </c>
      <c r="C668" s="12" t="s">
        <v>71</v>
      </c>
      <c r="D668" s="12" t="s">
        <v>1776</v>
      </c>
      <c r="E668" s="12" t="s">
        <v>1777</v>
      </c>
      <c r="F668" s="12">
        <v>455</v>
      </c>
      <c r="G668" s="12">
        <v>308</v>
      </c>
      <c r="H668" s="12">
        <v>147</v>
      </c>
      <c r="I668" s="12">
        <v>33</v>
      </c>
      <c r="J668" s="12">
        <v>24899</v>
      </c>
      <c r="K668" s="12">
        <v>31934.35</v>
      </c>
      <c r="L668" s="12">
        <v>3660153</v>
      </c>
      <c r="M668" s="12">
        <v>5</v>
      </c>
      <c r="N668" s="12">
        <v>3</v>
      </c>
      <c r="O668" s="12">
        <v>4</v>
      </c>
      <c r="P668" s="14">
        <v>46058</v>
      </c>
      <c r="Q668" s="12" t="s">
        <v>1775</v>
      </c>
    </row>
    <row r="669" spans="1:17" x14ac:dyDescent="0.3">
      <c r="A669" s="12" t="s">
        <v>206</v>
      </c>
      <c r="B669" s="12" t="s">
        <v>207</v>
      </c>
      <c r="C669" s="12" t="s">
        <v>30</v>
      </c>
      <c r="D669" s="12" t="s">
        <v>1778</v>
      </c>
      <c r="E669" s="12" t="s">
        <v>1777</v>
      </c>
      <c r="F669" s="12">
        <v>364</v>
      </c>
      <c r="G669" s="12">
        <v>364</v>
      </c>
      <c r="H669" s="12">
        <v>0</v>
      </c>
      <c r="I669" s="12">
        <v>61</v>
      </c>
      <c r="J669" s="12">
        <v>53056</v>
      </c>
      <c r="K669" s="12">
        <v>60644.75</v>
      </c>
      <c r="L669" s="12">
        <v>0</v>
      </c>
      <c r="M669" s="12">
        <v>5</v>
      </c>
      <c r="N669" s="12">
        <v>4</v>
      </c>
      <c r="O669" s="12">
        <v>3.8</v>
      </c>
      <c r="P669" s="14">
        <v>46160</v>
      </c>
      <c r="Q669" s="12" t="s">
        <v>1783</v>
      </c>
    </row>
    <row r="670" spans="1:17" x14ac:dyDescent="0.3">
      <c r="A670" s="12" t="s">
        <v>824</v>
      </c>
      <c r="B670" s="12" t="s">
        <v>825</v>
      </c>
      <c r="C670" s="12" t="s">
        <v>71</v>
      </c>
      <c r="D670" s="12" t="s">
        <v>1776</v>
      </c>
      <c r="E670" s="12" t="s">
        <v>1774</v>
      </c>
      <c r="F670" s="12">
        <v>396</v>
      </c>
      <c r="G670" s="12">
        <v>289</v>
      </c>
      <c r="H670" s="12">
        <v>107</v>
      </c>
      <c r="I670" s="12">
        <v>36</v>
      </c>
      <c r="J670" s="12">
        <v>10242</v>
      </c>
      <c r="K670" s="12">
        <v>14207.1</v>
      </c>
      <c r="L670" s="12">
        <v>1095894</v>
      </c>
      <c r="M670" s="12">
        <v>2</v>
      </c>
      <c r="N670" s="12">
        <v>11</v>
      </c>
      <c r="O670" s="12">
        <v>3.7</v>
      </c>
      <c r="P670" s="14">
        <v>46157</v>
      </c>
      <c r="Q670" s="12" t="s">
        <v>1775</v>
      </c>
    </row>
    <row r="671" spans="1:17" x14ac:dyDescent="0.3">
      <c r="A671" s="12" t="s">
        <v>299</v>
      </c>
      <c r="B671" s="12" t="s">
        <v>300</v>
      </c>
      <c r="C671" s="12" t="s">
        <v>71</v>
      </c>
      <c r="D671" s="12" t="s">
        <v>1776</v>
      </c>
      <c r="E671" s="12" t="s">
        <v>1781</v>
      </c>
      <c r="F671" s="12">
        <v>408</v>
      </c>
      <c r="G671" s="12">
        <v>138</v>
      </c>
      <c r="H671" s="12">
        <v>270</v>
      </c>
      <c r="I671" s="12">
        <v>52</v>
      </c>
      <c r="J671" s="12">
        <v>18128</v>
      </c>
      <c r="K671" s="12">
        <v>21241.01</v>
      </c>
      <c r="L671" s="12">
        <v>4894560</v>
      </c>
      <c r="M671" s="12">
        <v>5</v>
      </c>
      <c r="N671" s="12">
        <v>2</v>
      </c>
      <c r="O671" s="12">
        <v>4.4000000000000004</v>
      </c>
      <c r="P671" s="14">
        <v>46123</v>
      </c>
      <c r="Q671" s="12" t="s">
        <v>1775</v>
      </c>
    </row>
    <row r="672" spans="1:17" x14ac:dyDescent="0.3">
      <c r="A672" s="12" t="s">
        <v>238</v>
      </c>
      <c r="B672" s="12" t="s">
        <v>239</v>
      </c>
      <c r="C672" s="12" t="s">
        <v>71</v>
      </c>
      <c r="D672" s="12" t="s">
        <v>1780</v>
      </c>
      <c r="E672" s="12" t="s">
        <v>1774</v>
      </c>
      <c r="F672" s="12">
        <v>463</v>
      </c>
      <c r="G672" s="12">
        <v>239</v>
      </c>
      <c r="H672" s="12">
        <v>224</v>
      </c>
      <c r="I672" s="12">
        <v>57</v>
      </c>
      <c r="J672" s="12">
        <v>27427</v>
      </c>
      <c r="K672" s="12">
        <v>30237.53</v>
      </c>
      <c r="L672" s="12">
        <v>6143648</v>
      </c>
      <c r="M672" s="12">
        <v>3</v>
      </c>
      <c r="N672" s="12">
        <v>12</v>
      </c>
      <c r="O672" s="12">
        <v>4.8</v>
      </c>
      <c r="P672" s="14">
        <v>46126</v>
      </c>
      <c r="Q672" s="12" t="s">
        <v>1775</v>
      </c>
    </row>
    <row r="673" spans="1:17" x14ac:dyDescent="0.3">
      <c r="A673" s="12" t="s">
        <v>374</v>
      </c>
      <c r="B673" s="12" t="s">
        <v>375</v>
      </c>
      <c r="C673" s="12" t="s">
        <v>54</v>
      </c>
      <c r="D673" s="12" t="s">
        <v>1780</v>
      </c>
      <c r="E673" s="12" t="s">
        <v>1781</v>
      </c>
      <c r="F673" s="12">
        <v>111</v>
      </c>
      <c r="G673" s="12">
        <v>48</v>
      </c>
      <c r="H673" s="12">
        <v>63</v>
      </c>
      <c r="I673" s="12">
        <v>39</v>
      </c>
      <c r="J673" s="12">
        <v>20193</v>
      </c>
      <c r="K673" s="12">
        <v>26263.45</v>
      </c>
      <c r="L673" s="12">
        <v>1272159</v>
      </c>
      <c r="M673" s="12">
        <v>1</v>
      </c>
      <c r="N673" s="12">
        <v>11</v>
      </c>
      <c r="O673" s="12">
        <v>5</v>
      </c>
      <c r="P673" s="14">
        <v>46041</v>
      </c>
      <c r="Q673" s="12" t="s">
        <v>1775</v>
      </c>
    </row>
    <row r="674" spans="1:17" x14ac:dyDescent="0.3">
      <c r="A674" s="12" t="s">
        <v>324</v>
      </c>
      <c r="B674" s="12" t="s">
        <v>325</v>
      </c>
      <c r="C674" s="12" t="s">
        <v>54</v>
      </c>
      <c r="D674" s="12" t="s">
        <v>1778</v>
      </c>
      <c r="E674" s="12" t="s">
        <v>1777</v>
      </c>
      <c r="F674" s="12">
        <v>442</v>
      </c>
      <c r="G674" s="12">
        <v>80</v>
      </c>
      <c r="H674" s="12">
        <v>362</v>
      </c>
      <c r="I674" s="12">
        <v>54</v>
      </c>
      <c r="J674" s="12">
        <v>14655</v>
      </c>
      <c r="K674" s="12">
        <v>17652.13</v>
      </c>
      <c r="L674" s="12">
        <v>5305110</v>
      </c>
      <c r="M674" s="12">
        <v>2</v>
      </c>
      <c r="N674" s="12">
        <v>6</v>
      </c>
      <c r="O674" s="12">
        <v>4.8</v>
      </c>
      <c r="P674" s="14">
        <v>46176</v>
      </c>
      <c r="Q674" s="12" t="s">
        <v>1775</v>
      </c>
    </row>
    <row r="675" spans="1:17" x14ac:dyDescent="0.3">
      <c r="A675" s="12" t="s">
        <v>479</v>
      </c>
      <c r="B675" s="12" t="s">
        <v>480</v>
      </c>
      <c r="C675" s="12" t="s">
        <v>71</v>
      </c>
      <c r="D675" s="12" t="s">
        <v>1780</v>
      </c>
      <c r="E675" s="12" t="s">
        <v>1779</v>
      </c>
      <c r="F675" s="12">
        <v>255</v>
      </c>
      <c r="G675" s="12">
        <v>94</v>
      </c>
      <c r="H675" s="12">
        <v>161</v>
      </c>
      <c r="I675" s="12">
        <v>65</v>
      </c>
      <c r="J675" s="12">
        <v>53934</v>
      </c>
      <c r="K675" s="12">
        <v>67779.55</v>
      </c>
      <c r="L675" s="12">
        <v>8683374</v>
      </c>
      <c r="M675" s="12">
        <v>2</v>
      </c>
      <c r="N675" s="12">
        <v>5</v>
      </c>
      <c r="O675" s="12">
        <v>4</v>
      </c>
      <c r="P675" s="14">
        <v>46165</v>
      </c>
      <c r="Q675" s="12" t="s">
        <v>1775</v>
      </c>
    </row>
    <row r="676" spans="1:17" x14ac:dyDescent="0.3">
      <c r="A676" s="12" t="s">
        <v>678</v>
      </c>
      <c r="B676" s="12" t="s">
        <v>679</v>
      </c>
      <c r="C676" s="12" t="s">
        <v>54</v>
      </c>
      <c r="D676" s="12" t="s">
        <v>1780</v>
      </c>
      <c r="E676" s="12" t="s">
        <v>1781</v>
      </c>
      <c r="F676" s="12">
        <v>267</v>
      </c>
      <c r="G676" s="12">
        <v>159</v>
      </c>
      <c r="H676" s="12">
        <v>108</v>
      </c>
      <c r="I676" s="12">
        <v>42</v>
      </c>
      <c r="J676" s="12">
        <v>58775</v>
      </c>
      <c r="K676" s="12">
        <v>81865.33</v>
      </c>
      <c r="L676" s="12">
        <v>6347700</v>
      </c>
      <c r="M676" s="12">
        <v>0</v>
      </c>
      <c r="N676" s="12">
        <v>5</v>
      </c>
      <c r="O676" s="12">
        <v>4.2</v>
      </c>
      <c r="P676" s="14">
        <v>46167</v>
      </c>
      <c r="Q676" s="12" t="s">
        <v>1775</v>
      </c>
    </row>
    <row r="677" spans="1:17" x14ac:dyDescent="0.3">
      <c r="A677" s="12" t="s">
        <v>406</v>
      </c>
      <c r="B677" s="12" t="s">
        <v>407</v>
      </c>
      <c r="C677" s="12" t="s">
        <v>30</v>
      </c>
      <c r="D677" s="12" t="s">
        <v>1778</v>
      </c>
      <c r="E677" s="12" t="s">
        <v>1781</v>
      </c>
      <c r="F677" s="12">
        <v>336</v>
      </c>
      <c r="G677" s="12">
        <v>127</v>
      </c>
      <c r="H677" s="12">
        <v>209</v>
      </c>
      <c r="I677" s="12">
        <v>28</v>
      </c>
      <c r="J677" s="12">
        <v>57028</v>
      </c>
      <c r="K677" s="12">
        <v>65801.94</v>
      </c>
      <c r="L677" s="12">
        <v>11918852</v>
      </c>
      <c r="M677" s="12">
        <v>0</v>
      </c>
      <c r="N677" s="12">
        <v>6</v>
      </c>
      <c r="O677" s="12">
        <v>3.8</v>
      </c>
      <c r="P677" s="14">
        <v>46102</v>
      </c>
      <c r="Q677" s="12" t="s">
        <v>1775</v>
      </c>
    </row>
    <row r="678" spans="1:17" x14ac:dyDescent="0.3">
      <c r="A678" s="12" t="s">
        <v>172</v>
      </c>
      <c r="B678" s="12" t="s">
        <v>173</v>
      </c>
      <c r="C678" s="12" t="s">
        <v>54</v>
      </c>
      <c r="D678" s="12" t="s">
        <v>1776</v>
      </c>
      <c r="E678" s="12" t="s">
        <v>1781</v>
      </c>
      <c r="F678" s="12">
        <v>152</v>
      </c>
      <c r="G678" s="12">
        <v>70</v>
      </c>
      <c r="H678" s="12">
        <v>82</v>
      </c>
      <c r="I678" s="12">
        <v>78</v>
      </c>
      <c r="J678" s="12">
        <v>16737</v>
      </c>
      <c r="K678" s="12">
        <v>20936.2</v>
      </c>
      <c r="L678" s="12">
        <v>1372434</v>
      </c>
      <c r="M678" s="12">
        <v>4</v>
      </c>
      <c r="N678" s="12">
        <v>8</v>
      </c>
      <c r="O678" s="12">
        <v>4.9000000000000004</v>
      </c>
      <c r="P678" s="14">
        <v>46061</v>
      </c>
      <c r="Q678" s="12" t="s">
        <v>1775</v>
      </c>
    </row>
    <row r="679" spans="1:17" x14ac:dyDescent="0.3">
      <c r="A679" s="12" t="s">
        <v>553</v>
      </c>
      <c r="B679" s="12" t="s">
        <v>554</v>
      </c>
      <c r="C679" s="12" t="s">
        <v>54</v>
      </c>
      <c r="D679" s="12" t="s">
        <v>1778</v>
      </c>
      <c r="E679" s="12" t="s">
        <v>1779</v>
      </c>
      <c r="F679" s="12">
        <v>224</v>
      </c>
      <c r="G679" s="12">
        <v>139</v>
      </c>
      <c r="H679" s="12">
        <v>85</v>
      </c>
      <c r="I679" s="12">
        <v>57</v>
      </c>
      <c r="J679" s="12">
        <v>2467</v>
      </c>
      <c r="K679" s="12">
        <v>3223.41</v>
      </c>
      <c r="L679" s="12">
        <v>209695</v>
      </c>
      <c r="M679" s="12">
        <v>2</v>
      </c>
      <c r="N679" s="12">
        <v>13</v>
      </c>
      <c r="O679" s="12">
        <v>4.4000000000000004</v>
      </c>
      <c r="P679" s="14">
        <v>46112</v>
      </c>
      <c r="Q679" s="12" t="s">
        <v>1775</v>
      </c>
    </row>
    <row r="680" spans="1:17" x14ac:dyDescent="0.3">
      <c r="A680" s="12" t="s">
        <v>546</v>
      </c>
      <c r="B680" s="12" t="s">
        <v>547</v>
      </c>
      <c r="C680" s="12" t="s">
        <v>71</v>
      </c>
      <c r="D680" s="12" t="s">
        <v>1776</v>
      </c>
      <c r="E680" s="12" t="s">
        <v>1781</v>
      </c>
      <c r="F680" s="12">
        <v>433</v>
      </c>
      <c r="G680" s="12">
        <v>221</v>
      </c>
      <c r="H680" s="12">
        <v>212</v>
      </c>
      <c r="I680" s="12">
        <v>37</v>
      </c>
      <c r="J680" s="12">
        <v>56422</v>
      </c>
      <c r="K680" s="12">
        <v>63267.99</v>
      </c>
      <c r="L680" s="12">
        <v>11961464</v>
      </c>
      <c r="M680" s="12">
        <v>0</v>
      </c>
      <c r="N680" s="12">
        <v>14</v>
      </c>
      <c r="O680" s="12">
        <v>4.4000000000000004</v>
      </c>
      <c r="P680" s="14">
        <v>46176</v>
      </c>
      <c r="Q680" s="12" t="s">
        <v>1775</v>
      </c>
    </row>
    <row r="681" spans="1:17" x14ac:dyDescent="0.3">
      <c r="A681" s="12" t="s">
        <v>553</v>
      </c>
      <c r="B681" s="12" t="s">
        <v>554</v>
      </c>
      <c r="C681" s="12" t="s">
        <v>54</v>
      </c>
      <c r="D681" s="12" t="s">
        <v>1778</v>
      </c>
      <c r="E681" s="12" t="s">
        <v>1777</v>
      </c>
      <c r="F681" s="12">
        <v>487</v>
      </c>
      <c r="G681" s="12">
        <v>222</v>
      </c>
      <c r="H681" s="12">
        <v>265</v>
      </c>
      <c r="I681" s="12">
        <v>54</v>
      </c>
      <c r="J681" s="12">
        <v>55226</v>
      </c>
      <c r="K681" s="12">
        <v>75713.34</v>
      </c>
      <c r="L681" s="12">
        <v>14634890</v>
      </c>
      <c r="M681" s="12">
        <v>2</v>
      </c>
      <c r="N681" s="12">
        <v>2</v>
      </c>
      <c r="O681" s="12">
        <v>4.7</v>
      </c>
      <c r="P681" s="14">
        <v>46093</v>
      </c>
      <c r="Q681" s="12" t="s">
        <v>1775</v>
      </c>
    </row>
    <row r="682" spans="1:17" x14ac:dyDescent="0.3">
      <c r="A682" s="12" t="s">
        <v>231</v>
      </c>
      <c r="B682" s="12" t="s">
        <v>232</v>
      </c>
      <c r="C682" s="12" t="s">
        <v>54</v>
      </c>
      <c r="D682" s="12" t="s">
        <v>1776</v>
      </c>
      <c r="E682" s="12" t="s">
        <v>1774</v>
      </c>
      <c r="F682" s="12">
        <v>372</v>
      </c>
      <c r="G682" s="12">
        <v>242</v>
      </c>
      <c r="H682" s="12">
        <v>130</v>
      </c>
      <c r="I682" s="12">
        <v>26</v>
      </c>
      <c r="J682" s="12">
        <v>59646</v>
      </c>
      <c r="K682" s="12">
        <v>78345.8</v>
      </c>
      <c r="L682" s="12">
        <v>7753980</v>
      </c>
      <c r="M682" s="12">
        <v>3</v>
      </c>
      <c r="N682" s="12">
        <v>15</v>
      </c>
      <c r="O682" s="12">
        <v>5</v>
      </c>
      <c r="P682" s="14">
        <v>46187</v>
      </c>
      <c r="Q682" s="12" t="s">
        <v>1775</v>
      </c>
    </row>
    <row r="683" spans="1:17" x14ac:dyDescent="0.3">
      <c r="A683" s="12" t="s">
        <v>457</v>
      </c>
      <c r="B683" s="12" t="s">
        <v>458</v>
      </c>
      <c r="C683" s="12" t="s">
        <v>71</v>
      </c>
      <c r="D683" s="12" t="s">
        <v>1773</v>
      </c>
      <c r="E683" s="12" t="s">
        <v>1781</v>
      </c>
      <c r="F683" s="12">
        <v>98</v>
      </c>
      <c r="G683" s="12">
        <v>55</v>
      </c>
      <c r="H683" s="12">
        <v>43</v>
      </c>
      <c r="I683" s="12">
        <v>36</v>
      </c>
      <c r="J683" s="12">
        <v>46413</v>
      </c>
      <c r="K683" s="12">
        <v>62364.32</v>
      </c>
      <c r="L683" s="12">
        <v>1995759</v>
      </c>
      <c r="M683" s="12">
        <v>4</v>
      </c>
      <c r="N683" s="12">
        <v>15</v>
      </c>
      <c r="O683" s="12">
        <v>4.4000000000000004</v>
      </c>
      <c r="P683" s="14">
        <v>46195</v>
      </c>
      <c r="Q683" s="12" t="s">
        <v>1775</v>
      </c>
    </row>
    <row r="684" spans="1:17" x14ac:dyDescent="0.3">
      <c r="A684" s="12" t="s">
        <v>95</v>
      </c>
      <c r="B684" s="12" t="s">
        <v>96</v>
      </c>
      <c r="C684" s="12" t="s">
        <v>54</v>
      </c>
      <c r="D684" s="12" t="s">
        <v>1778</v>
      </c>
      <c r="E684" s="12" t="s">
        <v>1781</v>
      </c>
      <c r="F684" s="12">
        <v>180</v>
      </c>
      <c r="G684" s="12">
        <v>13</v>
      </c>
      <c r="H684" s="12">
        <v>167</v>
      </c>
      <c r="I684" s="12">
        <v>53</v>
      </c>
      <c r="J684" s="12">
        <v>56158</v>
      </c>
      <c r="K684" s="12">
        <v>63657.2</v>
      </c>
      <c r="L684" s="12">
        <v>9378386</v>
      </c>
      <c r="M684" s="12">
        <v>0</v>
      </c>
      <c r="N684" s="12">
        <v>4</v>
      </c>
      <c r="O684" s="12">
        <v>4.8</v>
      </c>
      <c r="P684" s="14">
        <v>46050</v>
      </c>
      <c r="Q684" s="12" t="s">
        <v>1775</v>
      </c>
    </row>
    <row r="685" spans="1:17" x14ac:dyDescent="0.3">
      <c r="A685" s="12" t="s">
        <v>342</v>
      </c>
      <c r="B685" s="12" t="s">
        <v>343</v>
      </c>
      <c r="C685" s="12" t="s">
        <v>54</v>
      </c>
      <c r="D685" s="12" t="s">
        <v>1778</v>
      </c>
      <c r="E685" s="12" t="s">
        <v>1774</v>
      </c>
      <c r="F685" s="12">
        <v>384</v>
      </c>
      <c r="G685" s="12">
        <v>92</v>
      </c>
      <c r="H685" s="12">
        <v>292</v>
      </c>
      <c r="I685" s="12">
        <v>22</v>
      </c>
      <c r="J685" s="12">
        <v>44252</v>
      </c>
      <c r="K685" s="12">
        <v>53931.99</v>
      </c>
      <c r="L685" s="12">
        <v>12921584</v>
      </c>
      <c r="M685" s="12">
        <v>0</v>
      </c>
      <c r="N685" s="12">
        <v>12</v>
      </c>
      <c r="O685" s="12">
        <v>3.8</v>
      </c>
      <c r="P685" s="14">
        <v>46112</v>
      </c>
      <c r="Q685" s="12" t="s">
        <v>1775</v>
      </c>
    </row>
    <row r="686" spans="1:17" x14ac:dyDescent="0.3">
      <c r="A686" s="12" t="s">
        <v>217</v>
      </c>
      <c r="B686" s="12" t="s">
        <v>218</v>
      </c>
      <c r="C686" s="12" t="s">
        <v>54</v>
      </c>
      <c r="D686" s="12" t="s">
        <v>1776</v>
      </c>
      <c r="E686" s="12" t="s">
        <v>1777</v>
      </c>
      <c r="F686" s="12">
        <v>252</v>
      </c>
      <c r="G686" s="12">
        <v>66</v>
      </c>
      <c r="H686" s="12">
        <v>186</v>
      </c>
      <c r="I686" s="12">
        <v>56</v>
      </c>
      <c r="J686" s="12">
        <v>7201</v>
      </c>
      <c r="K686" s="12">
        <v>9620.0499999999993</v>
      </c>
      <c r="L686" s="12">
        <v>1339386</v>
      </c>
      <c r="M686" s="12">
        <v>3</v>
      </c>
      <c r="N686" s="12">
        <v>12</v>
      </c>
      <c r="O686" s="12">
        <v>3.7</v>
      </c>
      <c r="P686" s="14">
        <v>46062</v>
      </c>
      <c r="Q686" s="12" t="s">
        <v>1775</v>
      </c>
    </row>
    <row r="687" spans="1:17" x14ac:dyDescent="0.3">
      <c r="A687" s="12" t="s">
        <v>306</v>
      </c>
      <c r="B687" s="12" t="s">
        <v>307</v>
      </c>
      <c r="C687" s="12" t="s">
        <v>71</v>
      </c>
      <c r="D687" s="12" t="s">
        <v>1780</v>
      </c>
      <c r="E687" s="12" t="s">
        <v>1777</v>
      </c>
      <c r="F687" s="12">
        <v>207</v>
      </c>
      <c r="G687" s="12">
        <v>64</v>
      </c>
      <c r="H687" s="12">
        <v>143</v>
      </c>
      <c r="I687" s="12">
        <v>29</v>
      </c>
      <c r="J687" s="12">
        <v>31746</v>
      </c>
      <c r="K687" s="12">
        <v>35734.11</v>
      </c>
      <c r="L687" s="12">
        <v>4539678</v>
      </c>
      <c r="M687" s="12">
        <v>5</v>
      </c>
      <c r="N687" s="12">
        <v>11</v>
      </c>
      <c r="O687" s="12">
        <v>4.8</v>
      </c>
      <c r="P687" s="14">
        <v>46026</v>
      </c>
      <c r="Q687" s="12" t="s">
        <v>1775</v>
      </c>
    </row>
    <row r="688" spans="1:17" x14ac:dyDescent="0.3">
      <c r="A688" s="12" t="s">
        <v>253</v>
      </c>
      <c r="B688" s="12" t="s">
        <v>254</v>
      </c>
      <c r="C688" s="12" t="s">
        <v>54</v>
      </c>
      <c r="D688" s="12" t="s">
        <v>1773</v>
      </c>
      <c r="E688" s="12" t="s">
        <v>1774</v>
      </c>
      <c r="F688" s="12">
        <v>167</v>
      </c>
      <c r="G688" s="12">
        <v>54</v>
      </c>
      <c r="H688" s="12">
        <v>113</v>
      </c>
      <c r="I688" s="12">
        <v>76</v>
      </c>
      <c r="J688" s="12">
        <v>57858</v>
      </c>
      <c r="K688" s="12">
        <v>64918.57</v>
      </c>
      <c r="L688" s="12">
        <v>6537954</v>
      </c>
      <c r="M688" s="12">
        <v>2</v>
      </c>
      <c r="N688" s="12">
        <v>11</v>
      </c>
      <c r="O688" s="12">
        <v>4.3</v>
      </c>
      <c r="P688" s="14">
        <v>46121</v>
      </c>
      <c r="Q688" s="12" t="s">
        <v>1775</v>
      </c>
    </row>
    <row r="689" spans="1:17" x14ac:dyDescent="0.3">
      <c r="A689" s="12" t="s">
        <v>152</v>
      </c>
      <c r="B689" s="12" t="s">
        <v>153</v>
      </c>
      <c r="C689" s="12" t="s">
        <v>54</v>
      </c>
      <c r="D689" s="12" t="s">
        <v>1776</v>
      </c>
      <c r="E689" s="12" t="s">
        <v>1779</v>
      </c>
      <c r="F689" s="12">
        <v>133</v>
      </c>
      <c r="G689" s="12">
        <v>45</v>
      </c>
      <c r="H689" s="12">
        <v>88</v>
      </c>
      <c r="I689" s="12">
        <v>25</v>
      </c>
      <c r="J689" s="12">
        <v>51655</v>
      </c>
      <c r="K689" s="12">
        <v>67610.86</v>
      </c>
      <c r="L689" s="12">
        <v>4545640</v>
      </c>
      <c r="M689" s="12">
        <v>0</v>
      </c>
      <c r="N689" s="12">
        <v>9</v>
      </c>
      <c r="O689" s="12">
        <v>4.5</v>
      </c>
      <c r="P689" s="14">
        <v>46104</v>
      </c>
      <c r="Q689" s="12" t="s">
        <v>1775</v>
      </c>
    </row>
    <row r="690" spans="1:17" x14ac:dyDescent="0.3">
      <c r="A690" s="12" t="s">
        <v>451</v>
      </c>
      <c r="B690" s="12" t="s">
        <v>452</v>
      </c>
      <c r="C690" s="12" t="s">
        <v>30</v>
      </c>
      <c r="D690" s="12" t="s">
        <v>1773</v>
      </c>
      <c r="E690" s="12" t="s">
        <v>1777</v>
      </c>
      <c r="F690" s="12">
        <v>495</v>
      </c>
      <c r="G690" s="12">
        <v>136</v>
      </c>
      <c r="H690" s="12">
        <v>359</v>
      </c>
      <c r="I690" s="12">
        <v>21</v>
      </c>
      <c r="J690" s="12">
        <v>2378</v>
      </c>
      <c r="K690" s="12">
        <v>2966.91</v>
      </c>
      <c r="L690" s="12">
        <v>853702</v>
      </c>
      <c r="M690" s="12">
        <v>2</v>
      </c>
      <c r="N690" s="12">
        <v>2</v>
      </c>
      <c r="O690" s="12">
        <v>4.2</v>
      </c>
      <c r="P690" s="14">
        <v>46189</v>
      </c>
      <c r="Q690" s="12" t="s">
        <v>1775</v>
      </c>
    </row>
    <row r="691" spans="1:17" x14ac:dyDescent="0.3">
      <c r="A691" s="12" t="s">
        <v>396</v>
      </c>
      <c r="B691" s="12" t="s">
        <v>397</v>
      </c>
      <c r="C691" s="12" t="s">
        <v>54</v>
      </c>
      <c r="D691" s="12" t="s">
        <v>1773</v>
      </c>
      <c r="E691" s="12" t="s">
        <v>1777</v>
      </c>
      <c r="F691" s="12">
        <v>455</v>
      </c>
      <c r="G691" s="12">
        <v>353</v>
      </c>
      <c r="H691" s="12">
        <v>102</v>
      </c>
      <c r="I691" s="12">
        <v>47</v>
      </c>
      <c r="J691" s="12">
        <v>4862</v>
      </c>
      <c r="K691" s="12">
        <v>6408.2</v>
      </c>
      <c r="L691" s="12">
        <v>495924</v>
      </c>
      <c r="M691" s="12">
        <v>2</v>
      </c>
      <c r="N691" s="12">
        <v>3</v>
      </c>
      <c r="O691" s="12">
        <v>4.4000000000000004</v>
      </c>
      <c r="P691" s="14">
        <v>46073</v>
      </c>
      <c r="Q691" s="12" t="s">
        <v>1775</v>
      </c>
    </row>
    <row r="692" spans="1:17" x14ac:dyDescent="0.3">
      <c r="A692" s="12" t="s">
        <v>411</v>
      </c>
      <c r="B692" s="12" t="s">
        <v>412</v>
      </c>
      <c r="C692" s="12" t="s">
        <v>54</v>
      </c>
      <c r="D692" s="12" t="s">
        <v>1776</v>
      </c>
      <c r="E692" s="12" t="s">
        <v>1774</v>
      </c>
      <c r="F692" s="12">
        <v>339</v>
      </c>
      <c r="G692" s="12">
        <v>24</v>
      </c>
      <c r="H692" s="12">
        <v>315</v>
      </c>
      <c r="I692" s="12">
        <v>44</v>
      </c>
      <c r="J692" s="12">
        <v>32506</v>
      </c>
      <c r="K692" s="12">
        <v>41336.31</v>
      </c>
      <c r="L692" s="12">
        <v>10239390</v>
      </c>
      <c r="M692" s="12">
        <v>2</v>
      </c>
      <c r="N692" s="12">
        <v>13</v>
      </c>
      <c r="O692" s="12">
        <v>4.3</v>
      </c>
      <c r="P692" s="14">
        <v>46110</v>
      </c>
      <c r="Q692" s="12" t="s">
        <v>1775</v>
      </c>
    </row>
    <row r="693" spans="1:17" x14ac:dyDescent="0.3">
      <c r="A693" s="12" t="s">
        <v>210</v>
      </c>
      <c r="B693" s="12" t="s">
        <v>211</v>
      </c>
      <c r="C693" s="12" t="s">
        <v>102</v>
      </c>
      <c r="D693" s="12" t="s">
        <v>1780</v>
      </c>
      <c r="E693" s="12" t="s">
        <v>1774</v>
      </c>
      <c r="F693" s="12">
        <v>202</v>
      </c>
      <c r="G693" s="12">
        <v>66</v>
      </c>
      <c r="H693" s="12">
        <v>136</v>
      </c>
      <c r="I693" s="12">
        <v>60</v>
      </c>
      <c r="J693" s="12">
        <v>35687</v>
      </c>
      <c r="K693" s="12">
        <v>42449.09</v>
      </c>
      <c r="L693" s="12">
        <v>4853432</v>
      </c>
      <c r="M693" s="12">
        <v>3</v>
      </c>
      <c r="N693" s="12">
        <v>8</v>
      </c>
      <c r="O693" s="12">
        <v>3.7</v>
      </c>
      <c r="P693" s="14">
        <v>46041</v>
      </c>
      <c r="Q693" s="12" t="s">
        <v>1775</v>
      </c>
    </row>
    <row r="694" spans="1:17" x14ac:dyDescent="0.3">
      <c r="A694" s="12" t="s">
        <v>324</v>
      </c>
      <c r="B694" s="12" t="s">
        <v>325</v>
      </c>
      <c r="C694" s="12" t="s">
        <v>54</v>
      </c>
      <c r="D694" s="12" t="s">
        <v>1773</v>
      </c>
      <c r="E694" s="12" t="s">
        <v>1774</v>
      </c>
      <c r="F694" s="12">
        <v>142</v>
      </c>
      <c r="G694" s="12">
        <v>35</v>
      </c>
      <c r="H694" s="12">
        <v>107</v>
      </c>
      <c r="I694" s="12">
        <v>73</v>
      </c>
      <c r="J694" s="12">
        <v>59299</v>
      </c>
      <c r="K694" s="12">
        <v>69230.62</v>
      </c>
      <c r="L694" s="12">
        <v>6344993</v>
      </c>
      <c r="M694" s="12">
        <v>3</v>
      </c>
      <c r="N694" s="12">
        <v>5</v>
      </c>
      <c r="O694" s="12">
        <v>5</v>
      </c>
      <c r="P694" s="14">
        <v>46172</v>
      </c>
      <c r="Q694" s="12" t="s">
        <v>1775</v>
      </c>
    </row>
    <row r="695" spans="1:17" x14ac:dyDescent="0.3">
      <c r="A695" s="12" t="s">
        <v>152</v>
      </c>
      <c r="B695" s="12" t="s">
        <v>153</v>
      </c>
      <c r="C695" s="12" t="s">
        <v>54</v>
      </c>
      <c r="D695" s="12" t="s">
        <v>1773</v>
      </c>
      <c r="E695" s="12" t="s">
        <v>1777</v>
      </c>
      <c r="F695" s="12">
        <v>473</v>
      </c>
      <c r="G695" s="12">
        <v>135</v>
      </c>
      <c r="H695" s="12">
        <v>338</v>
      </c>
      <c r="I695" s="12">
        <v>59</v>
      </c>
      <c r="J695" s="12">
        <v>2122</v>
      </c>
      <c r="K695" s="12">
        <v>2346.91</v>
      </c>
      <c r="L695" s="12">
        <v>717236</v>
      </c>
      <c r="M695" s="12">
        <v>0</v>
      </c>
      <c r="N695" s="12">
        <v>13</v>
      </c>
      <c r="O695" s="12">
        <v>4.9000000000000004</v>
      </c>
      <c r="P695" s="14">
        <v>46175</v>
      </c>
      <c r="Q695" s="12" t="s">
        <v>1775</v>
      </c>
    </row>
    <row r="696" spans="1:17" x14ac:dyDescent="0.3">
      <c r="A696" s="12" t="s">
        <v>1365</v>
      </c>
      <c r="B696" s="12" t="s">
        <v>1366</v>
      </c>
      <c r="C696" s="12" t="s">
        <v>54</v>
      </c>
      <c r="D696" s="12" t="s">
        <v>1780</v>
      </c>
      <c r="E696" s="12" t="s">
        <v>1777</v>
      </c>
      <c r="F696" s="12">
        <v>317</v>
      </c>
      <c r="G696" s="12">
        <v>6</v>
      </c>
      <c r="H696" s="12">
        <v>311</v>
      </c>
      <c r="I696" s="12">
        <v>48</v>
      </c>
      <c r="J696" s="12">
        <v>52295</v>
      </c>
      <c r="K696" s="12">
        <v>58229.08</v>
      </c>
      <c r="L696" s="12">
        <v>16263745</v>
      </c>
      <c r="M696" s="12">
        <v>1</v>
      </c>
      <c r="N696" s="12">
        <v>9</v>
      </c>
      <c r="O696" s="12">
        <v>4.7</v>
      </c>
      <c r="P696" s="14">
        <v>46146</v>
      </c>
      <c r="Q696" s="12" t="s">
        <v>1775</v>
      </c>
    </row>
    <row r="697" spans="1:17" x14ac:dyDescent="0.3">
      <c r="A697" s="12" t="s">
        <v>127</v>
      </c>
      <c r="B697" s="12" t="s">
        <v>128</v>
      </c>
      <c r="C697" s="12" t="s">
        <v>102</v>
      </c>
      <c r="D697" s="12" t="s">
        <v>1778</v>
      </c>
      <c r="E697" s="12" t="s">
        <v>1781</v>
      </c>
      <c r="F697" s="12">
        <v>346</v>
      </c>
      <c r="G697" s="12">
        <v>127</v>
      </c>
      <c r="H697" s="12">
        <v>219</v>
      </c>
      <c r="I697" s="12">
        <v>73</v>
      </c>
      <c r="J697" s="12">
        <v>13199</v>
      </c>
      <c r="K697" s="12">
        <v>16866.599999999999</v>
      </c>
      <c r="L697" s="12">
        <v>2890581</v>
      </c>
      <c r="M697" s="12">
        <v>2</v>
      </c>
      <c r="N697" s="12">
        <v>5</v>
      </c>
      <c r="O697" s="12">
        <v>4.2</v>
      </c>
      <c r="P697" s="14">
        <v>46034</v>
      </c>
      <c r="Q697" s="12" t="s">
        <v>1775</v>
      </c>
    </row>
    <row r="698" spans="1:17" x14ac:dyDescent="0.3">
      <c r="A698" s="12" t="s">
        <v>824</v>
      </c>
      <c r="B698" s="12" t="s">
        <v>825</v>
      </c>
      <c r="C698" s="12" t="s">
        <v>71</v>
      </c>
      <c r="D698" s="12" t="s">
        <v>1776</v>
      </c>
      <c r="E698" s="12" t="s">
        <v>1779</v>
      </c>
      <c r="F698" s="12">
        <v>254</v>
      </c>
      <c r="G698" s="12">
        <v>213</v>
      </c>
      <c r="H698" s="12">
        <v>41</v>
      </c>
      <c r="I698" s="12">
        <v>23</v>
      </c>
      <c r="J698" s="12">
        <v>9135</v>
      </c>
      <c r="K698" s="12">
        <v>10075.379999999999</v>
      </c>
      <c r="L698" s="12">
        <v>374535</v>
      </c>
      <c r="M698" s="12">
        <v>1</v>
      </c>
      <c r="N698" s="12">
        <v>9</v>
      </c>
      <c r="O698" s="12">
        <v>4.4000000000000004</v>
      </c>
      <c r="P698" s="14">
        <v>46087</v>
      </c>
      <c r="Q698" s="12" t="s">
        <v>1775</v>
      </c>
    </row>
    <row r="699" spans="1:17" x14ac:dyDescent="0.3">
      <c r="A699" s="12" t="s">
        <v>42</v>
      </c>
      <c r="B699" s="12" t="s">
        <v>43</v>
      </c>
      <c r="C699" s="12" t="s">
        <v>30</v>
      </c>
      <c r="D699" s="12" t="s">
        <v>1780</v>
      </c>
      <c r="E699" s="12" t="s">
        <v>1779</v>
      </c>
      <c r="F699" s="12">
        <v>89</v>
      </c>
      <c r="G699" s="12">
        <v>52</v>
      </c>
      <c r="H699" s="12">
        <v>37</v>
      </c>
      <c r="I699" s="12">
        <v>53</v>
      </c>
      <c r="J699" s="12">
        <v>41493</v>
      </c>
      <c r="K699" s="12">
        <v>49509.86</v>
      </c>
      <c r="L699" s="12">
        <v>1535241</v>
      </c>
      <c r="M699" s="12">
        <v>3</v>
      </c>
      <c r="N699" s="12">
        <v>14</v>
      </c>
      <c r="O699" s="12">
        <v>3.9</v>
      </c>
      <c r="P699" s="14">
        <v>46090</v>
      </c>
      <c r="Q699" s="12" t="s">
        <v>1782</v>
      </c>
    </row>
    <row r="700" spans="1:17" x14ac:dyDescent="0.3">
      <c r="A700" s="12" t="s">
        <v>79</v>
      </c>
      <c r="B700" s="12" t="s">
        <v>80</v>
      </c>
      <c r="C700" s="12" t="s">
        <v>71</v>
      </c>
      <c r="D700" s="12" t="s">
        <v>1778</v>
      </c>
      <c r="E700" s="12" t="s">
        <v>1774</v>
      </c>
      <c r="F700" s="12">
        <v>81</v>
      </c>
      <c r="G700" s="12">
        <v>12</v>
      </c>
      <c r="H700" s="12">
        <v>69</v>
      </c>
      <c r="I700" s="12">
        <v>41</v>
      </c>
      <c r="J700" s="12">
        <v>36610</v>
      </c>
      <c r="K700" s="12">
        <v>46247.03</v>
      </c>
      <c r="L700" s="12">
        <v>2526090</v>
      </c>
      <c r="M700" s="12">
        <v>0</v>
      </c>
      <c r="N700" s="12">
        <v>14</v>
      </c>
      <c r="O700" s="12">
        <v>3.7</v>
      </c>
      <c r="P700" s="14">
        <v>46188</v>
      </c>
      <c r="Q700" s="12" t="s">
        <v>1775</v>
      </c>
    </row>
    <row r="701" spans="1:17" x14ac:dyDescent="0.3">
      <c r="A701" s="12" t="s">
        <v>401</v>
      </c>
      <c r="B701" s="12" t="s">
        <v>402</v>
      </c>
      <c r="C701" s="12" t="s">
        <v>102</v>
      </c>
      <c r="D701" s="12" t="s">
        <v>1773</v>
      </c>
      <c r="E701" s="12" t="s">
        <v>1777</v>
      </c>
      <c r="F701" s="12">
        <v>341</v>
      </c>
      <c r="G701" s="12">
        <v>328</v>
      </c>
      <c r="H701" s="12">
        <v>13</v>
      </c>
      <c r="I701" s="12">
        <v>29</v>
      </c>
      <c r="J701" s="12">
        <v>29973</v>
      </c>
      <c r="K701" s="12">
        <v>38381.21</v>
      </c>
      <c r="L701" s="12">
        <v>389649</v>
      </c>
      <c r="M701" s="12">
        <v>2</v>
      </c>
      <c r="N701" s="12">
        <v>6</v>
      </c>
      <c r="O701" s="12">
        <v>4.8</v>
      </c>
      <c r="P701" s="14">
        <v>46161</v>
      </c>
      <c r="Q701" s="12" t="s">
        <v>1782</v>
      </c>
    </row>
    <row r="702" spans="1:17" x14ac:dyDescent="0.3">
      <c r="A702" s="12" t="s">
        <v>391</v>
      </c>
      <c r="B702" s="12" t="s">
        <v>392</v>
      </c>
      <c r="C702" s="12" t="s">
        <v>54</v>
      </c>
      <c r="D702" s="12" t="s">
        <v>1773</v>
      </c>
      <c r="E702" s="12" t="s">
        <v>1777</v>
      </c>
      <c r="F702" s="12">
        <v>494</v>
      </c>
      <c r="G702" s="12">
        <v>208</v>
      </c>
      <c r="H702" s="12">
        <v>286</v>
      </c>
      <c r="I702" s="12">
        <v>34</v>
      </c>
      <c r="J702" s="12">
        <v>57789</v>
      </c>
      <c r="K702" s="12">
        <v>65019.519999999997</v>
      </c>
      <c r="L702" s="12">
        <v>16527654</v>
      </c>
      <c r="M702" s="12">
        <v>0</v>
      </c>
      <c r="N702" s="12">
        <v>4</v>
      </c>
      <c r="O702" s="12">
        <v>3.7</v>
      </c>
      <c r="P702" s="14">
        <v>46105</v>
      </c>
      <c r="Q702" s="12" t="s">
        <v>1775</v>
      </c>
    </row>
    <row r="703" spans="1:17" x14ac:dyDescent="0.3">
      <c r="A703" s="12" t="s">
        <v>52</v>
      </c>
      <c r="B703" s="12" t="s">
        <v>53</v>
      </c>
      <c r="C703" s="12" t="s">
        <v>54</v>
      </c>
      <c r="D703" s="12" t="s">
        <v>1776</v>
      </c>
      <c r="E703" s="12" t="s">
        <v>1777</v>
      </c>
      <c r="F703" s="12">
        <v>423</v>
      </c>
      <c r="G703" s="12">
        <v>164</v>
      </c>
      <c r="H703" s="12">
        <v>259</v>
      </c>
      <c r="I703" s="12">
        <v>80</v>
      </c>
      <c r="J703" s="12">
        <v>36041</v>
      </c>
      <c r="K703" s="12">
        <v>49319.42</v>
      </c>
      <c r="L703" s="12">
        <v>9334619</v>
      </c>
      <c r="M703" s="12">
        <v>3</v>
      </c>
      <c r="N703" s="12">
        <v>6</v>
      </c>
      <c r="O703" s="12">
        <v>4.7</v>
      </c>
      <c r="P703" s="14">
        <v>46124</v>
      </c>
      <c r="Q703" s="12" t="s">
        <v>1775</v>
      </c>
    </row>
    <row r="704" spans="1:17" x14ac:dyDescent="0.3">
      <c r="A704" s="12" t="s">
        <v>338</v>
      </c>
      <c r="B704" s="12" t="s">
        <v>339</v>
      </c>
      <c r="C704" s="12" t="s">
        <v>54</v>
      </c>
      <c r="D704" s="12" t="s">
        <v>1778</v>
      </c>
      <c r="E704" s="12" t="s">
        <v>1774</v>
      </c>
      <c r="F704" s="12">
        <v>241</v>
      </c>
      <c r="G704" s="12">
        <v>115</v>
      </c>
      <c r="H704" s="12">
        <v>126</v>
      </c>
      <c r="I704" s="12">
        <v>44</v>
      </c>
      <c r="J704" s="12">
        <v>15710</v>
      </c>
      <c r="K704" s="12">
        <v>19252.11</v>
      </c>
      <c r="L704" s="12">
        <v>1979460</v>
      </c>
      <c r="M704" s="12">
        <v>2</v>
      </c>
      <c r="N704" s="12">
        <v>8</v>
      </c>
      <c r="O704" s="12">
        <v>4.5999999999999996</v>
      </c>
      <c r="P704" s="14">
        <v>46153</v>
      </c>
      <c r="Q704" s="12" t="s">
        <v>1775</v>
      </c>
    </row>
    <row r="705" spans="1:17" x14ac:dyDescent="0.3">
      <c r="A705" s="12" t="s">
        <v>387</v>
      </c>
      <c r="B705" s="12" t="s">
        <v>388</v>
      </c>
      <c r="C705" s="12" t="s">
        <v>54</v>
      </c>
      <c r="D705" s="12" t="s">
        <v>1780</v>
      </c>
      <c r="E705" s="12" t="s">
        <v>1781</v>
      </c>
      <c r="F705" s="12">
        <v>245</v>
      </c>
      <c r="G705" s="12">
        <v>111</v>
      </c>
      <c r="H705" s="12">
        <v>134</v>
      </c>
      <c r="I705" s="12">
        <v>74</v>
      </c>
      <c r="J705" s="12">
        <v>53263</v>
      </c>
      <c r="K705" s="12">
        <v>64607.3</v>
      </c>
      <c r="L705" s="12">
        <v>7137242</v>
      </c>
      <c r="M705" s="12">
        <v>0</v>
      </c>
      <c r="N705" s="12">
        <v>6</v>
      </c>
      <c r="O705" s="12">
        <v>3.7</v>
      </c>
      <c r="P705" s="14">
        <v>46038</v>
      </c>
      <c r="Q705" s="12" t="s">
        <v>1775</v>
      </c>
    </row>
    <row r="706" spans="1:17" x14ac:dyDescent="0.3">
      <c r="A706" s="12" t="s">
        <v>106</v>
      </c>
      <c r="B706" s="12" t="s">
        <v>107</v>
      </c>
      <c r="C706" s="12" t="s">
        <v>30</v>
      </c>
      <c r="D706" s="12" t="s">
        <v>1780</v>
      </c>
      <c r="E706" s="12" t="s">
        <v>1777</v>
      </c>
      <c r="F706" s="12">
        <v>489</v>
      </c>
      <c r="G706" s="12">
        <v>127</v>
      </c>
      <c r="H706" s="12">
        <v>362</v>
      </c>
      <c r="I706" s="12">
        <v>72</v>
      </c>
      <c r="J706" s="12">
        <v>17352</v>
      </c>
      <c r="K706" s="12">
        <v>19243.689999999999</v>
      </c>
      <c r="L706" s="12">
        <v>6281424</v>
      </c>
      <c r="M706" s="12">
        <v>4</v>
      </c>
      <c r="N706" s="12">
        <v>14</v>
      </c>
      <c r="O706" s="12">
        <v>4.5999999999999996</v>
      </c>
      <c r="P706" s="14">
        <v>46025</v>
      </c>
      <c r="Q706" s="12" t="s">
        <v>1775</v>
      </c>
    </row>
    <row r="707" spans="1:17" x14ac:dyDescent="0.3">
      <c r="A707" s="12" t="s">
        <v>342</v>
      </c>
      <c r="B707" s="12" t="s">
        <v>343</v>
      </c>
      <c r="C707" s="12" t="s">
        <v>54</v>
      </c>
      <c r="D707" s="12" t="s">
        <v>1776</v>
      </c>
      <c r="E707" s="12" t="s">
        <v>1781</v>
      </c>
      <c r="F707" s="12">
        <v>66</v>
      </c>
      <c r="G707" s="12">
        <v>2</v>
      </c>
      <c r="H707" s="12">
        <v>64</v>
      </c>
      <c r="I707" s="12">
        <v>43</v>
      </c>
      <c r="J707" s="12">
        <v>45379</v>
      </c>
      <c r="K707" s="12">
        <v>52387.86</v>
      </c>
      <c r="L707" s="12">
        <v>2904256</v>
      </c>
      <c r="M707" s="12">
        <v>0</v>
      </c>
      <c r="N707" s="12">
        <v>2</v>
      </c>
      <c r="O707" s="12">
        <v>4.3</v>
      </c>
      <c r="P707" s="14">
        <v>46142</v>
      </c>
      <c r="Q707" s="12" t="s">
        <v>1775</v>
      </c>
    </row>
    <row r="708" spans="1:17" x14ac:dyDescent="0.3">
      <c r="A708" s="12" t="s">
        <v>79</v>
      </c>
      <c r="B708" s="12" t="s">
        <v>80</v>
      </c>
      <c r="C708" s="12" t="s">
        <v>71</v>
      </c>
      <c r="D708" s="12" t="s">
        <v>1778</v>
      </c>
      <c r="E708" s="12" t="s">
        <v>1774</v>
      </c>
      <c r="F708" s="12">
        <v>389</v>
      </c>
      <c r="G708" s="12">
        <v>293</v>
      </c>
      <c r="H708" s="12">
        <v>96</v>
      </c>
      <c r="I708" s="12">
        <v>65</v>
      </c>
      <c r="J708" s="12">
        <v>17714</v>
      </c>
      <c r="K708" s="12">
        <v>24677.01</v>
      </c>
      <c r="L708" s="12">
        <v>1700544</v>
      </c>
      <c r="M708" s="12">
        <v>5</v>
      </c>
      <c r="N708" s="12">
        <v>10</v>
      </c>
      <c r="O708" s="12">
        <v>4.2</v>
      </c>
      <c r="P708" s="14">
        <v>46156</v>
      </c>
      <c r="Q708" s="12" t="s">
        <v>1775</v>
      </c>
    </row>
    <row r="709" spans="1:17" x14ac:dyDescent="0.3">
      <c r="A709" s="12" t="s">
        <v>106</v>
      </c>
      <c r="B709" s="12" t="s">
        <v>107</v>
      </c>
      <c r="C709" s="12" t="s">
        <v>30</v>
      </c>
      <c r="D709" s="12" t="s">
        <v>1780</v>
      </c>
      <c r="E709" s="12" t="s">
        <v>1779</v>
      </c>
      <c r="F709" s="12">
        <v>263</v>
      </c>
      <c r="G709" s="12">
        <v>258</v>
      </c>
      <c r="H709" s="12">
        <v>5</v>
      </c>
      <c r="I709" s="12">
        <v>40</v>
      </c>
      <c r="J709" s="12">
        <v>29494</v>
      </c>
      <c r="K709" s="12">
        <v>32958.300000000003</v>
      </c>
      <c r="L709" s="12">
        <v>147470</v>
      </c>
      <c r="M709" s="12">
        <v>0</v>
      </c>
      <c r="N709" s="12">
        <v>12</v>
      </c>
      <c r="O709" s="12">
        <v>4.4000000000000004</v>
      </c>
      <c r="P709" s="14">
        <v>46107</v>
      </c>
      <c r="Q709" s="12" t="s">
        <v>1782</v>
      </c>
    </row>
    <row r="710" spans="1:17" x14ac:dyDescent="0.3">
      <c r="A710" s="12" t="s">
        <v>451</v>
      </c>
      <c r="B710" s="12" t="s">
        <v>452</v>
      </c>
      <c r="C710" s="12" t="s">
        <v>30</v>
      </c>
      <c r="D710" s="12" t="s">
        <v>1776</v>
      </c>
      <c r="E710" s="12" t="s">
        <v>1774</v>
      </c>
      <c r="F710" s="12">
        <v>169</v>
      </c>
      <c r="G710" s="12">
        <v>166</v>
      </c>
      <c r="H710" s="12">
        <v>3</v>
      </c>
      <c r="I710" s="12">
        <v>32</v>
      </c>
      <c r="J710" s="12">
        <v>2330</v>
      </c>
      <c r="K710" s="12">
        <v>3232.15</v>
      </c>
      <c r="L710" s="12">
        <v>6990</v>
      </c>
      <c r="M710" s="12">
        <v>1</v>
      </c>
      <c r="N710" s="12">
        <v>5</v>
      </c>
      <c r="O710" s="12">
        <v>4.3</v>
      </c>
      <c r="P710" s="14">
        <v>46146</v>
      </c>
      <c r="Q710" s="12" t="s">
        <v>1782</v>
      </c>
    </row>
    <row r="711" spans="1:17" x14ac:dyDescent="0.3">
      <c r="A711" s="12" t="s">
        <v>295</v>
      </c>
      <c r="B711" s="12" t="s">
        <v>296</v>
      </c>
      <c r="C711" s="12" t="s">
        <v>30</v>
      </c>
      <c r="D711" s="12" t="s">
        <v>1780</v>
      </c>
      <c r="E711" s="12" t="s">
        <v>1779</v>
      </c>
      <c r="F711" s="12">
        <v>442</v>
      </c>
      <c r="G711" s="12">
        <v>382</v>
      </c>
      <c r="H711" s="12">
        <v>60</v>
      </c>
      <c r="I711" s="12">
        <v>60</v>
      </c>
      <c r="J711" s="12">
        <v>6671</v>
      </c>
      <c r="K711" s="12">
        <v>9137.82</v>
      </c>
      <c r="L711" s="12">
        <v>400260</v>
      </c>
      <c r="M711" s="12">
        <v>5</v>
      </c>
      <c r="N711" s="12">
        <v>4</v>
      </c>
      <c r="O711" s="12">
        <v>4.5999999999999996</v>
      </c>
      <c r="P711" s="14">
        <v>46053</v>
      </c>
      <c r="Q711" s="12" t="s">
        <v>1775</v>
      </c>
    </row>
    <row r="712" spans="1:17" x14ac:dyDescent="0.3">
      <c r="A712" s="12" t="s">
        <v>184</v>
      </c>
      <c r="B712" s="12" t="s">
        <v>185</v>
      </c>
      <c r="C712" s="12" t="s">
        <v>102</v>
      </c>
      <c r="D712" s="12" t="s">
        <v>1778</v>
      </c>
      <c r="E712" s="12" t="s">
        <v>1781</v>
      </c>
      <c r="F712" s="12">
        <v>50</v>
      </c>
      <c r="G712" s="12">
        <v>38</v>
      </c>
      <c r="H712" s="12">
        <v>12</v>
      </c>
      <c r="I712" s="12">
        <v>36</v>
      </c>
      <c r="J712" s="12">
        <v>15841</v>
      </c>
      <c r="K712" s="12">
        <v>18828.86</v>
      </c>
      <c r="L712" s="12">
        <v>190092</v>
      </c>
      <c r="M712" s="12">
        <v>4</v>
      </c>
      <c r="N712" s="12">
        <v>9</v>
      </c>
      <c r="O712" s="12">
        <v>3.5</v>
      </c>
      <c r="P712" s="14">
        <v>46109</v>
      </c>
      <c r="Q712" s="12" t="s">
        <v>1782</v>
      </c>
    </row>
    <row r="713" spans="1:17" x14ac:dyDescent="0.3">
      <c r="A713" s="12" t="s">
        <v>281</v>
      </c>
      <c r="B713" s="12" t="s">
        <v>282</v>
      </c>
      <c r="C713" s="12" t="s">
        <v>30</v>
      </c>
      <c r="D713" s="12" t="s">
        <v>1773</v>
      </c>
      <c r="E713" s="12" t="s">
        <v>1777</v>
      </c>
      <c r="F713" s="12">
        <v>262</v>
      </c>
      <c r="G713" s="12">
        <v>120</v>
      </c>
      <c r="H713" s="12">
        <v>142</v>
      </c>
      <c r="I713" s="12">
        <v>35</v>
      </c>
      <c r="J713" s="12">
        <v>45398</v>
      </c>
      <c r="K713" s="12">
        <v>63017.97</v>
      </c>
      <c r="L713" s="12">
        <v>6446516</v>
      </c>
      <c r="M713" s="12">
        <v>1</v>
      </c>
      <c r="N713" s="12">
        <v>2</v>
      </c>
      <c r="O713" s="12">
        <v>4.2</v>
      </c>
      <c r="P713" s="14">
        <v>46095</v>
      </c>
      <c r="Q713" s="12" t="s">
        <v>1775</v>
      </c>
    </row>
    <row r="714" spans="1:17" x14ac:dyDescent="0.3">
      <c r="A714" s="12" t="s">
        <v>316</v>
      </c>
      <c r="B714" s="12" t="s">
        <v>317</v>
      </c>
      <c r="C714" s="12" t="s">
        <v>54</v>
      </c>
      <c r="D714" s="12" t="s">
        <v>1778</v>
      </c>
      <c r="E714" s="12" t="s">
        <v>1774</v>
      </c>
      <c r="F714" s="12">
        <v>354</v>
      </c>
      <c r="G714" s="12">
        <v>179</v>
      </c>
      <c r="H714" s="12">
        <v>175</v>
      </c>
      <c r="I714" s="12">
        <v>25</v>
      </c>
      <c r="J714" s="12">
        <v>44809</v>
      </c>
      <c r="K714" s="12">
        <v>61205.32</v>
      </c>
      <c r="L714" s="12">
        <v>7841575</v>
      </c>
      <c r="M714" s="12">
        <v>0</v>
      </c>
      <c r="N714" s="12">
        <v>6</v>
      </c>
      <c r="O714" s="12">
        <v>4.4000000000000004</v>
      </c>
      <c r="P714" s="14">
        <v>46145</v>
      </c>
      <c r="Q714" s="12" t="s">
        <v>1775</v>
      </c>
    </row>
    <row r="715" spans="1:17" x14ac:dyDescent="0.3">
      <c r="A715" s="12" t="s">
        <v>224</v>
      </c>
      <c r="B715" s="12" t="s">
        <v>225</v>
      </c>
      <c r="C715" s="12" t="s">
        <v>102</v>
      </c>
      <c r="D715" s="12" t="s">
        <v>1778</v>
      </c>
      <c r="E715" s="12" t="s">
        <v>1774</v>
      </c>
      <c r="F715" s="12">
        <v>205</v>
      </c>
      <c r="G715" s="12">
        <v>78</v>
      </c>
      <c r="H715" s="12">
        <v>127</v>
      </c>
      <c r="I715" s="12">
        <v>41</v>
      </c>
      <c r="J715" s="12">
        <v>5938</v>
      </c>
      <c r="K715" s="12">
        <v>6828.69</v>
      </c>
      <c r="L715" s="12">
        <v>754126</v>
      </c>
      <c r="M715" s="12">
        <v>0</v>
      </c>
      <c r="N715" s="12">
        <v>9</v>
      </c>
      <c r="O715" s="12">
        <v>4.7</v>
      </c>
      <c r="P715" s="14">
        <v>46044</v>
      </c>
      <c r="Q715" s="12" t="s">
        <v>1775</v>
      </c>
    </row>
    <row r="716" spans="1:17" x14ac:dyDescent="0.3">
      <c r="A716" s="12" t="s">
        <v>224</v>
      </c>
      <c r="B716" s="12" t="s">
        <v>225</v>
      </c>
      <c r="C716" s="12" t="s">
        <v>102</v>
      </c>
      <c r="D716" s="12" t="s">
        <v>1773</v>
      </c>
      <c r="E716" s="12" t="s">
        <v>1777</v>
      </c>
      <c r="F716" s="12">
        <v>408</v>
      </c>
      <c r="G716" s="12">
        <v>309</v>
      </c>
      <c r="H716" s="12">
        <v>99</v>
      </c>
      <c r="I716" s="12">
        <v>61</v>
      </c>
      <c r="J716" s="12">
        <v>47041</v>
      </c>
      <c r="K716" s="12">
        <v>56952.32</v>
      </c>
      <c r="L716" s="12">
        <v>4657059</v>
      </c>
      <c r="M716" s="12">
        <v>5</v>
      </c>
      <c r="N716" s="12">
        <v>10</v>
      </c>
      <c r="O716" s="12">
        <v>4.0999999999999996</v>
      </c>
      <c r="P716" s="14">
        <v>46030</v>
      </c>
      <c r="Q716" s="12" t="s">
        <v>1775</v>
      </c>
    </row>
    <row r="717" spans="1:17" x14ac:dyDescent="0.3">
      <c r="A717" s="12" t="s">
        <v>566</v>
      </c>
      <c r="B717" s="12" t="s">
        <v>567</v>
      </c>
      <c r="C717" s="12" t="s">
        <v>54</v>
      </c>
      <c r="D717" s="12" t="s">
        <v>1773</v>
      </c>
      <c r="E717" s="12" t="s">
        <v>1774</v>
      </c>
      <c r="F717" s="12">
        <v>165</v>
      </c>
      <c r="G717" s="12">
        <v>24</v>
      </c>
      <c r="H717" s="12">
        <v>141</v>
      </c>
      <c r="I717" s="12">
        <v>65</v>
      </c>
      <c r="J717" s="12">
        <v>22600</v>
      </c>
      <c r="K717" s="12">
        <v>28765.62</v>
      </c>
      <c r="L717" s="12">
        <v>3186600</v>
      </c>
      <c r="M717" s="12">
        <v>2</v>
      </c>
      <c r="N717" s="12">
        <v>13</v>
      </c>
      <c r="O717" s="12">
        <v>4.5999999999999996</v>
      </c>
      <c r="P717" s="14">
        <v>46044</v>
      </c>
      <c r="Q717" s="12" t="s">
        <v>1775</v>
      </c>
    </row>
    <row r="718" spans="1:17" x14ac:dyDescent="0.3">
      <c r="A718" s="12" t="s">
        <v>431</v>
      </c>
      <c r="B718" s="12" t="s">
        <v>432</v>
      </c>
      <c r="C718" s="12" t="s">
        <v>30</v>
      </c>
      <c r="D718" s="12" t="s">
        <v>1780</v>
      </c>
      <c r="E718" s="12" t="s">
        <v>1779</v>
      </c>
      <c r="F718" s="12">
        <v>213</v>
      </c>
      <c r="G718" s="12">
        <v>124</v>
      </c>
      <c r="H718" s="12">
        <v>89</v>
      </c>
      <c r="I718" s="12">
        <v>25</v>
      </c>
      <c r="J718" s="12">
        <v>43532</v>
      </c>
      <c r="K718" s="12">
        <v>54704.3</v>
      </c>
      <c r="L718" s="12">
        <v>3874348</v>
      </c>
      <c r="M718" s="12">
        <v>4</v>
      </c>
      <c r="N718" s="12">
        <v>7</v>
      </c>
      <c r="O718" s="12">
        <v>4.7</v>
      </c>
      <c r="P718" s="14">
        <v>46094</v>
      </c>
      <c r="Q718" s="12" t="s">
        <v>1775</v>
      </c>
    </row>
    <row r="719" spans="1:17" x14ac:dyDescent="0.3">
      <c r="A719" s="12" t="s">
        <v>131</v>
      </c>
      <c r="B719" s="12" t="s">
        <v>132</v>
      </c>
      <c r="C719" s="12" t="s">
        <v>71</v>
      </c>
      <c r="D719" s="12" t="s">
        <v>1780</v>
      </c>
      <c r="E719" s="12" t="s">
        <v>1777</v>
      </c>
      <c r="F719" s="12">
        <v>84</v>
      </c>
      <c r="G719" s="12">
        <v>26</v>
      </c>
      <c r="H719" s="12">
        <v>58</v>
      </c>
      <c r="I719" s="12">
        <v>47</v>
      </c>
      <c r="J719" s="12">
        <v>47412</v>
      </c>
      <c r="K719" s="12">
        <v>55896.67</v>
      </c>
      <c r="L719" s="12">
        <v>2749896</v>
      </c>
      <c r="M719" s="12">
        <v>2</v>
      </c>
      <c r="N719" s="12">
        <v>3</v>
      </c>
      <c r="O719" s="12">
        <v>5</v>
      </c>
      <c r="P719" s="14">
        <v>46136</v>
      </c>
      <c r="Q719" s="12" t="s">
        <v>1775</v>
      </c>
    </row>
    <row r="720" spans="1:17" x14ac:dyDescent="0.3">
      <c r="A720" s="12" t="s">
        <v>197</v>
      </c>
      <c r="B720" s="12" t="s">
        <v>198</v>
      </c>
      <c r="C720" s="12" t="s">
        <v>30</v>
      </c>
      <c r="D720" s="12" t="s">
        <v>1778</v>
      </c>
      <c r="E720" s="12" t="s">
        <v>1781</v>
      </c>
      <c r="F720" s="12">
        <v>152</v>
      </c>
      <c r="G720" s="12">
        <v>24</v>
      </c>
      <c r="H720" s="12">
        <v>128</v>
      </c>
      <c r="I720" s="12">
        <v>72</v>
      </c>
      <c r="J720" s="12">
        <v>10617</v>
      </c>
      <c r="K720" s="12">
        <v>13115.23</v>
      </c>
      <c r="L720" s="12">
        <v>1358976</v>
      </c>
      <c r="M720" s="12">
        <v>0</v>
      </c>
      <c r="N720" s="12">
        <v>4</v>
      </c>
      <c r="O720" s="12">
        <v>4</v>
      </c>
      <c r="P720" s="14">
        <v>46108</v>
      </c>
      <c r="Q720" s="12" t="s">
        <v>1775</v>
      </c>
    </row>
    <row r="721" spans="1:17" x14ac:dyDescent="0.3">
      <c r="A721" s="12" t="s">
        <v>213</v>
      </c>
      <c r="B721" s="12" t="s">
        <v>214</v>
      </c>
      <c r="C721" s="12" t="s">
        <v>54</v>
      </c>
      <c r="D721" s="12" t="s">
        <v>1780</v>
      </c>
      <c r="E721" s="12" t="s">
        <v>1781</v>
      </c>
      <c r="F721" s="12">
        <v>490</v>
      </c>
      <c r="G721" s="12">
        <v>285</v>
      </c>
      <c r="H721" s="12">
        <v>205</v>
      </c>
      <c r="I721" s="12">
        <v>46</v>
      </c>
      <c r="J721" s="12">
        <v>3575</v>
      </c>
      <c r="K721" s="12">
        <v>4662.26</v>
      </c>
      <c r="L721" s="12">
        <v>732875</v>
      </c>
      <c r="M721" s="12">
        <v>5</v>
      </c>
      <c r="N721" s="12">
        <v>7</v>
      </c>
      <c r="O721" s="12">
        <v>4.3</v>
      </c>
      <c r="P721" s="14">
        <v>46114</v>
      </c>
      <c r="Q721" s="12" t="s">
        <v>1775</v>
      </c>
    </row>
    <row r="722" spans="1:17" x14ac:dyDescent="0.3">
      <c r="A722" s="12" t="s">
        <v>253</v>
      </c>
      <c r="B722" s="12" t="s">
        <v>254</v>
      </c>
      <c r="C722" s="12" t="s">
        <v>54</v>
      </c>
      <c r="D722" s="12" t="s">
        <v>1773</v>
      </c>
      <c r="E722" s="12" t="s">
        <v>1781</v>
      </c>
      <c r="F722" s="12">
        <v>113</v>
      </c>
      <c r="G722" s="12">
        <v>101</v>
      </c>
      <c r="H722" s="12">
        <v>12</v>
      </c>
      <c r="I722" s="12">
        <v>72</v>
      </c>
      <c r="J722" s="12">
        <v>6648</v>
      </c>
      <c r="K722" s="12">
        <v>7915.85</v>
      </c>
      <c r="L722" s="12">
        <v>79776</v>
      </c>
      <c r="M722" s="12">
        <v>3</v>
      </c>
      <c r="N722" s="12">
        <v>4</v>
      </c>
      <c r="O722" s="12">
        <v>4.2</v>
      </c>
      <c r="P722" s="14">
        <v>46198</v>
      </c>
      <c r="Q722" s="12" t="s">
        <v>1782</v>
      </c>
    </row>
    <row r="723" spans="1:17" x14ac:dyDescent="0.3">
      <c r="A723" s="12" t="s">
        <v>193</v>
      </c>
      <c r="B723" s="12" t="s">
        <v>194</v>
      </c>
      <c r="C723" s="12" t="s">
        <v>71</v>
      </c>
      <c r="D723" s="12" t="s">
        <v>1778</v>
      </c>
      <c r="E723" s="12" t="s">
        <v>1779</v>
      </c>
      <c r="F723" s="12">
        <v>401</v>
      </c>
      <c r="G723" s="12">
        <v>299</v>
      </c>
      <c r="H723" s="12">
        <v>102</v>
      </c>
      <c r="I723" s="12">
        <v>36</v>
      </c>
      <c r="J723" s="12">
        <v>7376</v>
      </c>
      <c r="K723" s="12">
        <v>8377.4599999999991</v>
      </c>
      <c r="L723" s="12">
        <v>752352</v>
      </c>
      <c r="M723" s="12">
        <v>4</v>
      </c>
      <c r="N723" s="12">
        <v>8</v>
      </c>
      <c r="O723" s="12">
        <v>3.6</v>
      </c>
      <c r="P723" s="14">
        <v>46143</v>
      </c>
      <c r="Q723" s="12" t="s">
        <v>1775</v>
      </c>
    </row>
    <row r="724" spans="1:17" x14ac:dyDescent="0.3">
      <c r="A724" s="12" t="s">
        <v>176</v>
      </c>
      <c r="B724" s="12" t="s">
        <v>177</v>
      </c>
      <c r="C724" s="12" t="s">
        <v>54</v>
      </c>
      <c r="D724" s="12" t="s">
        <v>1778</v>
      </c>
      <c r="E724" s="12" t="s">
        <v>1777</v>
      </c>
      <c r="F724" s="12">
        <v>101</v>
      </c>
      <c r="G724" s="12">
        <v>74</v>
      </c>
      <c r="H724" s="12">
        <v>27</v>
      </c>
      <c r="I724" s="12">
        <v>29</v>
      </c>
      <c r="J724" s="12">
        <v>33796</v>
      </c>
      <c r="K724" s="12">
        <v>44812.2</v>
      </c>
      <c r="L724" s="12">
        <v>912492</v>
      </c>
      <c r="M724" s="12">
        <v>5</v>
      </c>
      <c r="N724" s="12">
        <v>14</v>
      </c>
      <c r="O724" s="12">
        <v>3.6</v>
      </c>
      <c r="P724" s="14">
        <v>46064</v>
      </c>
      <c r="Q724" s="12" t="s">
        <v>1782</v>
      </c>
    </row>
    <row r="725" spans="1:17" x14ac:dyDescent="0.3">
      <c r="A725" s="12" t="s">
        <v>334</v>
      </c>
      <c r="B725" s="12" t="s">
        <v>335</v>
      </c>
      <c r="C725" s="12" t="s">
        <v>71</v>
      </c>
      <c r="D725" s="12" t="s">
        <v>1778</v>
      </c>
      <c r="E725" s="12" t="s">
        <v>1781</v>
      </c>
      <c r="F725" s="12">
        <v>266</v>
      </c>
      <c r="G725" s="12">
        <v>67</v>
      </c>
      <c r="H725" s="12">
        <v>199</v>
      </c>
      <c r="I725" s="12">
        <v>52</v>
      </c>
      <c r="J725" s="12">
        <v>25299</v>
      </c>
      <c r="K725" s="12">
        <v>28041.45</v>
      </c>
      <c r="L725" s="12">
        <v>5034501</v>
      </c>
      <c r="M725" s="12">
        <v>0</v>
      </c>
      <c r="N725" s="12">
        <v>15</v>
      </c>
      <c r="O725" s="12">
        <v>4.2</v>
      </c>
      <c r="P725" s="14">
        <v>46114</v>
      </c>
      <c r="Q725" s="12" t="s">
        <v>1775</v>
      </c>
    </row>
    <row r="726" spans="1:17" x14ac:dyDescent="0.3">
      <c r="A726" s="12" t="s">
        <v>358</v>
      </c>
      <c r="B726" s="12" t="s">
        <v>359</v>
      </c>
      <c r="C726" s="12" t="s">
        <v>102</v>
      </c>
      <c r="D726" s="12" t="s">
        <v>1778</v>
      </c>
      <c r="E726" s="12" t="s">
        <v>1777</v>
      </c>
      <c r="F726" s="12">
        <v>221</v>
      </c>
      <c r="G726" s="12">
        <v>138</v>
      </c>
      <c r="H726" s="12">
        <v>83</v>
      </c>
      <c r="I726" s="12">
        <v>20</v>
      </c>
      <c r="J726" s="12">
        <v>50542</v>
      </c>
      <c r="K726" s="12">
        <v>59673.51</v>
      </c>
      <c r="L726" s="12">
        <v>4194986</v>
      </c>
      <c r="M726" s="12">
        <v>3</v>
      </c>
      <c r="N726" s="12">
        <v>12</v>
      </c>
      <c r="O726" s="12">
        <v>3.9</v>
      </c>
      <c r="P726" s="14">
        <v>46069</v>
      </c>
      <c r="Q726" s="12" t="s">
        <v>1775</v>
      </c>
    </row>
    <row r="727" spans="1:17" x14ac:dyDescent="0.3">
      <c r="A727" s="12" t="s">
        <v>496</v>
      </c>
      <c r="B727" s="12" t="s">
        <v>497</v>
      </c>
      <c r="C727" s="12" t="s">
        <v>30</v>
      </c>
      <c r="D727" s="12" t="s">
        <v>1776</v>
      </c>
      <c r="E727" s="12" t="s">
        <v>1774</v>
      </c>
      <c r="F727" s="12">
        <v>310</v>
      </c>
      <c r="G727" s="12">
        <v>203</v>
      </c>
      <c r="H727" s="12">
        <v>107</v>
      </c>
      <c r="I727" s="12">
        <v>36</v>
      </c>
      <c r="J727" s="12">
        <v>51377</v>
      </c>
      <c r="K727" s="12">
        <v>70719.25</v>
      </c>
      <c r="L727" s="12">
        <v>5497339</v>
      </c>
      <c r="M727" s="12">
        <v>4</v>
      </c>
      <c r="N727" s="12">
        <v>7</v>
      </c>
      <c r="O727" s="12">
        <v>4.4000000000000004</v>
      </c>
      <c r="P727" s="14">
        <v>46066</v>
      </c>
      <c r="Q727" s="12" t="s">
        <v>1775</v>
      </c>
    </row>
    <row r="728" spans="1:17" x14ac:dyDescent="0.3">
      <c r="A728" s="12" t="s">
        <v>496</v>
      </c>
      <c r="B728" s="12" t="s">
        <v>497</v>
      </c>
      <c r="C728" s="12" t="s">
        <v>30</v>
      </c>
      <c r="D728" s="12" t="s">
        <v>1778</v>
      </c>
      <c r="E728" s="12" t="s">
        <v>1777</v>
      </c>
      <c r="F728" s="12">
        <v>235</v>
      </c>
      <c r="G728" s="12">
        <v>162</v>
      </c>
      <c r="H728" s="12">
        <v>73</v>
      </c>
      <c r="I728" s="12">
        <v>66</v>
      </c>
      <c r="J728" s="12">
        <v>44416</v>
      </c>
      <c r="K728" s="12">
        <v>56556.23</v>
      </c>
      <c r="L728" s="12">
        <v>3242368</v>
      </c>
      <c r="M728" s="12">
        <v>1</v>
      </c>
      <c r="N728" s="12">
        <v>5</v>
      </c>
      <c r="O728" s="12">
        <v>4.0999999999999996</v>
      </c>
      <c r="P728" s="14">
        <v>46057</v>
      </c>
      <c r="Q728" s="12" t="s">
        <v>1775</v>
      </c>
    </row>
    <row r="729" spans="1:17" x14ac:dyDescent="0.3">
      <c r="A729" s="12" t="s">
        <v>106</v>
      </c>
      <c r="B729" s="12" t="s">
        <v>107</v>
      </c>
      <c r="C729" s="12" t="s">
        <v>30</v>
      </c>
      <c r="D729" s="12" t="s">
        <v>1778</v>
      </c>
      <c r="E729" s="12" t="s">
        <v>1777</v>
      </c>
      <c r="F729" s="12">
        <v>406</v>
      </c>
      <c r="G729" s="12">
        <v>355</v>
      </c>
      <c r="H729" s="12">
        <v>51</v>
      </c>
      <c r="I729" s="12">
        <v>63</v>
      </c>
      <c r="J729" s="12">
        <v>11170</v>
      </c>
      <c r="K729" s="12">
        <v>14746.01</v>
      </c>
      <c r="L729" s="12">
        <v>569670</v>
      </c>
      <c r="M729" s="12">
        <v>3</v>
      </c>
      <c r="N729" s="12">
        <v>7</v>
      </c>
      <c r="O729" s="12">
        <v>3.8</v>
      </c>
      <c r="P729" s="14">
        <v>46132</v>
      </c>
      <c r="Q729" s="12" t="s">
        <v>1782</v>
      </c>
    </row>
    <row r="730" spans="1:17" x14ac:dyDescent="0.3">
      <c r="A730" s="12" t="s">
        <v>451</v>
      </c>
      <c r="B730" s="12" t="s">
        <v>452</v>
      </c>
      <c r="C730" s="12" t="s">
        <v>30</v>
      </c>
      <c r="D730" s="12" t="s">
        <v>1778</v>
      </c>
      <c r="E730" s="12" t="s">
        <v>1777</v>
      </c>
      <c r="F730" s="12">
        <v>206</v>
      </c>
      <c r="G730" s="12">
        <v>148</v>
      </c>
      <c r="H730" s="12">
        <v>58</v>
      </c>
      <c r="I730" s="12">
        <v>36</v>
      </c>
      <c r="J730" s="12">
        <v>15164</v>
      </c>
      <c r="K730" s="12">
        <v>18195.490000000002</v>
      </c>
      <c r="L730" s="12">
        <v>879512</v>
      </c>
      <c r="M730" s="12">
        <v>0</v>
      </c>
      <c r="N730" s="12">
        <v>10</v>
      </c>
      <c r="O730" s="12">
        <v>4.2</v>
      </c>
      <c r="P730" s="14">
        <v>46190</v>
      </c>
      <c r="Q730" s="12" t="s">
        <v>1775</v>
      </c>
    </row>
    <row r="731" spans="1:17" x14ac:dyDescent="0.3">
      <c r="A731" s="12" t="s">
        <v>213</v>
      </c>
      <c r="B731" s="12" t="s">
        <v>214</v>
      </c>
      <c r="C731" s="12" t="s">
        <v>54</v>
      </c>
      <c r="D731" s="12" t="s">
        <v>1773</v>
      </c>
      <c r="E731" s="12" t="s">
        <v>1774</v>
      </c>
      <c r="F731" s="12">
        <v>138</v>
      </c>
      <c r="G731" s="12">
        <v>120</v>
      </c>
      <c r="H731" s="12">
        <v>18</v>
      </c>
      <c r="I731" s="12">
        <v>68</v>
      </c>
      <c r="J731" s="12">
        <v>39779</v>
      </c>
      <c r="K731" s="12">
        <v>51676.6</v>
      </c>
      <c r="L731" s="12">
        <v>716022</v>
      </c>
      <c r="M731" s="12">
        <v>2</v>
      </c>
      <c r="N731" s="12">
        <v>4</v>
      </c>
      <c r="O731" s="12">
        <v>4</v>
      </c>
      <c r="P731" s="14">
        <v>46064</v>
      </c>
      <c r="Q731" s="12" t="s">
        <v>1782</v>
      </c>
    </row>
    <row r="732" spans="1:17" x14ac:dyDescent="0.3">
      <c r="A732" s="12" t="s">
        <v>284</v>
      </c>
      <c r="B732" s="12" t="s">
        <v>285</v>
      </c>
      <c r="C732" s="12" t="s">
        <v>54</v>
      </c>
      <c r="D732" s="12" t="s">
        <v>1776</v>
      </c>
      <c r="E732" s="12" t="s">
        <v>1774</v>
      </c>
      <c r="F732" s="12">
        <v>129</v>
      </c>
      <c r="G732" s="12">
        <v>96</v>
      </c>
      <c r="H732" s="12">
        <v>33</v>
      </c>
      <c r="I732" s="12">
        <v>79</v>
      </c>
      <c r="J732" s="12">
        <v>56531</v>
      </c>
      <c r="K732" s="12">
        <v>71243.320000000007</v>
      </c>
      <c r="L732" s="12">
        <v>1865523</v>
      </c>
      <c r="M732" s="12">
        <v>1</v>
      </c>
      <c r="N732" s="12">
        <v>11</v>
      </c>
      <c r="O732" s="12">
        <v>4.7</v>
      </c>
      <c r="P732" s="14">
        <v>46134</v>
      </c>
      <c r="Q732" s="12" t="s">
        <v>1782</v>
      </c>
    </row>
    <row r="733" spans="1:17" x14ac:dyDescent="0.3">
      <c r="A733" s="12" t="s">
        <v>324</v>
      </c>
      <c r="B733" s="12" t="s">
        <v>325</v>
      </c>
      <c r="C733" s="12" t="s">
        <v>54</v>
      </c>
      <c r="D733" s="12" t="s">
        <v>1776</v>
      </c>
      <c r="E733" s="12" t="s">
        <v>1781</v>
      </c>
      <c r="F733" s="12">
        <v>386</v>
      </c>
      <c r="G733" s="12">
        <v>11</v>
      </c>
      <c r="H733" s="12">
        <v>375</v>
      </c>
      <c r="I733" s="12">
        <v>33</v>
      </c>
      <c r="J733" s="12">
        <v>36147</v>
      </c>
      <c r="K733" s="12">
        <v>49595.31</v>
      </c>
      <c r="L733" s="12">
        <v>13555125</v>
      </c>
      <c r="M733" s="12">
        <v>1</v>
      </c>
      <c r="N733" s="12">
        <v>2</v>
      </c>
      <c r="O733" s="12">
        <v>4.2</v>
      </c>
      <c r="P733" s="14">
        <v>46186</v>
      </c>
      <c r="Q733" s="12" t="s">
        <v>1775</v>
      </c>
    </row>
    <row r="734" spans="1:17" x14ac:dyDescent="0.3">
      <c r="A734" s="12" t="s">
        <v>735</v>
      </c>
      <c r="B734" s="12" t="s">
        <v>736</v>
      </c>
      <c r="C734" s="12" t="s">
        <v>54</v>
      </c>
      <c r="D734" s="12" t="s">
        <v>1780</v>
      </c>
      <c r="E734" s="12" t="s">
        <v>1779</v>
      </c>
      <c r="F734" s="12">
        <v>352</v>
      </c>
      <c r="G734" s="12">
        <v>263</v>
      </c>
      <c r="H734" s="12">
        <v>89</v>
      </c>
      <c r="I734" s="12">
        <v>61</v>
      </c>
      <c r="J734" s="12">
        <v>16965</v>
      </c>
      <c r="K734" s="12">
        <v>20113.12</v>
      </c>
      <c r="L734" s="12">
        <v>1509885</v>
      </c>
      <c r="M734" s="12">
        <v>5</v>
      </c>
      <c r="N734" s="12">
        <v>11</v>
      </c>
      <c r="O734" s="12">
        <v>4</v>
      </c>
      <c r="P734" s="14">
        <v>46101</v>
      </c>
      <c r="Q734" s="12" t="s">
        <v>1775</v>
      </c>
    </row>
    <row r="735" spans="1:17" x14ac:dyDescent="0.3">
      <c r="A735" s="12" t="s">
        <v>118</v>
      </c>
      <c r="B735" s="12" t="s">
        <v>119</v>
      </c>
      <c r="C735" s="12" t="s">
        <v>54</v>
      </c>
      <c r="D735" s="12" t="s">
        <v>1780</v>
      </c>
      <c r="E735" s="12" t="s">
        <v>1774</v>
      </c>
      <c r="F735" s="12">
        <v>267</v>
      </c>
      <c r="G735" s="12">
        <v>34</v>
      </c>
      <c r="H735" s="12">
        <v>233</v>
      </c>
      <c r="I735" s="12">
        <v>49</v>
      </c>
      <c r="J735" s="12">
        <v>9178</v>
      </c>
      <c r="K735" s="12">
        <v>12157.91</v>
      </c>
      <c r="L735" s="12">
        <v>2138474</v>
      </c>
      <c r="M735" s="12">
        <v>1</v>
      </c>
      <c r="N735" s="12">
        <v>13</v>
      </c>
      <c r="O735" s="12">
        <v>4.7</v>
      </c>
      <c r="P735" s="14">
        <v>46062</v>
      </c>
      <c r="Q735" s="12" t="s">
        <v>1775</v>
      </c>
    </row>
    <row r="736" spans="1:17" x14ac:dyDescent="0.3">
      <c r="A736" s="12" t="s">
        <v>566</v>
      </c>
      <c r="B736" s="12" t="s">
        <v>567</v>
      </c>
      <c r="C736" s="12" t="s">
        <v>54</v>
      </c>
      <c r="D736" s="12" t="s">
        <v>1780</v>
      </c>
      <c r="E736" s="12" t="s">
        <v>1774</v>
      </c>
      <c r="F736" s="12">
        <v>232</v>
      </c>
      <c r="G736" s="12">
        <v>45</v>
      </c>
      <c r="H736" s="12">
        <v>187</v>
      </c>
      <c r="I736" s="12">
        <v>69</v>
      </c>
      <c r="J736" s="12">
        <v>41883</v>
      </c>
      <c r="K736" s="12">
        <v>51603.85</v>
      </c>
      <c r="L736" s="12">
        <v>7832121</v>
      </c>
      <c r="M736" s="12">
        <v>5</v>
      </c>
      <c r="N736" s="12">
        <v>9</v>
      </c>
      <c r="O736" s="12">
        <v>4.2</v>
      </c>
      <c r="P736" s="14">
        <v>46179</v>
      </c>
      <c r="Q736" s="12" t="s">
        <v>1775</v>
      </c>
    </row>
    <row r="737" spans="1:17" x14ac:dyDescent="0.3">
      <c r="A737" s="12" t="s">
        <v>451</v>
      </c>
      <c r="B737" s="12" t="s">
        <v>452</v>
      </c>
      <c r="C737" s="12" t="s">
        <v>30</v>
      </c>
      <c r="D737" s="12" t="s">
        <v>1773</v>
      </c>
      <c r="E737" s="12" t="s">
        <v>1777</v>
      </c>
      <c r="F737" s="12">
        <v>447</v>
      </c>
      <c r="G737" s="12">
        <v>356</v>
      </c>
      <c r="H737" s="12">
        <v>91</v>
      </c>
      <c r="I737" s="12">
        <v>43</v>
      </c>
      <c r="J737" s="12">
        <v>27693</v>
      </c>
      <c r="K737" s="12">
        <v>37279.839999999997</v>
      </c>
      <c r="L737" s="12">
        <v>2520063</v>
      </c>
      <c r="M737" s="12">
        <v>2</v>
      </c>
      <c r="N737" s="12">
        <v>11</v>
      </c>
      <c r="O737" s="12">
        <v>4.8</v>
      </c>
      <c r="P737" s="14">
        <v>46037</v>
      </c>
      <c r="Q737" s="12" t="s">
        <v>1775</v>
      </c>
    </row>
    <row r="738" spans="1:17" x14ac:dyDescent="0.3">
      <c r="A738" s="12" t="s">
        <v>231</v>
      </c>
      <c r="B738" s="12" t="s">
        <v>232</v>
      </c>
      <c r="C738" s="12" t="s">
        <v>54</v>
      </c>
      <c r="D738" s="12" t="s">
        <v>1778</v>
      </c>
      <c r="E738" s="12" t="s">
        <v>1777</v>
      </c>
      <c r="F738" s="12">
        <v>379</v>
      </c>
      <c r="G738" s="12">
        <v>248</v>
      </c>
      <c r="H738" s="12">
        <v>131</v>
      </c>
      <c r="I738" s="12">
        <v>37</v>
      </c>
      <c r="J738" s="12">
        <v>55374</v>
      </c>
      <c r="K738" s="12">
        <v>76954.09</v>
      </c>
      <c r="L738" s="12">
        <v>7253994</v>
      </c>
      <c r="M738" s="12">
        <v>2</v>
      </c>
      <c r="N738" s="12">
        <v>12</v>
      </c>
      <c r="O738" s="12">
        <v>4.0999999999999996</v>
      </c>
      <c r="P738" s="14">
        <v>46202</v>
      </c>
      <c r="Q738" s="12" t="s">
        <v>1775</v>
      </c>
    </row>
    <row r="739" spans="1:17" x14ac:dyDescent="0.3">
      <c r="A739" s="12" t="s">
        <v>277</v>
      </c>
      <c r="B739" s="12" t="s">
        <v>278</v>
      </c>
      <c r="C739" s="12" t="s">
        <v>71</v>
      </c>
      <c r="D739" s="12" t="s">
        <v>1778</v>
      </c>
      <c r="E739" s="12" t="s">
        <v>1779</v>
      </c>
      <c r="F739" s="12">
        <v>115</v>
      </c>
      <c r="G739" s="12">
        <v>94</v>
      </c>
      <c r="H739" s="12">
        <v>21</v>
      </c>
      <c r="I739" s="12">
        <v>55</v>
      </c>
      <c r="J739" s="12">
        <v>12432</v>
      </c>
      <c r="K739" s="12">
        <v>14466.32</v>
      </c>
      <c r="L739" s="12">
        <v>261072</v>
      </c>
      <c r="M739" s="12">
        <v>1</v>
      </c>
      <c r="N739" s="12">
        <v>15</v>
      </c>
      <c r="O739" s="12">
        <v>4.9000000000000004</v>
      </c>
      <c r="P739" s="14">
        <v>46172</v>
      </c>
      <c r="Q739" s="12" t="s">
        <v>1782</v>
      </c>
    </row>
    <row r="740" spans="1:17" x14ac:dyDescent="0.3">
      <c r="A740" s="12" t="s">
        <v>193</v>
      </c>
      <c r="B740" s="12" t="s">
        <v>194</v>
      </c>
      <c r="C740" s="12" t="s">
        <v>71</v>
      </c>
      <c r="D740" s="12" t="s">
        <v>1776</v>
      </c>
      <c r="E740" s="12" t="s">
        <v>1779</v>
      </c>
      <c r="F740" s="12">
        <v>280</v>
      </c>
      <c r="G740" s="12">
        <v>13</v>
      </c>
      <c r="H740" s="12">
        <v>267</v>
      </c>
      <c r="I740" s="12">
        <v>56</v>
      </c>
      <c r="J740" s="12">
        <v>49375</v>
      </c>
      <c r="K740" s="12">
        <v>68150.240000000005</v>
      </c>
      <c r="L740" s="12">
        <v>13183125</v>
      </c>
      <c r="M740" s="12">
        <v>4</v>
      </c>
      <c r="N740" s="12">
        <v>11</v>
      </c>
      <c r="O740" s="12">
        <v>3.7</v>
      </c>
      <c r="P740" s="14">
        <v>46101</v>
      </c>
      <c r="Q740" s="12" t="s">
        <v>1775</v>
      </c>
    </row>
    <row r="741" spans="1:17" x14ac:dyDescent="0.3">
      <c r="A741" s="12" t="s">
        <v>678</v>
      </c>
      <c r="B741" s="12" t="s">
        <v>679</v>
      </c>
      <c r="C741" s="12" t="s">
        <v>54</v>
      </c>
      <c r="D741" s="12" t="s">
        <v>1773</v>
      </c>
      <c r="E741" s="12" t="s">
        <v>1779</v>
      </c>
      <c r="F741" s="12">
        <v>334</v>
      </c>
      <c r="G741" s="12">
        <v>207</v>
      </c>
      <c r="H741" s="12">
        <v>127</v>
      </c>
      <c r="I741" s="12">
        <v>52</v>
      </c>
      <c r="J741" s="12">
        <v>16337</v>
      </c>
      <c r="K741" s="12">
        <v>19112.580000000002</v>
      </c>
      <c r="L741" s="12">
        <v>2074799</v>
      </c>
      <c r="M741" s="12">
        <v>1</v>
      </c>
      <c r="N741" s="12">
        <v>13</v>
      </c>
      <c r="O741" s="12">
        <v>4.8</v>
      </c>
      <c r="P741" s="14">
        <v>46044</v>
      </c>
      <c r="Q741" s="12" t="s">
        <v>1775</v>
      </c>
    </row>
    <row r="742" spans="1:17" x14ac:dyDescent="0.3">
      <c r="A742" s="12" t="s">
        <v>141</v>
      </c>
      <c r="B742" s="12" t="s">
        <v>142</v>
      </c>
      <c r="C742" s="12" t="s">
        <v>71</v>
      </c>
      <c r="D742" s="12" t="s">
        <v>1778</v>
      </c>
      <c r="E742" s="12" t="s">
        <v>1777</v>
      </c>
      <c r="F742" s="12">
        <v>127</v>
      </c>
      <c r="G742" s="12">
        <v>2</v>
      </c>
      <c r="H742" s="12">
        <v>125</v>
      </c>
      <c r="I742" s="12">
        <v>21</v>
      </c>
      <c r="J742" s="12">
        <v>1988</v>
      </c>
      <c r="K742" s="12">
        <v>2587.79</v>
      </c>
      <c r="L742" s="12">
        <v>248500</v>
      </c>
      <c r="M742" s="12">
        <v>4</v>
      </c>
      <c r="N742" s="12">
        <v>7</v>
      </c>
      <c r="O742" s="12">
        <v>4.2</v>
      </c>
      <c r="P742" s="14">
        <v>46180</v>
      </c>
      <c r="Q742" s="12" t="s">
        <v>1775</v>
      </c>
    </row>
    <row r="743" spans="1:17" x14ac:dyDescent="0.3">
      <c r="A743" s="12" t="s">
        <v>461</v>
      </c>
      <c r="B743" s="12" t="s">
        <v>462</v>
      </c>
      <c r="C743" s="12" t="s">
        <v>71</v>
      </c>
      <c r="D743" s="12" t="s">
        <v>1773</v>
      </c>
      <c r="E743" s="12" t="s">
        <v>1781</v>
      </c>
      <c r="F743" s="12">
        <v>171</v>
      </c>
      <c r="G743" s="12">
        <v>40</v>
      </c>
      <c r="H743" s="12">
        <v>131</v>
      </c>
      <c r="I743" s="12">
        <v>23</v>
      </c>
      <c r="J743" s="12">
        <v>20305</v>
      </c>
      <c r="K743" s="12">
        <v>25508.65</v>
      </c>
      <c r="L743" s="12">
        <v>2659955</v>
      </c>
      <c r="M743" s="12">
        <v>4</v>
      </c>
      <c r="N743" s="12">
        <v>9</v>
      </c>
      <c r="O743" s="12">
        <v>3.8</v>
      </c>
      <c r="P743" s="14">
        <v>46148</v>
      </c>
      <c r="Q743" s="12" t="s">
        <v>1775</v>
      </c>
    </row>
    <row r="744" spans="1:17" x14ac:dyDescent="0.3">
      <c r="A744" s="12" t="s">
        <v>401</v>
      </c>
      <c r="B744" s="12" t="s">
        <v>402</v>
      </c>
      <c r="C744" s="12" t="s">
        <v>102</v>
      </c>
      <c r="D744" s="12" t="s">
        <v>1773</v>
      </c>
      <c r="E744" s="12" t="s">
        <v>1781</v>
      </c>
      <c r="F744" s="12">
        <v>141</v>
      </c>
      <c r="G744" s="12">
        <v>100</v>
      </c>
      <c r="H744" s="12">
        <v>41</v>
      </c>
      <c r="I744" s="12">
        <v>61</v>
      </c>
      <c r="J744" s="12">
        <v>542</v>
      </c>
      <c r="K744" s="12">
        <v>749.78</v>
      </c>
      <c r="L744" s="12">
        <v>22222</v>
      </c>
      <c r="M744" s="12">
        <v>1</v>
      </c>
      <c r="N744" s="12">
        <v>14</v>
      </c>
      <c r="O744" s="12">
        <v>4.2</v>
      </c>
      <c r="P744" s="14">
        <v>46103</v>
      </c>
      <c r="Q744" s="12" t="s">
        <v>1782</v>
      </c>
    </row>
    <row r="745" spans="1:17" x14ac:dyDescent="0.3">
      <c r="A745" s="12" t="s">
        <v>184</v>
      </c>
      <c r="B745" s="12" t="s">
        <v>185</v>
      </c>
      <c r="C745" s="12" t="s">
        <v>102</v>
      </c>
      <c r="D745" s="12" t="s">
        <v>1780</v>
      </c>
      <c r="E745" s="12" t="s">
        <v>1777</v>
      </c>
      <c r="F745" s="12">
        <v>232</v>
      </c>
      <c r="G745" s="12">
        <v>174</v>
      </c>
      <c r="H745" s="12">
        <v>58</v>
      </c>
      <c r="I745" s="12">
        <v>69</v>
      </c>
      <c r="J745" s="12">
        <v>24334</v>
      </c>
      <c r="K745" s="12">
        <v>29524.03</v>
      </c>
      <c r="L745" s="12">
        <v>1411372</v>
      </c>
      <c r="M745" s="12">
        <v>5</v>
      </c>
      <c r="N745" s="12">
        <v>5</v>
      </c>
      <c r="O745" s="12">
        <v>4.5</v>
      </c>
      <c r="P745" s="14">
        <v>46129</v>
      </c>
      <c r="Q745" s="12" t="s">
        <v>1782</v>
      </c>
    </row>
    <row r="746" spans="1:17" x14ac:dyDescent="0.3">
      <c r="A746" s="12" t="s">
        <v>100</v>
      </c>
      <c r="B746" s="12" t="s">
        <v>101</v>
      </c>
      <c r="C746" s="12" t="s">
        <v>102</v>
      </c>
      <c r="D746" s="12" t="s">
        <v>1776</v>
      </c>
      <c r="E746" s="12" t="s">
        <v>1774</v>
      </c>
      <c r="F746" s="12">
        <v>330</v>
      </c>
      <c r="G746" s="12">
        <v>121</v>
      </c>
      <c r="H746" s="12">
        <v>209</v>
      </c>
      <c r="I746" s="12">
        <v>59</v>
      </c>
      <c r="J746" s="12">
        <v>13551</v>
      </c>
      <c r="K746" s="12">
        <v>18956.810000000001</v>
      </c>
      <c r="L746" s="12">
        <v>2832159</v>
      </c>
      <c r="M746" s="12">
        <v>5</v>
      </c>
      <c r="N746" s="12">
        <v>13</v>
      </c>
      <c r="O746" s="12">
        <v>4.9000000000000004</v>
      </c>
      <c r="P746" s="14">
        <v>46199</v>
      </c>
      <c r="Q746" s="12" t="s">
        <v>1775</v>
      </c>
    </row>
    <row r="747" spans="1:17" x14ac:dyDescent="0.3">
      <c r="A747" s="12" t="s">
        <v>306</v>
      </c>
      <c r="B747" s="12" t="s">
        <v>307</v>
      </c>
      <c r="C747" s="12" t="s">
        <v>71</v>
      </c>
      <c r="D747" s="12" t="s">
        <v>1780</v>
      </c>
      <c r="E747" s="12" t="s">
        <v>1777</v>
      </c>
      <c r="F747" s="12">
        <v>418</v>
      </c>
      <c r="G747" s="12">
        <v>132</v>
      </c>
      <c r="H747" s="12">
        <v>286</v>
      </c>
      <c r="I747" s="12">
        <v>52</v>
      </c>
      <c r="J747" s="12">
        <v>53977</v>
      </c>
      <c r="K747" s="12">
        <v>73388.78</v>
      </c>
      <c r="L747" s="12">
        <v>15437422</v>
      </c>
      <c r="M747" s="12">
        <v>1</v>
      </c>
      <c r="N747" s="12">
        <v>2</v>
      </c>
      <c r="O747" s="12">
        <v>3.6</v>
      </c>
      <c r="P747" s="14">
        <v>46133</v>
      </c>
      <c r="Q747" s="12" t="s">
        <v>1775</v>
      </c>
    </row>
    <row r="748" spans="1:17" x14ac:dyDescent="0.3">
      <c r="A748" s="12" t="s">
        <v>213</v>
      </c>
      <c r="B748" s="12" t="s">
        <v>214</v>
      </c>
      <c r="C748" s="12" t="s">
        <v>54</v>
      </c>
      <c r="D748" s="12" t="s">
        <v>1773</v>
      </c>
      <c r="E748" s="12" t="s">
        <v>1777</v>
      </c>
      <c r="F748" s="12">
        <v>140</v>
      </c>
      <c r="G748" s="12">
        <v>71</v>
      </c>
      <c r="H748" s="12">
        <v>69</v>
      </c>
      <c r="I748" s="12">
        <v>37</v>
      </c>
      <c r="J748" s="12">
        <v>34736</v>
      </c>
      <c r="K748" s="12">
        <v>47611.16</v>
      </c>
      <c r="L748" s="12">
        <v>2396784</v>
      </c>
      <c r="M748" s="12">
        <v>2</v>
      </c>
      <c r="N748" s="12">
        <v>8</v>
      </c>
      <c r="O748" s="12">
        <v>4.3</v>
      </c>
      <c r="P748" s="14">
        <v>46134</v>
      </c>
      <c r="Q748" s="12" t="s">
        <v>1775</v>
      </c>
    </row>
    <row r="749" spans="1:17" x14ac:dyDescent="0.3">
      <c r="A749" s="12" t="s">
        <v>241</v>
      </c>
      <c r="B749" s="12" t="s">
        <v>242</v>
      </c>
      <c r="C749" s="12" t="s">
        <v>54</v>
      </c>
      <c r="D749" s="12" t="s">
        <v>1780</v>
      </c>
      <c r="E749" s="12" t="s">
        <v>1781</v>
      </c>
      <c r="F749" s="12">
        <v>376</v>
      </c>
      <c r="G749" s="12">
        <v>53</v>
      </c>
      <c r="H749" s="12">
        <v>323</v>
      </c>
      <c r="I749" s="12">
        <v>65</v>
      </c>
      <c r="J749" s="12">
        <v>29749</v>
      </c>
      <c r="K749" s="12">
        <v>33029.07</v>
      </c>
      <c r="L749" s="12">
        <v>9608927</v>
      </c>
      <c r="M749" s="12">
        <v>4</v>
      </c>
      <c r="N749" s="12">
        <v>8</v>
      </c>
      <c r="O749" s="12">
        <v>3.6</v>
      </c>
      <c r="P749" s="14">
        <v>46181</v>
      </c>
      <c r="Q749" s="12" t="s">
        <v>1775</v>
      </c>
    </row>
    <row r="750" spans="1:17" x14ac:dyDescent="0.3">
      <c r="A750" s="12" t="s">
        <v>371</v>
      </c>
      <c r="B750" s="12" t="s">
        <v>372</v>
      </c>
      <c r="C750" s="12" t="s">
        <v>71</v>
      </c>
      <c r="D750" s="12" t="s">
        <v>1776</v>
      </c>
      <c r="E750" s="12" t="s">
        <v>1777</v>
      </c>
      <c r="F750" s="12">
        <v>463</v>
      </c>
      <c r="G750" s="12">
        <v>87</v>
      </c>
      <c r="H750" s="12">
        <v>376</v>
      </c>
      <c r="I750" s="12">
        <v>36</v>
      </c>
      <c r="J750" s="12">
        <v>36564</v>
      </c>
      <c r="K750" s="12">
        <v>44636.74</v>
      </c>
      <c r="L750" s="12">
        <v>13748064</v>
      </c>
      <c r="M750" s="12">
        <v>0</v>
      </c>
      <c r="N750" s="12">
        <v>15</v>
      </c>
      <c r="O750" s="12">
        <v>4.9000000000000004</v>
      </c>
      <c r="P750" s="14">
        <v>46125</v>
      </c>
      <c r="Q750" s="12" t="s">
        <v>1775</v>
      </c>
    </row>
    <row r="751" spans="1:17" x14ac:dyDescent="0.3">
      <c r="A751" s="12" t="s">
        <v>316</v>
      </c>
      <c r="B751" s="12" t="s">
        <v>317</v>
      </c>
      <c r="C751" s="12" t="s">
        <v>54</v>
      </c>
      <c r="D751" s="12" t="s">
        <v>1778</v>
      </c>
      <c r="E751" s="12" t="s">
        <v>1779</v>
      </c>
      <c r="F751" s="12">
        <v>67</v>
      </c>
      <c r="G751" s="12">
        <v>3</v>
      </c>
      <c r="H751" s="12">
        <v>64</v>
      </c>
      <c r="I751" s="12">
        <v>61</v>
      </c>
      <c r="J751" s="12">
        <v>28858</v>
      </c>
      <c r="K751" s="12">
        <v>40401.08</v>
      </c>
      <c r="L751" s="12">
        <v>1846912</v>
      </c>
      <c r="M751" s="12">
        <v>2</v>
      </c>
      <c r="N751" s="12">
        <v>15</v>
      </c>
      <c r="O751" s="12">
        <v>4.9000000000000004</v>
      </c>
      <c r="P751" s="14">
        <v>46165</v>
      </c>
      <c r="Q751" s="12" t="s">
        <v>1775</v>
      </c>
    </row>
    <row r="752" spans="1:17" x14ac:dyDescent="0.3">
      <c r="A752" s="12" t="s">
        <v>546</v>
      </c>
      <c r="B752" s="12" t="s">
        <v>547</v>
      </c>
      <c r="C752" s="12" t="s">
        <v>71</v>
      </c>
      <c r="D752" s="12" t="s">
        <v>1778</v>
      </c>
      <c r="E752" s="12" t="s">
        <v>1781</v>
      </c>
      <c r="F752" s="12">
        <v>456</v>
      </c>
      <c r="G752" s="12">
        <v>187</v>
      </c>
      <c r="H752" s="12">
        <v>269</v>
      </c>
      <c r="I752" s="12">
        <v>22</v>
      </c>
      <c r="J752" s="12">
        <v>19880</v>
      </c>
      <c r="K752" s="12">
        <v>25560.89</v>
      </c>
      <c r="L752" s="12">
        <v>5347720</v>
      </c>
      <c r="M752" s="12">
        <v>0</v>
      </c>
      <c r="N752" s="12">
        <v>8</v>
      </c>
      <c r="O752" s="12">
        <v>4.5</v>
      </c>
      <c r="P752" s="14">
        <v>46182</v>
      </c>
      <c r="Q752" s="12" t="s">
        <v>1775</v>
      </c>
    </row>
    <row r="753" spans="1:17" x14ac:dyDescent="0.3">
      <c r="A753" s="12" t="s">
        <v>546</v>
      </c>
      <c r="B753" s="12" t="s">
        <v>547</v>
      </c>
      <c r="C753" s="12" t="s">
        <v>71</v>
      </c>
      <c r="D753" s="12" t="s">
        <v>1780</v>
      </c>
      <c r="E753" s="12" t="s">
        <v>1774</v>
      </c>
      <c r="F753" s="12">
        <v>50</v>
      </c>
      <c r="G753" s="12">
        <v>4</v>
      </c>
      <c r="H753" s="12">
        <v>46</v>
      </c>
      <c r="I753" s="12">
        <v>72</v>
      </c>
      <c r="J753" s="12">
        <v>38103</v>
      </c>
      <c r="K753" s="12">
        <v>46974.080000000002</v>
      </c>
      <c r="L753" s="12">
        <v>1752738</v>
      </c>
      <c r="M753" s="12">
        <v>2</v>
      </c>
      <c r="N753" s="12">
        <v>8</v>
      </c>
      <c r="O753" s="12">
        <v>4.5</v>
      </c>
      <c r="P753" s="14">
        <v>46174</v>
      </c>
      <c r="Q753" s="12" t="s">
        <v>1782</v>
      </c>
    </row>
    <row r="754" spans="1:17" x14ac:dyDescent="0.3">
      <c r="A754" s="12" t="s">
        <v>306</v>
      </c>
      <c r="B754" s="12" t="s">
        <v>307</v>
      </c>
      <c r="C754" s="12" t="s">
        <v>71</v>
      </c>
      <c r="D754" s="12" t="s">
        <v>1773</v>
      </c>
      <c r="E754" s="12" t="s">
        <v>1774</v>
      </c>
      <c r="F754" s="12">
        <v>364</v>
      </c>
      <c r="G754" s="12">
        <v>30</v>
      </c>
      <c r="H754" s="12">
        <v>334</v>
      </c>
      <c r="I754" s="12">
        <v>26</v>
      </c>
      <c r="J754" s="12">
        <v>16675</v>
      </c>
      <c r="K754" s="12">
        <v>22458.25</v>
      </c>
      <c r="L754" s="12">
        <v>5569450</v>
      </c>
      <c r="M754" s="12">
        <v>4</v>
      </c>
      <c r="N754" s="12">
        <v>12</v>
      </c>
      <c r="O754" s="12">
        <v>4.4000000000000004</v>
      </c>
      <c r="P754" s="14">
        <v>46159</v>
      </c>
      <c r="Q754" s="12" t="s">
        <v>1775</v>
      </c>
    </row>
    <row r="755" spans="1:17" x14ac:dyDescent="0.3">
      <c r="A755" s="12" t="s">
        <v>640</v>
      </c>
      <c r="B755" s="12" t="s">
        <v>641</v>
      </c>
      <c r="C755" s="12" t="s">
        <v>54</v>
      </c>
      <c r="D755" s="12" t="s">
        <v>1773</v>
      </c>
      <c r="E755" s="12" t="s">
        <v>1777</v>
      </c>
      <c r="F755" s="12">
        <v>212</v>
      </c>
      <c r="G755" s="12">
        <v>98</v>
      </c>
      <c r="H755" s="12">
        <v>114</v>
      </c>
      <c r="I755" s="12">
        <v>40</v>
      </c>
      <c r="J755" s="12">
        <v>7002</v>
      </c>
      <c r="K755" s="12">
        <v>8065.21</v>
      </c>
      <c r="L755" s="12">
        <v>798228</v>
      </c>
      <c r="M755" s="12">
        <v>1</v>
      </c>
      <c r="N755" s="12">
        <v>13</v>
      </c>
      <c r="O755" s="12">
        <v>4.8</v>
      </c>
      <c r="P755" s="14">
        <v>46031</v>
      </c>
      <c r="Q755" s="12" t="s">
        <v>1775</v>
      </c>
    </row>
    <row r="756" spans="1:17" x14ac:dyDescent="0.3">
      <c r="A756" s="12" t="s">
        <v>526</v>
      </c>
      <c r="B756" s="12" t="s">
        <v>527</v>
      </c>
      <c r="C756" s="12" t="s">
        <v>71</v>
      </c>
      <c r="D756" s="12" t="s">
        <v>1773</v>
      </c>
      <c r="E756" s="12" t="s">
        <v>1779</v>
      </c>
      <c r="F756" s="12">
        <v>96</v>
      </c>
      <c r="G756" s="12">
        <v>89</v>
      </c>
      <c r="H756" s="12">
        <v>7</v>
      </c>
      <c r="I756" s="12">
        <v>55</v>
      </c>
      <c r="J756" s="12">
        <v>30725</v>
      </c>
      <c r="K756" s="12">
        <v>34421.93</v>
      </c>
      <c r="L756" s="12">
        <v>215075</v>
      </c>
      <c r="M756" s="12">
        <v>0</v>
      </c>
      <c r="N756" s="12">
        <v>13</v>
      </c>
      <c r="O756" s="12">
        <v>4.4000000000000004</v>
      </c>
      <c r="P756" s="14">
        <v>46166</v>
      </c>
      <c r="Q756" s="12" t="s">
        <v>1782</v>
      </c>
    </row>
    <row r="757" spans="1:17" x14ac:dyDescent="0.3">
      <c r="A757" s="12" t="s">
        <v>384</v>
      </c>
      <c r="B757" s="12" t="s">
        <v>385</v>
      </c>
      <c r="C757" s="12" t="s">
        <v>102</v>
      </c>
      <c r="D757" s="12" t="s">
        <v>1778</v>
      </c>
      <c r="E757" s="12" t="s">
        <v>1781</v>
      </c>
      <c r="F757" s="12">
        <v>212</v>
      </c>
      <c r="G757" s="12">
        <v>101</v>
      </c>
      <c r="H757" s="12">
        <v>111</v>
      </c>
      <c r="I757" s="12">
        <v>41</v>
      </c>
      <c r="J757" s="12">
        <v>1488</v>
      </c>
      <c r="K757" s="12">
        <v>1720.71</v>
      </c>
      <c r="L757" s="12">
        <v>165168</v>
      </c>
      <c r="M757" s="12">
        <v>4</v>
      </c>
      <c r="N757" s="12">
        <v>9</v>
      </c>
      <c r="O757" s="12">
        <v>4.4000000000000004</v>
      </c>
      <c r="P757" s="14">
        <v>46050</v>
      </c>
      <c r="Q757" s="12" t="s">
        <v>1775</v>
      </c>
    </row>
    <row r="758" spans="1:17" x14ac:dyDescent="0.3">
      <c r="A758" s="12" t="s">
        <v>269</v>
      </c>
      <c r="B758" s="12" t="s">
        <v>270</v>
      </c>
      <c r="C758" s="12" t="s">
        <v>71</v>
      </c>
      <c r="D758" s="12" t="s">
        <v>1780</v>
      </c>
      <c r="E758" s="12" t="s">
        <v>1777</v>
      </c>
      <c r="F758" s="12">
        <v>162</v>
      </c>
      <c r="G758" s="12">
        <v>76</v>
      </c>
      <c r="H758" s="12">
        <v>86</v>
      </c>
      <c r="I758" s="12">
        <v>72</v>
      </c>
      <c r="J758" s="12">
        <v>18271</v>
      </c>
      <c r="K758" s="12">
        <v>24219.279999999999</v>
      </c>
      <c r="L758" s="12">
        <v>1571306</v>
      </c>
      <c r="M758" s="12">
        <v>0</v>
      </c>
      <c r="N758" s="12">
        <v>5</v>
      </c>
      <c r="O758" s="12">
        <v>4.5999999999999996</v>
      </c>
      <c r="P758" s="14">
        <v>46173</v>
      </c>
      <c r="Q758" s="12" t="s">
        <v>1775</v>
      </c>
    </row>
    <row r="759" spans="1:17" x14ac:dyDescent="0.3">
      <c r="A759" s="12" t="s">
        <v>824</v>
      </c>
      <c r="B759" s="12" t="s">
        <v>825</v>
      </c>
      <c r="C759" s="12" t="s">
        <v>71</v>
      </c>
      <c r="D759" s="12" t="s">
        <v>1776</v>
      </c>
      <c r="E759" s="12" t="s">
        <v>1774</v>
      </c>
      <c r="F759" s="12">
        <v>462</v>
      </c>
      <c r="G759" s="12">
        <v>155</v>
      </c>
      <c r="H759" s="12">
        <v>307</v>
      </c>
      <c r="I759" s="12">
        <v>48</v>
      </c>
      <c r="J759" s="12">
        <v>25076</v>
      </c>
      <c r="K759" s="12">
        <v>29367.85</v>
      </c>
      <c r="L759" s="12">
        <v>7698332</v>
      </c>
      <c r="M759" s="12">
        <v>4</v>
      </c>
      <c r="N759" s="12">
        <v>8</v>
      </c>
      <c r="O759" s="12">
        <v>3.9</v>
      </c>
      <c r="P759" s="14">
        <v>46108</v>
      </c>
      <c r="Q759" s="12" t="s">
        <v>1775</v>
      </c>
    </row>
    <row r="760" spans="1:17" x14ac:dyDescent="0.3">
      <c r="A760" s="12" t="s">
        <v>147</v>
      </c>
      <c r="B760" s="12" t="s">
        <v>148</v>
      </c>
      <c r="C760" s="12" t="s">
        <v>71</v>
      </c>
      <c r="D760" s="12" t="s">
        <v>1778</v>
      </c>
      <c r="E760" s="12" t="s">
        <v>1781</v>
      </c>
      <c r="F760" s="12">
        <v>169</v>
      </c>
      <c r="G760" s="12">
        <v>59</v>
      </c>
      <c r="H760" s="12">
        <v>110</v>
      </c>
      <c r="I760" s="12">
        <v>35</v>
      </c>
      <c r="J760" s="12">
        <v>7764</v>
      </c>
      <c r="K760" s="12">
        <v>10850.46</v>
      </c>
      <c r="L760" s="12">
        <v>854040</v>
      </c>
      <c r="M760" s="12">
        <v>2</v>
      </c>
      <c r="N760" s="12">
        <v>9</v>
      </c>
      <c r="O760" s="12">
        <v>4.9000000000000004</v>
      </c>
      <c r="P760" s="14">
        <v>46096</v>
      </c>
      <c r="Q760" s="12" t="s">
        <v>1775</v>
      </c>
    </row>
    <row r="761" spans="1:17" x14ac:dyDescent="0.3">
      <c r="A761" s="12" t="s">
        <v>180</v>
      </c>
      <c r="B761" s="12" t="s">
        <v>181</v>
      </c>
      <c r="C761" s="12" t="s">
        <v>54</v>
      </c>
      <c r="D761" s="12" t="s">
        <v>1773</v>
      </c>
      <c r="E761" s="12" t="s">
        <v>1774</v>
      </c>
      <c r="F761" s="12">
        <v>485</v>
      </c>
      <c r="G761" s="12">
        <v>311</v>
      </c>
      <c r="H761" s="12">
        <v>174</v>
      </c>
      <c r="I761" s="12">
        <v>38</v>
      </c>
      <c r="J761" s="12">
        <v>50260</v>
      </c>
      <c r="K761" s="12">
        <v>56878.26</v>
      </c>
      <c r="L761" s="12">
        <v>8745240</v>
      </c>
      <c r="M761" s="12">
        <v>3</v>
      </c>
      <c r="N761" s="12">
        <v>4</v>
      </c>
      <c r="O761" s="12">
        <v>4.3</v>
      </c>
      <c r="P761" s="14">
        <v>46167</v>
      </c>
      <c r="Q761" s="12" t="s">
        <v>1775</v>
      </c>
    </row>
    <row r="762" spans="1:17" x14ac:dyDescent="0.3">
      <c r="A762" s="12" t="s">
        <v>284</v>
      </c>
      <c r="B762" s="12" t="s">
        <v>285</v>
      </c>
      <c r="C762" s="12" t="s">
        <v>54</v>
      </c>
      <c r="D762" s="12" t="s">
        <v>1778</v>
      </c>
      <c r="E762" s="12" t="s">
        <v>1779</v>
      </c>
      <c r="F762" s="12">
        <v>196</v>
      </c>
      <c r="G762" s="12">
        <v>47</v>
      </c>
      <c r="H762" s="12">
        <v>149</v>
      </c>
      <c r="I762" s="12">
        <v>42</v>
      </c>
      <c r="J762" s="12">
        <v>25004</v>
      </c>
      <c r="K762" s="12">
        <v>31333.47</v>
      </c>
      <c r="L762" s="12">
        <v>3725596</v>
      </c>
      <c r="M762" s="12">
        <v>5</v>
      </c>
      <c r="N762" s="12">
        <v>12</v>
      </c>
      <c r="O762" s="12">
        <v>4.4000000000000004</v>
      </c>
      <c r="P762" s="14">
        <v>46068</v>
      </c>
      <c r="Q762" s="12" t="s">
        <v>1775</v>
      </c>
    </row>
    <row r="763" spans="1:17" x14ac:dyDescent="0.3">
      <c r="A763" s="12" t="s">
        <v>118</v>
      </c>
      <c r="B763" s="12" t="s">
        <v>119</v>
      </c>
      <c r="C763" s="12" t="s">
        <v>54</v>
      </c>
      <c r="D763" s="12" t="s">
        <v>1778</v>
      </c>
      <c r="E763" s="12" t="s">
        <v>1774</v>
      </c>
      <c r="F763" s="12">
        <v>391</v>
      </c>
      <c r="G763" s="12">
        <v>122</v>
      </c>
      <c r="H763" s="12">
        <v>269</v>
      </c>
      <c r="I763" s="12">
        <v>68</v>
      </c>
      <c r="J763" s="12">
        <v>6447</v>
      </c>
      <c r="K763" s="12">
        <v>8269.84</v>
      </c>
      <c r="L763" s="12">
        <v>1734243</v>
      </c>
      <c r="M763" s="12">
        <v>2</v>
      </c>
      <c r="N763" s="12">
        <v>5</v>
      </c>
      <c r="O763" s="12">
        <v>4.8</v>
      </c>
      <c r="P763" s="14">
        <v>46064</v>
      </c>
      <c r="Q763" s="12" t="s">
        <v>1775</v>
      </c>
    </row>
    <row r="764" spans="1:17" x14ac:dyDescent="0.3">
      <c r="A764" s="12" t="s">
        <v>217</v>
      </c>
      <c r="B764" s="12" t="s">
        <v>218</v>
      </c>
      <c r="C764" s="12" t="s">
        <v>54</v>
      </c>
      <c r="D764" s="12" t="s">
        <v>1778</v>
      </c>
      <c r="E764" s="12" t="s">
        <v>1774</v>
      </c>
      <c r="F764" s="12">
        <v>364</v>
      </c>
      <c r="G764" s="12">
        <v>132</v>
      </c>
      <c r="H764" s="12">
        <v>232</v>
      </c>
      <c r="I764" s="12">
        <v>58</v>
      </c>
      <c r="J764" s="12">
        <v>7423</v>
      </c>
      <c r="K764" s="12">
        <v>9331.08</v>
      </c>
      <c r="L764" s="12">
        <v>1722136</v>
      </c>
      <c r="M764" s="12">
        <v>4</v>
      </c>
      <c r="N764" s="12">
        <v>3</v>
      </c>
      <c r="O764" s="12">
        <v>4.5</v>
      </c>
      <c r="P764" s="14">
        <v>46173</v>
      </c>
      <c r="Q764" s="12" t="s">
        <v>1775</v>
      </c>
    </row>
    <row r="765" spans="1:17" x14ac:dyDescent="0.3">
      <c r="A765" s="12" t="s">
        <v>147</v>
      </c>
      <c r="B765" s="12" t="s">
        <v>148</v>
      </c>
      <c r="C765" s="12" t="s">
        <v>71</v>
      </c>
      <c r="D765" s="12" t="s">
        <v>1773</v>
      </c>
      <c r="E765" s="12" t="s">
        <v>1777</v>
      </c>
      <c r="F765" s="12">
        <v>276</v>
      </c>
      <c r="G765" s="12">
        <v>241</v>
      </c>
      <c r="H765" s="12">
        <v>35</v>
      </c>
      <c r="I765" s="12">
        <v>21</v>
      </c>
      <c r="J765" s="12">
        <v>59954</v>
      </c>
      <c r="K765" s="12">
        <v>80702.12</v>
      </c>
      <c r="L765" s="12">
        <v>2098390</v>
      </c>
      <c r="M765" s="12">
        <v>2</v>
      </c>
      <c r="N765" s="12">
        <v>5</v>
      </c>
      <c r="O765" s="12">
        <v>3.6</v>
      </c>
      <c r="P765" s="14">
        <v>46163</v>
      </c>
      <c r="Q765" s="12" t="s">
        <v>1775</v>
      </c>
    </row>
    <row r="766" spans="1:17" x14ac:dyDescent="0.3">
      <c r="A766" s="12" t="s">
        <v>1365</v>
      </c>
      <c r="B766" s="12" t="s">
        <v>1366</v>
      </c>
      <c r="C766" s="12" t="s">
        <v>54</v>
      </c>
      <c r="D766" s="12" t="s">
        <v>1780</v>
      </c>
      <c r="E766" s="12" t="s">
        <v>1779</v>
      </c>
      <c r="F766" s="12">
        <v>209</v>
      </c>
      <c r="G766" s="12">
        <v>50</v>
      </c>
      <c r="H766" s="12">
        <v>159</v>
      </c>
      <c r="I766" s="12">
        <v>44</v>
      </c>
      <c r="J766" s="12">
        <v>33858</v>
      </c>
      <c r="K766" s="12">
        <v>41969.77</v>
      </c>
      <c r="L766" s="12">
        <v>5383422</v>
      </c>
      <c r="M766" s="12">
        <v>3</v>
      </c>
      <c r="N766" s="12">
        <v>3</v>
      </c>
      <c r="O766" s="12">
        <v>4.4000000000000004</v>
      </c>
      <c r="P766" s="14">
        <v>46182</v>
      </c>
      <c r="Q766" s="12" t="s">
        <v>1775</v>
      </c>
    </row>
    <row r="767" spans="1:17" x14ac:dyDescent="0.3">
      <c r="A767" s="12" t="s">
        <v>147</v>
      </c>
      <c r="B767" s="12" t="s">
        <v>148</v>
      </c>
      <c r="C767" s="12" t="s">
        <v>71</v>
      </c>
      <c r="D767" s="12" t="s">
        <v>1778</v>
      </c>
      <c r="E767" s="12" t="s">
        <v>1779</v>
      </c>
      <c r="F767" s="12">
        <v>55</v>
      </c>
      <c r="G767" s="12">
        <v>12</v>
      </c>
      <c r="H767" s="12">
        <v>43</v>
      </c>
      <c r="I767" s="12">
        <v>80</v>
      </c>
      <c r="J767" s="12">
        <v>59554</v>
      </c>
      <c r="K767" s="12">
        <v>75741.81</v>
      </c>
      <c r="L767" s="12">
        <v>2560822</v>
      </c>
      <c r="M767" s="12">
        <v>1</v>
      </c>
      <c r="N767" s="12">
        <v>8</v>
      </c>
      <c r="O767" s="12">
        <v>4.5999999999999996</v>
      </c>
      <c r="P767" s="14">
        <v>46095</v>
      </c>
      <c r="Q767" s="12" t="s">
        <v>1782</v>
      </c>
    </row>
    <row r="768" spans="1:17" x14ac:dyDescent="0.3">
      <c r="A768" s="12" t="s">
        <v>85</v>
      </c>
      <c r="B768" s="12" t="s">
        <v>86</v>
      </c>
      <c r="C768" s="12" t="s">
        <v>71</v>
      </c>
      <c r="D768" s="12" t="s">
        <v>1780</v>
      </c>
      <c r="E768" s="12" t="s">
        <v>1777</v>
      </c>
      <c r="F768" s="12">
        <v>53</v>
      </c>
      <c r="G768" s="12">
        <v>26</v>
      </c>
      <c r="H768" s="12">
        <v>27</v>
      </c>
      <c r="I768" s="12">
        <v>49</v>
      </c>
      <c r="J768" s="12">
        <v>15069</v>
      </c>
      <c r="K768" s="12">
        <v>17642.07</v>
      </c>
      <c r="L768" s="12">
        <v>406863</v>
      </c>
      <c r="M768" s="12">
        <v>5</v>
      </c>
      <c r="N768" s="12">
        <v>3</v>
      </c>
      <c r="O768" s="12">
        <v>3.5</v>
      </c>
      <c r="P768" s="14">
        <v>46185</v>
      </c>
      <c r="Q768" s="12" t="s">
        <v>1782</v>
      </c>
    </row>
    <row r="769" spans="1:17" x14ac:dyDescent="0.3">
      <c r="A769" s="12" t="s">
        <v>210</v>
      </c>
      <c r="B769" s="12" t="s">
        <v>211</v>
      </c>
      <c r="C769" s="12" t="s">
        <v>102</v>
      </c>
      <c r="D769" s="12" t="s">
        <v>1780</v>
      </c>
      <c r="E769" s="12" t="s">
        <v>1779</v>
      </c>
      <c r="F769" s="12">
        <v>152</v>
      </c>
      <c r="G769" s="12">
        <v>149</v>
      </c>
      <c r="H769" s="12">
        <v>3</v>
      </c>
      <c r="I769" s="12">
        <v>51</v>
      </c>
      <c r="J769" s="12">
        <v>50535</v>
      </c>
      <c r="K769" s="12">
        <v>57918.62</v>
      </c>
      <c r="L769" s="12">
        <v>151605</v>
      </c>
      <c r="M769" s="12">
        <v>3</v>
      </c>
      <c r="N769" s="12">
        <v>13</v>
      </c>
      <c r="O769" s="12">
        <v>4.3</v>
      </c>
      <c r="P769" s="14">
        <v>46165</v>
      </c>
      <c r="Q769" s="12" t="s">
        <v>1782</v>
      </c>
    </row>
    <row r="770" spans="1:17" x14ac:dyDescent="0.3">
      <c r="A770" s="12" t="s">
        <v>553</v>
      </c>
      <c r="B770" s="12" t="s">
        <v>554</v>
      </c>
      <c r="C770" s="12" t="s">
        <v>54</v>
      </c>
      <c r="D770" s="12" t="s">
        <v>1778</v>
      </c>
      <c r="E770" s="12" t="s">
        <v>1774</v>
      </c>
      <c r="F770" s="12">
        <v>374</v>
      </c>
      <c r="G770" s="12">
        <v>222</v>
      </c>
      <c r="H770" s="12">
        <v>152</v>
      </c>
      <c r="I770" s="12">
        <v>68</v>
      </c>
      <c r="J770" s="12">
        <v>26075</v>
      </c>
      <c r="K770" s="12">
        <v>31243.38</v>
      </c>
      <c r="L770" s="12">
        <v>3963400</v>
      </c>
      <c r="M770" s="12">
        <v>3</v>
      </c>
      <c r="N770" s="12">
        <v>12</v>
      </c>
      <c r="O770" s="12">
        <v>4.5999999999999996</v>
      </c>
      <c r="P770" s="14">
        <v>46121</v>
      </c>
      <c r="Q770" s="12" t="s">
        <v>1775</v>
      </c>
    </row>
    <row r="771" spans="1:17" x14ac:dyDescent="0.3">
      <c r="A771" s="12" t="s">
        <v>106</v>
      </c>
      <c r="B771" s="12" t="s">
        <v>107</v>
      </c>
      <c r="C771" s="12" t="s">
        <v>30</v>
      </c>
      <c r="D771" s="12" t="s">
        <v>1776</v>
      </c>
      <c r="E771" s="12" t="s">
        <v>1777</v>
      </c>
      <c r="F771" s="12">
        <v>81</v>
      </c>
      <c r="G771" s="12">
        <v>37</v>
      </c>
      <c r="H771" s="12">
        <v>44</v>
      </c>
      <c r="I771" s="12">
        <v>48</v>
      </c>
      <c r="J771" s="12">
        <v>26223</v>
      </c>
      <c r="K771" s="12">
        <v>31799.61</v>
      </c>
      <c r="L771" s="12">
        <v>1153812</v>
      </c>
      <c r="M771" s="12">
        <v>1</v>
      </c>
      <c r="N771" s="12">
        <v>14</v>
      </c>
      <c r="O771" s="12">
        <v>4.4000000000000004</v>
      </c>
      <c r="P771" s="14">
        <v>46161</v>
      </c>
      <c r="Q771" s="12" t="s">
        <v>1782</v>
      </c>
    </row>
    <row r="772" spans="1:17" x14ac:dyDescent="0.3">
      <c r="A772" s="12" t="s">
        <v>135</v>
      </c>
      <c r="B772" s="12" t="s">
        <v>136</v>
      </c>
      <c r="C772" s="12" t="s">
        <v>30</v>
      </c>
      <c r="D772" s="12" t="s">
        <v>1780</v>
      </c>
      <c r="E772" s="12" t="s">
        <v>1779</v>
      </c>
      <c r="F772" s="12">
        <v>208</v>
      </c>
      <c r="G772" s="12">
        <v>123</v>
      </c>
      <c r="H772" s="12">
        <v>85</v>
      </c>
      <c r="I772" s="12">
        <v>28</v>
      </c>
      <c r="J772" s="12">
        <v>37574</v>
      </c>
      <c r="K772" s="12">
        <v>44263.32</v>
      </c>
      <c r="L772" s="12">
        <v>3193790</v>
      </c>
      <c r="M772" s="12">
        <v>3</v>
      </c>
      <c r="N772" s="12">
        <v>10</v>
      </c>
      <c r="O772" s="12">
        <v>4.9000000000000004</v>
      </c>
      <c r="P772" s="14">
        <v>46069</v>
      </c>
      <c r="Q772" s="12" t="s">
        <v>1775</v>
      </c>
    </row>
    <row r="773" spans="1:17" x14ac:dyDescent="0.3">
      <c r="A773" s="12" t="s">
        <v>312</v>
      </c>
      <c r="B773" s="12" t="s">
        <v>313</v>
      </c>
      <c r="C773" s="12" t="s">
        <v>54</v>
      </c>
      <c r="D773" s="12" t="s">
        <v>1778</v>
      </c>
      <c r="E773" s="12" t="s">
        <v>1777</v>
      </c>
      <c r="F773" s="12">
        <v>122</v>
      </c>
      <c r="G773" s="12">
        <v>93</v>
      </c>
      <c r="H773" s="12">
        <v>29</v>
      </c>
      <c r="I773" s="12">
        <v>20</v>
      </c>
      <c r="J773" s="12">
        <v>6390</v>
      </c>
      <c r="K773" s="12">
        <v>8287.7000000000007</v>
      </c>
      <c r="L773" s="12">
        <v>185310</v>
      </c>
      <c r="M773" s="12">
        <v>1</v>
      </c>
      <c r="N773" s="12">
        <v>2</v>
      </c>
      <c r="O773" s="12">
        <v>4.4000000000000004</v>
      </c>
      <c r="P773" s="14">
        <v>46028</v>
      </c>
      <c r="Q773" s="12" t="s">
        <v>1775</v>
      </c>
    </row>
    <row r="774" spans="1:17" x14ac:dyDescent="0.3">
      <c r="A774" s="12" t="s">
        <v>122</v>
      </c>
      <c r="B774" s="12" t="s">
        <v>123</v>
      </c>
      <c r="C774" s="12" t="s">
        <v>30</v>
      </c>
      <c r="D774" s="12" t="s">
        <v>1776</v>
      </c>
      <c r="E774" s="12" t="s">
        <v>1777</v>
      </c>
      <c r="F774" s="12">
        <v>436</v>
      </c>
      <c r="G774" s="12">
        <v>187</v>
      </c>
      <c r="H774" s="12">
        <v>249</v>
      </c>
      <c r="I774" s="12">
        <v>70</v>
      </c>
      <c r="J774" s="12">
        <v>20180</v>
      </c>
      <c r="K774" s="12">
        <v>26300.09</v>
      </c>
      <c r="L774" s="12">
        <v>5024820</v>
      </c>
      <c r="M774" s="12">
        <v>4</v>
      </c>
      <c r="N774" s="12">
        <v>10</v>
      </c>
      <c r="O774" s="12">
        <v>4.9000000000000004</v>
      </c>
      <c r="P774" s="14">
        <v>46144</v>
      </c>
      <c r="Q774" s="12" t="s">
        <v>1775</v>
      </c>
    </row>
    <row r="775" spans="1:17" x14ac:dyDescent="0.3">
      <c r="A775" s="12" t="s">
        <v>557</v>
      </c>
      <c r="B775" s="12" t="s">
        <v>558</v>
      </c>
      <c r="C775" s="12" t="s">
        <v>54</v>
      </c>
      <c r="D775" s="12" t="s">
        <v>1776</v>
      </c>
      <c r="E775" s="12" t="s">
        <v>1781</v>
      </c>
      <c r="F775" s="12">
        <v>88</v>
      </c>
      <c r="G775" s="12">
        <v>81</v>
      </c>
      <c r="H775" s="12">
        <v>7</v>
      </c>
      <c r="I775" s="12">
        <v>20</v>
      </c>
      <c r="J775" s="12">
        <v>57045</v>
      </c>
      <c r="K775" s="12">
        <v>75101.759999999995</v>
      </c>
      <c r="L775" s="12">
        <v>399315</v>
      </c>
      <c r="M775" s="12">
        <v>2</v>
      </c>
      <c r="N775" s="12">
        <v>9</v>
      </c>
      <c r="O775" s="12">
        <v>4.8</v>
      </c>
      <c r="P775" s="14">
        <v>46174</v>
      </c>
      <c r="Q775" s="12" t="s">
        <v>1782</v>
      </c>
    </row>
    <row r="776" spans="1:17" x14ac:dyDescent="0.3">
      <c r="A776" s="12" t="s">
        <v>122</v>
      </c>
      <c r="B776" s="12" t="s">
        <v>123</v>
      </c>
      <c r="C776" s="12" t="s">
        <v>30</v>
      </c>
      <c r="D776" s="12" t="s">
        <v>1780</v>
      </c>
      <c r="E776" s="12" t="s">
        <v>1779</v>
      </c>
      <c r="F776" s="12">
        <v>153</v>
      </c>
      <c r="G776" s="12">
        <v>21</v>
      </c>
      <c r="H776" s="12">
        <v>132</v>
      </c>
      <c r="I776" s="12">
        <v>29</v>
      </c>
      <c r="J776" s="12">
        <v>4659</v>
      </c>
      <c r="K776" s="12">
        <v>5733.08</v>
      </c>
      <c r="L776" s="12">
        <v>614988</v>
      </c>
      <c r="M776" s="12">
        <v>2</v>
      </c>
      <c r="N776" s="12">
        <v>3</v>
      </c>
      <c r="O776" s="12">
        <v>4.9000000000000004</v>
      </c>
      <c r="P776" s="14">
        <v>46056</v>
      </c>
      <c r="Q776" s="12" t="s">
        <v>1775</v>
      </c>
    </row>
    <row r="777" spans="1:17" x14ac:dyDescent="0.3">
      <c r="A777" s="12" t="s">
        <v>816</v>
      </c>
      <c r="B777" s="12" t="s">
        <v>817</v>
      </c>
      <c r="C777" s="12" t="s">
        <v>54</v>
      </c>
      <c r="D777" s="12" t="s">
        <v>1773</v>
      </c>
      <c r="E777" s="12" t="s">
        <v>1774</v>
      </c>
      <c r="F777" s="12">
        <v>406</v>
      </c>
      <c r="G777" s="12">
        <v>242</v>
      </c>
      <c r="H777" s="12">
        <v>164</v>
      </c>
      <c r="I777" s="12">
        <v>73</v>
      </c>
      <c r="J777" s="12">
        <v>27273</v>
      </c>
      <c r="K777" s="12">
        <v>31357.57</v>
      </c>
      <c r="L777" s="12">
        <v>4472772</v>
      </c>
      <c r="M777" s="12">
        <v>0</v>
      </c>
      <c r="N777" s="12">
        <v>5</v>
      </c>
      <c r="O777" s="12">
        <v>4.3</v>
      </c>
      <c r="P777" s="14">
        <v>46157</v>
      </c>
      <c r="Q777" s="12" t="s">
        <v>1775</v>
      </c>
    </row>
    <row r="778" spans="1:17" x14ac:dyDescent="0.3">
      <c r="A778" s="12" t="s">
        <v>79</v>
      </c>
      <c r="B778" s="12" t="s">
        <v>80</v>
      </c>
      <c r="C778" s="12" t="s">
        <v>71</v>
      </c>
      <c r="D778" s="12" t="s">
        <v>1780</v>
      </c>
      <c r="E778" s="12" t="s">
        <v>1777</v>
      </c>
      <c r="F778" s="12">
        <v>348</v>
      </c>
      <c r="G778" s="12">
        <v>103</v>
      </c>
      <c r="H778" s="12">
        <v>245</v>
      </c>
      <c r="I778" s="12">
        <v>79</v>
      </c>
      <c r="J778" s="12">
        <v>25452</v>
      </c>
      <c r="K778" s="12">
        <v>33140.400000000001</v>
      </c>
      <c r="L778" s="12">
        <v>6235740</v>
      </c>
      <c r="M778" s="12">
        <v>2</v>
      </c>
      <c r="N778" s="12">
        <v>9</v>
      </c>
      <c r="O778" s="12">
        <v>3.9</v>
      </c>
      <c r="P778" s="14">
        <v>46093</v>
      </c>
      <c r="Q778" s="12" t="s">
        <v>1775</v>
      </c>
    </row>
    <row r="779" spans="1:17" x14ac:dyDescent="0.3">
      <c r="A779" s="12" t="s">
        <v>100</v>
      </c>
      <c r="B779" s="12" t="s">
        <v>101</v>
      </c>
      <c r="C779" s="12" t="s">
        <v>102</v>
      </c>
      <c r="D779" s="12" t="s">
        <v>1778</v>
      </c>
      <c r="E779" s="12" t="s">
        <v>1777</v>
      </c>
      <c r="F779" s="12">
        <v>289</v>
      </c>
      <c r="G779" s="12">
        <v>53</v>
      </c>
      <c r="H779" s="12">
        <v>236</v>
      </c>
      <c r="I779" s="12">
        <v>39</v>
      </c>
      <c r="J779" s="12">
        <v>16259</v>
      </c>
      <c r="K779" s="12">
        <v>20964.82</v>
      </c>
      <c r="L779" s="12">
        <v>3837124</v>
      </c>
      <c r="M779" s="12">
        <v>5</v>
      </c>
      <c r="N779" s="12">
        <v>3</v>
      </c>
      <c r="O779" s="12">
        <v>5</v>
      </c>
      <c r="P779" s="14">
        <v>46187</v>
      </c>
      <c r="Q779" s="12" t="s">
        <v>1775</v>
      </c>
    </row>
    <row r="780" spans="1:17" x14ac:dyDescent="0.3">
      <c r="A780" s="12" t="s">
        <v>213</v>
      </c>
      <c r="B780" s="12" t="s">
        <v>214</v>
      </c>
      <c r="C780" s="12" t="s">
        <v>54</v>
      </c>
      <c r="D780" s="12" t="s">
        <v>1773</v>
      </c>
      <c r="E780" s="12" t="s">
        <v>1781</v>
      </c>
      <c r="F780" s="12">
        <v>358</v>
      </c>
      <c r="G780" s="12">
        <v>46</v>
      </c>
      <c r="H780" s="12">
        <v>312</v>
      </c>
      <c r="I780" s="12">
        <v>27</v>
      </c>
      <c r="J780" s="12">
        <v>22686</v>
      </c>
      <c r="K780" s="12">
        <v>25793.94</v>
      </c>
      <c r="L780" s="12">
        <v>7078032</v>
      </c>
      <c r="M780" s="12">
        <v>0</v>
      </c>
      <c r="N780" s="12">
        <v>14</v>
      </c>
      <c r="O780" s="12">
        <v>3.5</v>
      </c>
      <c r="P780" s="14">
        <v>46166</v>
      </c>
      <c r="Q780" s="12" t="s">
        <v>1775</v>
      </c>
    </row>
    <row r="781" spans="1:17" x14ac:dyDescent="0.3">
      <c r="A781" s="12" t="s">
        <v>135</v>
      </c>
      <c r="B781" s="12" t="s">
        <v>136</v>
      </c>
      <c r="C781" s="12" t="s">
        <v>30</v>
      </c>
      <c r="D781" s="12" t="s">
        <v>1773</v>
      </c>
      <c r="E781" s="12" t="s">
        <v>1781</v>
      </c>
      <c r="F781" s="12">
        <v>85</v>
      </c>
      <c r="G781" s="12">
        <v>52</v>
      </c>
      <c r="H781" s="12">
        <v>33</v>
      </c>
      <c r="I781" s="12">
        <v>56</v>
      </c>
      <c r="J781" s="12">
        <v>58481</v>
      </c>
      <c r="K781" s="12">
        <v>70434.880000000005</v>
      </c>
      <c r="L781" s="12">
        <v>1929873</v>
      </c>
      <c r="M781" s="12">
        <v>2</v>
      </c>
      <c r="N781" s="12">
        <v>7</v>
      </c>
      <c r="O781" s="12">
        <v>3.9</v>
      </c>
      <c r="P781" s="14">
        <v>46066</v>
      </c>
      <c r="Q781" s="12" t="s">
        <v>1782</v>
      </c>
    </row>
    <row r="782" spans="1:17" x14ac:dyDescent="0.3">
      <c r="A782" s="12" t="s">
        <v>160</v>
      </c>
      <c r="B782" s="12" t="s">
        <v>161</v>
      </c>
      <c r="C782" s="12" t="s">
        <v>102</v>
      </c>
      <c r="D782" s="12" t="s">
        <v>1780</v>
      </c>
      <c r="E782" s="12" t="s">
        <v>1781</v>
      </c>
      <c r="F782" s="12">
        <v>194</v>
      </c>
      <c r="G782" s="12">
        <v>85</v>
      </c>
      <c r="H782" s="12">
        <v>109</v>
      </c>
      <c r="I782" s="12">
        <v>60</v>
      </c>
      <c r="J782" s="12">
        <v>10827</v>
      </c>
      <c r="K782" s="12">
        <v>14971.4</v>
      </c>
      <c r="L782" s="12">
        <v>1180143</v>
      </c>
      <c r="M782" s="12">
        <v>3</v>
      </c>
      <c r="N782" s="12">
        <v>11</v>
      </c>
      <c r="O782" s="12">
        <v>4.0999999999999996</v>
      </c>
      <c r="P782" s="14">
        <v>46126</v>
      </c>
      <c r="Q782" s="12" t="s">
        <v>1775</v>
      </c>
    </row>
    <row r="783" spans="1:17" x14ac:dyDescent="0.3">
      <c r="A783" s="12" t="s">
        <v>231</v>
      </c>
      <c r="B783" s="12" t="s">
        <v>232</v>
      </c>
      <c r="C783" s="12" t="s">
        <v>54</v>
      </c>
      <c r="D783" s="12" t="s">
        <v>1776</v>
      </c>
      <c r="E783" s="12" t="s">
        <v>1777</v>
      </c>
      <c r="F783" s="12">
        <v>474</v>
      </c>
      <c r="G783" s="12">
        <v>390</v>
      </c>
      <c r="H783" s="12">
        <v>84</v>
      </c>
      <c r="I783" s="12">
        <v>70</v>
      </c>
      <c r="J783" s="12">
        <v>6048</v>
      </c>
      <c r="K783" s="12">
        <v>7680.28</v>
      </c>
      <c r="L783" s="12">
        <v>508032</v>
      </c>
      <c r="M783" s="12">
        <v>2</v>
      </c>
      <c r="N783" s="12">
        <v>9</v>
      </c>
      <c r="O783" s="12">
        <v>3.7</v>
      </c>
      <c r="P783" s="14">
        <v>46192</v>
      </c>
      <c r="Q783" s="12" t="s">
        <v>1775</v>
      </c>
    </row>
    <row r="784" spans="1:17" x14ac:dyDescent="0.3">
      <c r="A784" s="12" t="s">
        <v>374</v>
      </c>
      <c r="B784" s="12" t="s">
        <v>375</v>
      </c>
      <c r="C784" s="12" t="s">
        <v>54</v>
      </c>
      <c r="D784" s="12" t="s">
        <v>1780</v>
      </c>
      <c r="E784" s="12" t="s">
        <v>1781</v>
      </c>
      <c r="F784" s="12">
        <v>152</v>
      </c>
      <c r="G784" s="12">
        <v>51</v>
      </c>
      <c r="H784" s="12">
        <v>101</v>
      </c>
      <c r="I784" s="12">
        <v>64</v>
      </c>
      <c r="J784" s="12">
        <v>14318</v>
      </c>
      <c r="K784" s="12">
        <v>18985.16</v>
      </c>
      <c r="L784" s="12">
        <v>1446118</v>
      </c>
      <c r="M784" s="12">
        <v>5</v>
      </c>
      <c r="N784" s="12">
        <v>6</v>
      </c>
      <c r="O784" s="12">
        <v>4.2</v>
      </c>
      <c r="P784" s="14">
        <v>46040</v>
      </c>
      <c r="Q784" s="12" t="s">
        <v>1775</v>
      </c>
    </row>
    <row r="785" spans="1:17" x14ac:dyDescent="0.3">
      <c r="A785" s="12" t="s">
        <v>69</v>
      </c>
      <c r="B785" s="12" t="s">
        <v>70</v>
      </c>
      <c r="C785" s="12" t="s">
        <v>71</v>
      </c>
      <c r="D785" s="12" t="s">
        <v>1773</v>
      </c>
      <c r="E785" s="12" t="s">
        <v>1774</v>
      </c>
      <c r="F785" s="12">
        <v>83</v>
      </c>
      <c r="G785" s="12">
        <v>27</v>
      </c>
      <c r="H785" s="12">
        <v>56</v>
      </c>
      <c r="I785" s="12">
        <v>41</v>
      </c>
      <c r="J785" s="12">
        <v>26354</v>
      </c>
      <c r="K785" s="12">
        <v>31473.74</v>
      </c>
      <c r="L785" s="12">
        <v>1475824</v>
      </c>
      <c r="M785" s="12">
        <v>2</v>
      </c>
      <c r="N785" s="12">
        <v>8</v>
      </c>
      <c r="O785" s="12">
        <v>3.7</v>
      </c>
      <c r="P785" s="14">
        <v>46191</v>
      </c>
      <c r="Q785" s="12" t="s">
        <v>1775</v>
      </c>
    </row>
    <row r="786" spans="1:17" x14ac:dyDescent="0.3">
      <c r="A786" s="12" t="s">
        <v>245</v>
      </c>
      <c r="B786" s="12" t="s">
        <v>246</v>
      </c>
      <c r="C786" s="12" t="s">
        <v>54</v>
      </c>
      <c r="D786" s="12" t="s">
        <v>1773</v>
      </c>
      <c r="E786" s="12" t="s">
        <v>1774</v>
      </c>
      <c r="F786" s="12">
        <v>464</v>
      </c>
      <c r="G786" s="12">
        <v>273</v>
      </c>
      <c r="H786" s="12">
        <v>191</v>
      </c>
      <c r="I786" s="12">
        <v>53</v>
      </c>
      <c r="J786" s="12">
        <v>35437</v>
      </c>
      <c r="K786" s="12">
        <v>43509</v>
      </c>
      <c r="L786" s="12">
        <v>6768467</v>
      </c>
      <c r="M786" s="12">
        <v>5</v>
      </c>
      <c r="N786" s="12">
        <v>15</v>
      </c>
      <c r="O786" s="12">
        <v>3.6</v>
      </c>
      <c r="P786" s="14">
        <v>46072</v>
      </c>
      <c r="Q786" s="12" t="s">
        <v>1775</v>
      </c>
    </row>
    <row r="787" spans="1:17" x14ac:dyDescent="0.3">
      <c r="A787" s="12" t="s">
        <v>176</v>
      </c>
      <c r="B787" s="12" t="s">
        <v>177</v>
      </c>
      <c r="C787" s="12" t="s">
        <v>54</v>
      </c>
      <c r="D787" s="12" t="s">
        <v>1778</v>
      </c>
      <c r="E787" s="12" t="s">
        <v>1779</v>
      </c>
      <c r="F787" s="12">
        <v>386</v>
      </c>
      <c r="G787" s="12">
        <v>42</v>
      </c>
      <c r="H787" s="12">
        <v>344</v>
      </c>
      <c r="I787" s="12">
        <v>75</v>
      </c>
      <c r="J787" s="12">
        <v>12701</v>
      </c>
      <c r="K787" s="12">
        <v>17437.66</v>
      </c>
      <c r="L787" s="12">
        <v>4369144</v>
      </c>
      <c r="M787" s="12">
        <v>1</v>
      </c>
      <c r="N787" s="12">
        <v>9</v>
      </c>
      <c r="O787" s="12">
        <v>4.5</v>
      </c>
      <c r="P787" s="14">
        <v>46167</v>
      </c>
      <c r="Q787" s="12" t="s">
        <v>1775</v>
      </c>
    </row>
    <row r="788" spans="1:17" x14ac:dyDescent="0.3">
      <c r="A788" s="12" t="s">
        <v>411</v>
      </c>
      <c r="B788" s="12" t="s">
        <v>412</v>
      </c>
      <c r="C788" s="12" t="s">
        <v>54</v>
      </c>
      <c r="D788" s="12" t="s">
        <v>1778</v>
      </c>
      <c r="E788" s="12" t="s">
        <v>1777</v>
      </c>
      <c r="F788" s="12">
        <v>205</v>
      </c>
      <c r="G788" s="12">
        <v>117</v>
      </c>
      <c r="H788" s="12">
        <v>88</v>
      </c>
      <c r="I788" s="12">
        <v>63</v>
      </c>
      <c r="J788" s="12">
        <v>58636</v>
      </c>
      <c r="K788" s="12">
        <v>69292.86</v>
      </c>
      <c r="L788" s="12">
        <v>5159968</v>
      </c>
      <c r="M788" s="12">
        <v>0</v>
      </c>
      <c r="N788" s="12">
        <v>11</v>
      </c>
      <c r="O788" s="12">
        <v>4.4000000000000004</v>
      </c>
      <c r="P788" s="14">
        <v>46151</v>
      </c>
      <c r="Q788" s="12" t="s">
        <v>1775</v>
      </c>
    </row>
    <row r="789" spans="1:17" x14ac:dyDescent="0.3">
      <c r="A789" s="12" t="s">
        <v>367</v>
      </c>
      <c r="B789" s="12" t="s">
        <v>368</v>
      </c>
      <c r="C789" s="12" t="s">
        <v>71</v>
      </c>
      <c r="D789" s="12" t="s">
        <v>1773</v>
      </c>
      <c r="E789" s="12" t="s">
        <v>1781</v>
      </c>
      <c r="F789" s="12">
        <v>246</v>
      </c>
      <c r="G789" s="12">
        <v>24</v>
      </c>
      <c r="H789" s="12">
        <v>222</v>
      </c>
      <c r="I789" s="12">
        <v>52</v>
      </c>
      <c r="J789" s="12">
        <v>53597</v>
      </c>
      <c r="K789" s="12">
        <v>60172.42</v>
      </c>
      <c r="L789" s="12">
        <v>11898534</v>
      </c>
      <c r="M789" s="12">
        <v>3</v>
      </c>
      <c r="N789" s="12">
        <v>3</v>
      </c>
      <c r="O789" s="12">
        <v>4.3</v>
      </c>
      <c r="P789" s="14">
        <v>46136</v>
      </c>
      <c r="Q789" s="12" t="s">
        <v>1775</v>
      </c>
    </row>
    <row r="790" spans="1:17" x14ac:dyDescent="0.3">
      <c r="A790" s="12" t="s">
        <v>411</v>
      </c>
      <c r="B790" s="12" t="s">
        <v>412</v>
      </c>
      <c r="C790" s="12" t="s">
        <v>54</v>
      </c>
      <c r="D790" s="12" t="s">
        <v>1778</v>
      </c>
      <c r="E790" s="12" t="s">
        <v>1777</v>
      </c>
      <c r="F790" s="12">
        <v>497</v>
      </c>
      <c r="G790" s="12">
        <v>345</v>
      </c>
      <c r="H790" s="12">
        <v>152</v>
      </c>
      <c r="I790" s="12">
        <v>68</v>
      </c>
      <c r="J790" s="12">
        <v>24893</v>
      </c>
      <c r="K790" s="12">
        <v>31767.58</v>
      </c>
      <c r="L790" s="12">
        <v>3783736</v>
      </c>
      <c r="M790" s="12">
        <v>0</v>
      </c>
      <c r="N790" s="12">
        <v>13</v>
      </c>
      <c r="O790" s="12">
        <v>4.9000000000000004</v>
      </c>
      <c r="P790" s="14">
        <v>46141</v>
      </c>
      <c r="Q790" s="12" t="s">
        <v>1775</v>
      </c>
    </row>
    <row r="791" spans="1:17" x14ac:dyDescent="0.3">
      <c r="A791" s="12" t="s">
        <v>374</v>
      </c>
      <c r="B791" s="12" t="s">
        <v>375</v>
      </c>
      <c r="C791" s="12" t="s">
        <v>54</v>
      </c>
      <c r="D791" s="12" t="s">
        <v>1773</v>
      </c>
      <c r="E791" s="12" t="s">
        <v>1774</v>
      </c>
      <c r="F791" s="12">
        <v>194</v>
      </c>
      <c r="G791" s="12">
        <v>78</v>
      </c>
      <c r="H791" s="12">
        <v>116</v>
      </c>
      <c r="I791" s="12">
        <v>49</v>
      </c>
      <c r="J791" s="12">
        <v>27526</v>
      </c>
      <c r="K791" s="12">
        <v>36862.03</v>
      </c>
      <c r="L791" s="12">
        <v>3193016</v>
      </c>
      <c r="M791" s="12">
        <v>1</v>
      </c>
      <c r="N791" s="12">
        <v>9</v>
      </c>
      <c r="O791" s="12">
        <v>4.2</v>
      </c>
      <c r="P791" s="14">
        <v>46137</v>
      </c>
      <c r="Q791" s="12" t="s">
        <v>1775</v>
      </c>
    </row>
    <row r="792" spans="1:17" x14ac:dyDescent="0.3">
      <c r="A792" s="12" t="s">
        <v>342</v>
      </c>
      <c r="B792" s="12" t="s">
        <v>343</v>
      </c>
      <c r="C792" s="12" t="s">
        <v>54</v>
      </c>
      <c r="D792" s="12" t="s">
        <v>1776</v>
      </c>
      <c r="E792" s="12" t="s">
        <v>1777</v>
      </c>
      <c r="F792" s="12">
        <v>353</v>
      </c>
      <c r="G792" s="12">
        <v>126</v>
      </c>
      <c r="H792" s="12">
        <v>227</v>
      </c>
      <c r="I792" s="12">
        <v>60</v>
      </c>
      <c r="J792" s="12">
        <v>58670</v>
      </c>
      <c r="K792" s="12">
        <v>75715.839999999997</v>
      </c>
      <c r="L792" s="12">
        <v>13318090</v>
      </c>
      <c r="M792" s="12">
        <v>1</v>
      </c>
      <c r="N792" s="12">
        <v>11</v>
      </c>
      <c r="O792" s="12">
        <v>4.3</v>
      </c>
      <c r="P792" s="14">
        <v>46132</v>
      </c>
      <c r="Q792" s="12" t="s">
        <v>1775</v>
      </c>
    </row>
    <row r="793" spans="1:17" x14ac:dyDescent="0.3">
      <c r="A793" s="12" t="s">
        <v>118</v>
      </c>
      <c r="B793" s="12" t="s">
        <v>119</v>
      </c>
      <c r="C793" s="12" t="s">
        <v>54</v>
      </c>
      <c r="D793" s="12" t="s">
        <v>1780</v>
      </c>
      <c r="E793" s="12" t="s">
        <v>1779</v>
      </c>
      <c r="F793" s="12">
        <v>405</v>
      </c>
      <c r="G793" s="12">
        <v>215</v>
      </c>
      <c r="H793" s="12">
        <v>190</v>
      </c>
      <c r="I793" s="12">
        <v>53</v>
      </c>
      <c r="J793" s="12">
        <v>49734</v>
      </c>
      <c r="K793" s="12">
        <v>58910.13</v>
      </c>
      <c r="L793" s="12">
        <v>9449460</v>
      </c>
      <c r="M793" s="12">
        <v>1</v>
      </c>
      <c r="N793" s="12">
        <v>4</v>
      </c>
      <c r="O793" s="12">
        <v>4</v>
      </c>
      <c r="P793" s="14">
        <v>46106</v>
      </c>
      <c r="Q793" s="12" t="s">
        <v>1775</v>
      </c>
    </row>
    <row r="794" spans="1:17" x14ac:dyDescent="0.3">
      <c r="A794" s="12" t="s">
        <v>95</v>
      </c>
      <c r="B794" s="12" t="s">
        <v>96</v>
      </c>
      <c r="C794" s="12" t="s">
        <v>54</v>
      </c>
      <c r="D794" s="12" t="s">
        <v>1780</v>
      </c>
      <c r="E794" s="12" t="s">
        <v>1777</v>
      </c>
      <c r="F794" s="12">
        <v>260</v>
      </c>
      <c r="G794" s="12">
        <v>189</v>
      </c>
      <c r="H794" s="12">
        <v>71</v>
      </c>
      <c r="I794" s="12">
        <v>68</v>
      </c>
      <c r="J794" s="12">
        <v>18198</v>
      </c>
      <c r="K794" s="12">
        <v>21528.84</v>
      </c>
      <c r="L794" s="12">
        <v>1292058</v>
      </c>
      <c r="M794" s="12">
        <v>0</v>
      </c>
      <c r="N794" s="12">
        <v>10</v>
      </c>
      <c r="O794" s="12">
        <v>4.2</v>
      </c>
      <c r="P794" s="14">
        <v>46105</v>
      </c>
      <c r="Q794" s="12" t="s">
        <v>1775</v>
      </c>
    </row>
    <row r="795" spans="1:17" x14ac:dyDescent="0.3">
      <c r="A795" s="12" t="s">
        <v>312</v>
      </c>
      <c r="B795" s="12" t="s">
        <v>313</v>
      </c>
      <c r="C795" s="12" t="s">
        <v>54</v>
      </c>
      <c r="D795" s="12" t="s">
        <v>1776</v>
      </c>
      <c r="E795" s="12" t="s">
        <v>1779</v>
      </c>
      <c r="F795" s="12">
        <v>375</v>
      </c>
      <c r="G795" s="12">
        <v>358</v>
      </c>
      <c r="H795" s="12">
        <v>17</v>
      </c>
      <c r="I795" s="12">
        <v>77</v>
      </c>
      <c r="J795" s="12">
        <v>23727</v>
      </c>
      <c r="K795" s="12">
        <v>26874.95</v>
      </c>
      <c r="L795" s="12">
        <v>403359</v>
      </c>
      <c r="M795" s="12">
        <v>2</v>
      </c>
      <c r="N795" s="12">
        <v>4</v>
      </c>
      <c r="O795" s="12">
        <v>4.5999999999999996</v>
      </c>
      <c r="P795" s="14">
        <v>46158</v>
      </c>
      <c r="Q795" s="12" t="s">
        <v>1782</v>
      </c>
    </row>
    <row r="796" spans="1:17" x14ac:dyDescent="0.3">
      <c r="A796" s="12" t="s">
        <v>184</v>
      </c>
      <c r="B796" s="12" t="s">
        <v>185</v>
      </c>
      <c r="C796" s="12" t="s">
        <v>102</v>
      </c>
      <c r="D796" s="12" t="s">
        <v>1773</v>
      </c>
      <c r="E796" s="12" t="s">
        <v>1781</v>
      </c>
      <c r="F796" s="12">
        <v>230</v>
      </c>
      <c r="G796" s="12">
        <v>120</v>
      </c>
      <c r="H796" s="12">
        <v>110</v>
      </c>
      <c r="I796" s="12">
        <v>27</v>
      </c>
      <c r="J796" s="12">
        <v>55986</v>
      </c>
      <c r="K796" s="12">
        <v>70683.009999999995</v>
      </c>
      <c r="L796" s="12">
        <v>6158460</v>
      </c>
      <c r="M796" s="12">
        <v>4</v>
      </c>
      <c r="N796" s="12">
        <v>6</v>
      </c>
      <c r="O796" s="12">
        <v>4.5</v>
      </c>
      <c r="P796" s="14">
        <v>46184</v>
      </c>
      <c r="Q796" s="12" t="s">
        <v>1775</v>
      </c>
    </row>
    <row r="797" spans="1:17" x14ac:dyDescent="0.3">
      <c r="A797" s="12" t="s">
        <v>69</v>
      </c>
      <c r="B797" s="12" t="s">
        <v>70</v>
      </c>
      <c r="C797" s="12" t="s">
        <v>71</v>
      </c>
      <c r="D797" s="12" t="s">
        <v>1773</v>
      </c>
      <c r="E797" s="12" t="s">
        <v>1779</v>
      </c>
      <c r="F797" s="12">
        <v>275</v>
      </c>
      <c r="G797" s="12">
        <v>217</v>
      </c>
      <c r="H797" s="12">
        <v>58</v>
      </c>
      <c r="I797" s="12">
        <v>75</v>
      </c>
      <c r="J797" s="12">
        <v>31204</v>
      </c>
      <c r="K797" s="12">
        <v>40341.199999999997</v>
      </c>
      <c r="L797" s="12">
        <v>1809832</v>
      </c>
      <c r="M797" s="12">
        <v>2</v>
      </c>
      <c r="N797" s="12">
        <v>12</v>
      </c>
      <c r="O797" s="12">
        <v>4.9000000000000004</v>
      </c>
      <c r="P797" s="14">
        <v>46193</v>
      </c>
      <c r="Q797" s="12" t="s">
        <v>1782</v>
      </c>
    </row>
    <row r="798" spans="1:17" x14ac:dyDescent="0.3">
      <c r="A798" s="12" t="s">
        <v>69</v>
      </c>
      <c r="B798" s="12" t="s">
        <v>70</v>
      </c>
      <c r="C798" s="12" t="s">
        <v>71</v>
      </c>
      <c r="D798" s="12" t="s">
        <v>1780</v>
      </c>
      <c r="E798" s="12" t="s">
        <v>1779</v>
      </c>
      <c r="F798" s="12">
        <v>313</v>
      </c>
      <c r="G798" s="12">
        <v>116</v>
      </c>
      <c r="H798" s="12">
        <v>197</v>
      </c>
      <c r="I798" s="12">
        <v>45</v>
      </c>
      <c r="J798" s="12">
        <v>55326</v>
      </c>
      <c r="K798" s="12">
        <v>60971.53</v>
      </c>
      <c r="L798" s="12">
        <v>10899222</v>
      </c>
      <c r="M798" s="12">
        <v>4</v>
      </c>
      <c r="N798" s="12">
        <v>9</v>
      </c>
      <c r="O798" s="12">
        <v>4.8</v>
      </c>
      <c r="P798" s="14">
        <v>46171</v>
      </c>
      <c r="Q798" s="12" t="s">
        <v>1775</v>
      </c>
    </row>
    <row r="799" spans="1:17" x14ac:dyDescent="0.3">
      <c r="A799" s="12" t="s">
        <v>284</v>
      </c>
      <c r="B799" s="12" t="s">
        <v>285</v>
      </c>
      <c r="C799" s="12" t="s">
        <v>54</v>
      </c>
      <c r="D799" s="12" t="s">
        <v>1780</v>
      </c>
      <c r="E799" s="12" t="s">
        <v>1779</v>
      </c>
      <c r="F799" s="12">
        <v>75</v>
      </c>
      <c r="G799" s="12">
        <v>40</v>
      </c>
      <c r="H799" s="12">
        <v>35</v>
      </c>
      <c r="I799" s="12">
        <v>34</v>
      </c>
      <c r="J799" s="12">
        <v>23551</v>
      </c>
      <c r="K799" s="12">
        <v>28033.77</v>
      </c>
      <c r="L799" s="12">
        <v>824285</v>
      </c>
      <c r="M799" s="12">
        <v>4</v>
      </c>
      <c r="N799" s="12">
        <v>8</v>
      </c>
      <c r="O799" s="12">
        <v>4.0999999999999996</v>
      </c>
      <c r="P799" s="14">
        <v>46182</v>
      </c>
      <c r="Q799" s="12" t="s">
        <v>1775</v>
      </c>
    </row>
    <row r="800" spans="1:17" x14ac:dyDescent="0.3">
      <c r="A800" s="12" t="s">
        <v>193</v>
      </c>
      <c r="B800" s="12" t="s">
        <v>194</v>
      </c>
      <c r="C800" s="12" t="s">
        <v>71</v>
      </c>
      <c r="D800" s="12" t="s">
        <v>1778</v>
      </c>
      <c r="E800" s="12" t="s">
        <v>1777</v>
      </c>
      <c r="F800" s="12">
        <v>220</v>
      </c>
      <c r="G800" s="12">
        <v>43</v>
      </c>
      <c r="H800" s="12">
        <v>177</v>
      </c>
      <c r="I800" s="12">
        <v>58</v>
      </c>
      <c r="J800" s="12">
        <v>7334</v>
      </c>
      <c r="K800" s="12">
        <v>8361.98</v>
      </c>
      <c r="L800" s="12">
        <v>1298118</v>
      </c>
      <c r="M800" s="12">
        <v>0</v>
      </c>
      <c r="N800" s="12">
        <v>15</v>
      </c>
      <c r="O800" s="12">
        <v>4.5</v>
      </c>
      <c r="P800" s="14">
        <v>46166</v>
      </c>
      <c r="Q800" s="12" t="s">
        <v>1775</v>
      </c>
    </row>
    <row r="801" spans="1:17" x14ac:dyDescent="0.3">
      <c r="A801" s="12" t="s">
        <v>306</v>
      </c>
      <c r="B801" s="12" t="s">
        <v>307</v>
      </c>
      <c r="C801" s="12" t="s">
        <v>71</v>
      </c>
      <c r="D801" s="12" t="s">
        <v>1776</v>
      </c>
      <c r="E801" s="12" t="s">
        <v>1779</v>
      </c>
      <c r="F801" s="12">
        <v>84</v>
      </c>
      <c r="G801" s="12">
        <v>53</v>
      </c>
      <c r="H801" s="12">
        <v>31</v>
      </c>
      <c r="I801" s="12">
        <v>42</v>
      </c>
      <c r="J801" s="12">
        <v>59576</v>
      </c>
      <c r="K801" s="12">
        <v>67494.039999999994</v>
      </c>
      <c r="L801" s="12">
        <v>1846856</v>
      </c>
      <c r="M801" s="12">
        <v>0</v>
      </c>
      <c r="N801" s="12">
        <v>15</v>
      </c>
      <c r="O801" s="12">
        <v>3.9</v>
      </c>
      <c r="P801" s="14">
        <v>46169</v>
      </c>
      <c r="Q801" s="12" t="s">
        <v>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D07F-F922-44D4-8508-238639B7DD91}">
  <dimension ref="A1:P6"/>
  <sheetViews>
    <sheetView showGridLines="0" zoomScale="69" zoomScaleNormal="90" workbookViewId="0">
      <selection activeCell="B13" sqref="B13"/>
    </sheetView>
  </sheetViews>
  <sheetFormatPr defaultColWidth="15.77734375" defaultRowHeight="15" customHeight="1" x14ac:dyDescent="0.3"/>
  <sheetData>
    <row r="1" spans="1:16" s="11" customFormat="1" ht="15" customHeight="1" x14ac:dyDescent="0.3"/>
    <row r="2" spans="1:16" s="11" customFormat="1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11" customFormat="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25.2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88D1-FEFA-42E5-BC5A-F2EFF63E101C}">
  <dimension ref="A1:Z26"/>
  <sheetViews>
    <sheetView showGridLines="0" tabSelected="1" zoomScale="67" workbookViewId="0">
      <selection activeCell="N35" sqref="N35"/>
    </sheetView>
  </sheetViews>
  <sheetFormatPr defaultColWidth="15.77734375" defaultRowHeight="15" customHeight="1" x14ac:dyDescent="0.3"/>
  <sheetData>
    <row r="1" spans="1:26" ht="1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3" customFormat="1" ht="15" customHeight="1" x14ac:dyDescent="0.3"/>
    <row r="3" spans="1:26" s="13" customFormat="1" ht="15" customHeight="1" x14ac:dyDescent="0.3"/>
    <row r="4" spans="1:26" s="2" customFormat="1" ht="15" customHeight="1" x14ac:dyDescent="0.3"/>
    <row r="5" spans="1:26" s="2" customFormat="1" ht="15" customHeight="1" x14ac:dyDescent="0.3"/>
    <row r="6" spans="1:26" s="2" customFormat="1" ht="15" customHeight="1" x14ac:dyDescent="0.3"/>
    <row r="10" spans="1:26" s="11" customFormat="1" ht="1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26" s="11" customFormat="1" ht="1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25" spans="1:14" ht="1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mergeCells count="5">
    <mergeCell ref="A10:N11"/>
    <mergeCell ref="A25:N26"/>
    <mergeCell ref="A1:Z1"/>
    <mergeCell ref="A4:XFD6"/>
    <mergeCell ref="A2:XF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25AA-661C-4F7A-93F7-8C530E751FB8}">
  <dimension ref="C8:Y49"/>
  <sheetViews>
    <sheetView topLeftCell="L25" zoomScale="102" workbookViewId="0">
      <selection activeCell="O43" sqref="O43:P48"/>
    </sheetView>
  </sheetViews>
  <sheetFormatPr defaultRowHeight="14.4" x14ac:dyDescent="0.3"/>
  <cols>
    <col min="3" max="3" width="24.88671875" bestFit="1" customWidth="1"/>
    <col min="6" max="6" width="12" bestFit="1" customWidth="1"/>
    <col min="8" max="8" width="12.5546875" bestFit="1" customWidth="1"/>
    <col min="9" max="9" width="19.77734375" bestFit="1" customWidth="1"/>
    <col min="11" max="11" width="12.5546875" bestFit="1" customWidth="1"/>
    <col min="12" max="12" width="19.77734375" bestFit="1" customWidth="1"/>
    <col min="13" max="13" width="14" bestFit="1" customWidth="1"/>
    <col min="14" max="14" width="11" bestFit="1" customWidth="1"/>
    <col min="15" max="15" width="12.88671875" bestFit="1" customWidth="1"/>
    <col min="16" max="16" width="19.77734375" bestFit="1" customWidth="1"/>
    <col min="17" max="17" width="19.6640625" bestFit="1" customWidth="1"/>
    <col min="19" max="19" width="11.109375" customWidth="1"/>
    <col min="22" max="22" width="11.5546875" customWidth="1"/>
    <col min="23" max="23" width="13.77734375" customWidth="1"/>
    <col min="24" max="24" width="12.88671875" bestFit="1" customWidth="1"/>
    <col min="25" max="25" width="21.77734375" bestFit="1" customWidth="1"/>
  </cols>
  <sheetData>
    <row r="8" spans="3:17" x14ac:dyDescent="0.3">
      <c r="H8" s="8" t="s">
        <v>1793</v>
      </c>
      <c r="I8" t="s">
        <v>1801</v>
      </c>
      <c r="K8" s="8" t="s">
        <v>1793</v>
      </c>
      <c r="L8" t="s">
        <v>1801</v>
      </c>
      <c r="P8" t="s">
        <v>1804</v>
      </c>
      <c r="Q8">
        <f>SUM(Inventory_Data!L:L)</f>
        <v>3501388032</v>
      </c>
    </row>
    <row r="9" spans="3:17" x14ac:dyDescent="0.3">
      <c r="C9" s="3" t="s">
        <v>1784</v>
      </c>
      <c r="D9" s="1"/>
      <c r="E9" s="1"/>
      <c r="F9" s="1">
        <f>SUM(Orders_Data!O2:O1201)</f>
        <v>128551497.20000005</v>
      </c>
      <c r="H9" s="9" t="s">
        <v>54</v>
      </c>
      <c r="I9" s="10">
        <v>51979377.600000016</v>
      </c>
      <c r="K9" s="9" t="s">
        <v>27</v>
      </c>
      <c r="L9" s="10">
        <v>36166621.699999996</v>
      </c>
      <c r="P9" t="s">
        <v>1805</v>
      </c>
      <c r="Q9">
        <f>SUM(Inventory_Data!H:H)</f>
        <v>110575</v>
      </c>
    </row>
    <row r="10" spans="3:17" x14ac:dyDescent="0.3">
      <c r="C10" s="3" t="s">
        <v>1785</v>
      </c>
      <c r="D10" s="1"/>
      <c r="E10" s="1"/>
      <c r="F10" s="1">
        <f>SUM(Orders_Data!Q2:Q1201)</f>
        <v>26569883.089999992</v>
      </c>
      <c r="H10" s="9" t="s">
        <v>30</v>
      </c>
      <c r="I10" s="10">
        <v>22361289.449999999</v>
      </c>
      <c r="K10" s="9" t="s">
        <v>51</v>
      </c>
      <c r="L10" s="10">
        <v>35315600.54999999</v>
      </c>
      <c r="P10" t="s">
        <v>1806</v>
      </c>
      <c r="Q10">
        <f>COUNTIF(Inventory_Data!Q:Q,"Low")</f>
        <v>199</v>
      </c>
    </row>
    <row r="11" spans="3:17" x14ac:dyDescent="0.3">
      <c r="C11" s="3" t="s">
        <v>1786</v>
      </c>
      <c r="D11" s="1"/>
      <c r="E11" s="1"/>
      <c r="F11" s="1">
        <f>COUNTA(Orders_Data!A2:A1201)</f>
        <v>1200</v>
      </c>
      <c r="H11" s="9" t="s">
        <v>71</v>
      </c>
      <c r="I11" s="10">
        <v>35609202.349999987</v>
      </c>
      <c r="K11" s="9" t="s">
        <v>61</v>
      </c>
      <c r="L11" s="10">
        <v>19237990.599999994</v>
      </c>
      <c r="P11" t="s">
        <v>1807</v>
      </c>
      <c r="Q11">
        <f>AVERAGE(Inventory_Data!O:O)</f>
        <v>4.2714999999999996</v>
      </c>
    </row>
    <row r="12" spans="3:17" x14ac:dyDescent="0.3">
      <c r="C12" s="3" t="s">
        <v>1787</v>
      </c>
      <c r="D12" s="1"/>
      <c r="E12" s="1"/>
      <c r="F12" s="1"/>
      <c r="H12" s="9" t="s">
        <v>102</v>
      </c>
      <c r="I12" s="10">
        <v>18601627.800000001</v>
      </c>
      <c r="K12" s="9" t="s">
        <v>41</v>
      </c>
      <c r="L12" s="10">
        <v>37831284.350000024</v>
      </c>
    </row>
    <row r="13" spans="3:17" x14ac:dyDescent="0.3">
      <c r="C13" s="3" t="s">
        <v>1788</v>
      </c>
      <c r="D13" s="1"/>
      <c r="E13" s="1"/>
      <c r="F13" s="1"/>
      <c r="H13" s="9" t="s">
        <v>1794</v>
      </c>
      <c r="I13" s="10">
        <v>128551497.2</v>
      </c>
      <c r="K13" s="9" t="s">
        <v>1794</v>
      </c>
      <c r="L13" s="10">
        <v>128551497.2</v>
      </c>
    </row>
    <row r="14" spans="3:17" x14ac:dyDescent="0.3">
      <c r="C14" s="3" t="s">
        <v>1789</v>
      </c>
      <c r="D14" s="1"/>
      <c r="E14" s="1"/>
      <c r="F14" s="1"/>
    </row>
    <row r="15" spans="3:17" x14ac:dyDescent="0.3">
      <c r="C15" s="3" t="s">
        <v>1790</v>
      </c>
      <c r="D15" s="1"/>
      <c r="E15" s="1"/>
      <c r="F15" s="1"/>
    </row>
    <row r="16" spans="3:17" x14ac:dyDescent="0.3">
      <c r="C16" s="3" t="s">
        <v>1791</v>
      </c>
      <c r="D16" s="1"/>
      <c r="E16" s="1"/>
      <c r="F16" s="1"/>
      <c r="P16" t="s">
        <v>1808</v>
      </c>
    </row>
    <row r="17" spans="3:25" x14ac:dyDescent="0.3">
      <c r="C17" s="3"/>
      <c r="D17" s="1"/>
      <c r="E17" s="1"/>
      <c r="F17" s="1"/>
      <c r="P17" t="s">
        <v>1809</v>
      </c>
    </row>
    <row r="18" spans="3:25" x14ac:dyDescent="0.3">
      <c r="C18" s="3" t="s">
        <v>1792</v>
      </c>
      <c r="D18" s="1"/>
      <c r="E18" s="1"/>
      <c r="F18" s="1"/>
      <c r="P18" t="s">
        <v>1810</v>
      </c>
    </row>
    <row r="19" spans="3:25" x14ac:dyDescent="0.3">
      <c r="C19" s="1"/>
      <c r="D19" s="1"/>
      <c r="E19" s="1"/>
      <c r="F19" s="1"/>
      <c r="P19" t="s">
        <v>1811</v>
      </c>
    </row>
    <row r="20" spans="3:25" x14ac:dyDescent="0.3">
      <c r="C20" s="1"/>
      <c r="D20" s="1"/>
      <c r="E20" s="1"/>
      <c r="F20" s="1"/>
      <c r="P20" t="s">
        <v>1812</v>
      </c>
    </row>
    <row r="21" spans="3:25" x14ac:dyDescent="0.3">
      <c r="C21" s="3"/>
      <c r="D21" s="1"/>
      <c r="E21" s="1"/>
      <c r="F21" s="1"/>
      <c r="P21" t="s">
        <v>1813</v>
      </c>
    </row>
    <row r="22" spans="3:25" x14ac:dyDescent="0.3">
      <c r="C22" s="3" t="str" cm="1">
        <f t="array" ref="C22:C24">_xlfn.UNIQUE(Orders_Data!R2:R1201)</f>
        <v>Card</v>
      </c>
      <c r="D22" s="1">
        <f>SUMIF(Orders_Data!R2:R1201,Sheet2!C22,Orders_Data!O2:O1201)</f>
        <v>44834764.650000036</v>
      </c>
      <c r="E22" s="1"/>
      <c r="F22" s="1"/>
      <c r="H22" s="8" t="s">
        <v>1793</v>
      </c>
      <c r="I22" t="s">
        <v>1801</v>
      </c>
      <c r="K22" t="str" cm="1">
        <f t="array" ref="K22:K25">_xlfn.UNIQUE(Orders_Data!J2:J1201)</f>
        <v>Fashion</v>
      </c>
      <c r="L22" t="str" cm="1">
        <f t="array" ref="L22:L27">_xlfn.UNIQUE(Orders_Data!K2:K1201)</f>
        <v>Shoes</v>
      </c>
      <c r="N22">
        <f>SUMIF(Orders_Data!K2:K1201,Sheet2!L22,Orders_Data!O2:O1201)</f>
        <v>22361289.449999999</v>
      </c>
    </row>
    <row r="23" spans="3:25" x14ac:dyDescent="0.3">
      <c r="C23" s="3" t="str">
        <v>UPI</v>
      </c>
      <c r="D23" s="1">
        <f>SUMIF(Orders_Data!R3:R1202,Sheet2!C23,Orders_Data!O3:O1202)</f>
        <v>43313306.150000013</v>
      </c>
      <c r="E23" s="1"/>
      <c r="F23" s="1"/>
      <c r="H23" s="9" t="s">
        <v>1795</v>
      </c>
      <c r="I23" s="10">
        <v>22099242.399999995</v>
      </c>
      <c r="K23" t="str">
        <v>Electronics</v>
      </c>
      <c r="L23" t="str">
        <v>Laptop</v>
      </c>
      <c r="N23">
        <f>SUMIF(Orders_Data!K3:K1202,Sheet2!L23,Orders_Data!O3:O1202)</f>
        <v>25229311.000000004</v>
      </c>
    </row>
    <row r="24" spans="3:25" x14ac:dyDescent="0.3">
      <c r="C24" s="3" t="str">
        <v>Cash</v>
      </c>
      <c r="D24" s="1">
        <f>SUMIF(Orders_Data!R4:R1203,Sheet2!C24,Orders_Data!O4:O1203)</f>
        <v>40403426.399999984</v>
      </c>
      <c r="E24" s="1"/>
      <c r="F24" s="1"/>
      <c r="H24" s="9" t="s">
        <v>1796</v>
      </c>
      <c r="I24" s="10">
        <v>20583785.75</v>
      </c>
      <c r="K24" t="str">
        <v>Furniture</v>
      </c>
      <c r="L24" t="str">
        <v>Table</v>
      </c>
      <c r="N24">
        <f>SUMIF(Orders_Data!K4:K1203,Sheet2!L24,Orders_Data!O4:O1203)</f>
        <v>19088733.049999993</v>
      </c>
      <c r="P24">
        <v>1</v>
      </c>
      <c r="S24">
        <v>3</v>
      </c>
      <c r="V24">
        <v>4</v>
      </c>
    </row>
    <row r="25" spans="3:25" x14ac:dyDescent="0.3">
      <c r="C25" s="3"/>
      <c r="D25" s="1"/>
      <c r="E25" s="1"/>
      <c r="F25" s="1"/>
      <c r="H25" s="9" t="s">
        <v>1797</v>
      </c>
      <c r="I25" s="10">
        <v>21674450.649999991</v>
      </c>
      <c r="K25" t="str">
        <v>Home</v>
      </c>
      <c r="L25" t="str">
        <v>Chair</v>
      </c>
      <c r="N25">
        <f>SUMIF(Orders_Data!K5:K1204,Sheet2!L25,Orders_Data!O5:O1204)</f>
        <v>16520469.300000001</v>
      </c>
      <c r="P25" s="8" t="s">
        <v>1793</v>
      </c>
      <c r="Q25" t="s">
        <v>1814</v>
      </c>
      <c r="S25" t="str" cm="1">
        <f t="array" ref="S25:S27">_xlfn.UNIQUE(Inventory_Data!Q2:Q801)</f>
        <v>Normal</v>
      </c>
      <c r="T25">
        <f>COUNTIF(Inventory_Data!Q2:Q801,"normal")</f>
        <v>595</v>
      </c>
      <c r="V25" s="9" t="s">
        <v>54</v>
      </c>
      <c r="W25">
        <f>SUMIF(Inventory_Data!C2:C801,Sheet2!V25,Inventory_Data!L2:L801)</f>
        <v>1377056604</v>
      </c>
      <c r="X25" s="8" t="s">
        <v>1793</v>
      </c>
      <c r="Y25" t="s">
        <v>1815</v>
      </c>
    </row>
    <row r="26" spans="3:25" x14ac:dyDescent="0.3">
      <c r="C26" s="3"/>
      <c r="D26" s="1"/>
      <c r="E26" s="1"/>
      <c r="F26" s="1"/>
      <c r="H26" s="9" t="s">
        <v>1798</v>
      </c>
      <c r="I26" s="10">
        <v>21362114.899999999</v>
      </c>
      <c r="L26" t="str">
        <v>Mobile</v>
      </c>
      <c r="N26">
        <f>SUMIF(Orders_Data!K6:K1205,Sheet2!L26,Orders_Data!O6:O1205)</f>
        <v>26750066.599999994</v>
      </c>
      <c r="P26" s="9" t="s">
        <v>54</v>
      </c>
      <c r="Q26" s="10">
        <v>43296</v>
      </c>
      <c r="S26" t="str">
        <v>Low</v>
      </c>
      <c r="T26">
        <f>COUNTIF(Inventory_Data!Q3:Q802,"Low")</f>
        <v>199</v>
      </c>
      <c r="V26" s="9" t="s">
        <v>30</v>
      </c>
      <c r="W26">
        <f>SUMIF(Inventory_Data!C3:C802,Sheet2!V26,Inventory_Data!L3:L802)</f>
        <v>524563735</v>
      </c>
      <c r="X26" s="9" t="s">
        <v>54</v>
      </c>
      <c r="Y26" s="10">
        <v>1377056604</v>
      </c>
    </row>
    <row r="27" spans="3:25" x14ac:dyDescent="0.3">
      <c r="C27" s="3" t="s">
        <v>1802</v>
      </c>
      <c r="D27" s="1">
        <f>SUMIF(Orders_Data!S2:S1201,Sheet2!C27,Orders_Data!O2:O1201)</f>
        <v>58935604.800000049</v>
      </c>
      <c r="E27" s="1"/>
      <c r="F27" s="1"/>
      <c r="H27" s="9" t="s">
        <v>1799</v>
      </c>
      <c r="I27" s="10">
        <v>24400840.349999994</v>
      </c>
      <c r="L27" t="str">
        <v>Mixer</v>
      </c>
      <c r="N27">
        <f>SUMIF(Orders_Data!K7:K1206,Sheet2!L27,Orders_Data!O7:O1206)</f>
        <v>18601627.800000001</v>
      </c>
      <c r="P27" s="9" t="s">
        <v>30</v>
      </c>
      <c r="Q27" s="10">
        <v>17065</v>
      </c>
      <c r="S27" t="str">
        <v>Out</v>
      </c>
      <c r="T27">
        <f>COUNTIF(Inventory_Data!Q4:Q803,"out")</f>
        <v>6</v>
      </c>
      <c r="V27" s="9" t="s">
        <v>71</v>
      </c>
      <c r="W27">
        <f>SUMIF(Inventory_Data!C4:C803,Sheet2!V27,Inventory_Data!L4:L803)</f>
        <v>1034468318</v>
      </c>
      <c r="X27" s="9" t="s">
        <v>30</v>
      </c>
      <c r="Y27" s="10">
        <v>524563735</v>
      </c>
    </row>
    <row r="28" spans="3:25" x14ac:dyDescent="0.3">
      <c r="C28" s="3" t="s">
        <v>1803</v>
      </c>
      <c r="D28" s="1">
        <f>SUMIF(Orders_Data!S3:S1202,Sheet2!C28,Orders_Data!O3:O1202)</f>
        <v>69491152.400000006</v>
      </c>
      <c r="E28" s="1"/>
      <c r="F28" s="1"/>
      <c r="H28" s="9" t="s">
        <v>1800</v>
      </c>
      <c r="I28" s="10">
        <v>18431063.149999995</v>
      </c>
      <c r="P28" s="9" t="s">
        <v>71</v>
      </c>
      <c r="Q28" s="10">
        <v>32028</v>
      </c>
      <c r="V28" s="9" t="s">
        <v>102</v>
      </c>
      <c r="W28">
        <f>SUMIF(Inventory_Data!C5:C804,Sheet2!V28,Inventory_Data!L5:L804)</f>
        <v>565299375</v>
      </c>
      <c r="X28" s="9" t="s">
        <v>71</v>
      </c>
      <c r="Y28" s="10">
        <v>1034468318</v>
      </c>
    </row>
    <row r="29" spans="3:25" x14ac:dyDescent="0.3">
      <c r="C29" s="3"/>
      <c r="D29" s="1"/>
      <c r="E29" s="1"/>
      <c r="F29" s="1"/>
      <c r="H29" s="9" t="s">
        <v>1794</v>
      </c>
      <c r="I29" s="10">
        <v>128551497.19999997</v>
      </c>
      <c r="P29" s="9" t="s">
        <v>102</v>
      </c>
      <c r="Q29" s="10">
        <v>18186</v>
      </c>
      <c r="X29" s="9" t="s">
        <v>102</v>
      </c>
      <c r="Y29" s="10">
        <v>565299375</v>
      </c>
    </row>
    <row r="30" spans="3:25" x14ac:dyDescent="0.3">
      <c r="C30" s="3"/>
      <c r="D30" s="1"/>
      <c r="E30" s="1"/>
      <c r="F30" s="1"/>
      <c r="P30" s="9" t="s">
        <v>1794</v>
      </c>
      <c r="Q30" s="10">
        <v>110575</v>
      </c>
      <c r="X30" s="9" t="s">
        <v>1794</v>
      </c>
      <c r="Y30" s="10">
        <v>3501388032</v>
      </c>
    </row>
    <row r="31" spans="3:25" x14ac:dyDescent="0.3">
      <c r="C31" s="3"/>
      <c r="D31" s="1"/>
      <c r="E31" s="1"/>
      <c r="F31" s="1"/>
    </row>
    <row r="32" spans="3:25" x14ac:dyDescent="0.3">
      <c r="C32" s="3"/>
      <c r="D32" s="1"/>
      <c r="E32" s="1"/>
      <c r="F32" s="1"/>
    </row>
    <row r="33" spans="3:23" x14ac:dyDescent="0.3">
      <c r="C33" s="3"/>
      <c r="D33" s="1"/>
      <c r="E33" s="1"/>
      <c r="F33" s="1"/>
      <c r="U33">
        <v>5</v>
      </c>
      <c r="W33">
        <v>6</v>
      </c>
    </row>
    <row r="34" spans="3:23" x14ac:dyDescent="0.3">
      <c r="K34" t="s">
        <v>1816</v>
      </c>
      <c r="L34" t="s">
        <v>1817</v>
      </c>
      <c r="M34" t="s">
        <v>1818</v>
      </c>
      <c r="T34" cm="1">
        <f t="array" ref="T34:T49">_xlfn.UNIQUE(Inventory_Data!O2:O801)</f>
        <v>4.5999999999999996</v>
      </c>
      <c r="U34">
        <f>COUNTIF(Inventory_Data!O:O,T34)</f>
        <v>61</v>
      </c>
    </row>
    <row r="35" spans="3:23" x14ac:dyDescent="0.3">
      <c r="K35" s="9" t="s">
        <v>54</v>
      </c>
      <c r="L35">
        <f>SUMIF(Inventory_Data!C2:C801,Sheet2!K35,Inventory_Data!H2:H801)</f>
        <v>43296</v>
      </c>
      <c r="M35">
        <f>SUMIF(Inventory_Data!C2:C801,Sheet2!K35,Inventory_Data!L2:L801)</f>
        <v>1377056604</v>
      </c>
      <c r="P35">
        <v>2</v>
      </c>
      <c r="T35">
        <v>3.8</v>
      </c>
      <c r="U35">
        <f>COUNTIF(Inventory_Data!O:O,T35)</f>
        <v>42</v>
      </c>
    </row>
    <row r="36" spans="3:23" x14ac:dyDescent="0.3">
      <c r="K36" s="9" t="s">
        <v>30</v>
      </c>
      <c r="L36">
        <f>SUMIF(Inventory_Data!C3:C802,Sheet2!K36,Inventory_Data!H3:H802)</f>
        <v>17065</v>
      </c>
      <c r="M36">
        <f>SUMIF(Inventory_Data!C3:C802,Sheet2!K36,Inventory_Data!L3:L802)</f>
        <v>524563735</v>
      </c>
      <c r="P36" t="str" cm="1">
        <f t="array" ref="P36:P39">_xlfn.UNIQUE(Inventory_Data!D2:D801)</f>
        <v>Bengaluru WH</v>
      </c>
      <c r="Q36">
        <f>SUMIF(Inventory_Data!D2:D801,Sheet2!P36,Inventory_Data!H2:H801)</f>
        <v>28209</v>
      </c>
      <c r="T36">
        <v>4.0999999999999996</v>
      </c>
      <c r="U36">
        <f>COUNTIF(Inventory_Data!O:O,T36)</f>
        <v>56</v>
      </c>
    </row>
    <row r="37" spans="3:23" x14ac:dyDescent="0.3">
      <c r="K37" s="9" t="s">
        <v>71</v>
      </c>
      <c r="L37">
        <f>SUMIF(Inventory_Data!C4:C803,Sheet2!K37,Inventory_Data!H4:H803)</f>
        <v>32028</v>
      </c>
      <c r="M37">
        <f>SUMIF(Inventory_Data!C4:C803,Sheet2!K37,Inventory_Data!L4:L803)</f>
        <v>1034468318</v>
      </c>
      <c r="P37" t="str">
        <v>Kolkata WH</v>
      </c>
      <c r="Q37">
        <f>SUMIF(Inventory_Data!D3:D802,Sheet2!P37,Inventory_Data!H3:H802)</f>
        <v>26061</v>
      </c>
      <c r="T37">
        <v>4.9000000000000004</v>
      </c>
      <c r="U37">
        <f>COUNTIF(Inventory_Data!O:O,T37)</f>
        <v>56</v>
      </c>
    </row>
    <row r="38" spans="3:23" x14ac:dyDescent="0.3">
      <c r="K38" s="9" t="s">
        <v>102</v>
      </c>
      <c r="L38">
        <f>SUMIF(Inventory_Data!C5:C804,Sheet2!K38,Inventory_Data!H5:H804)</f>
        <v>18186</v>
      </c>
      <c r="M38">
        <f>SUMIF(Inventory_Data!C5:C804,Sheet2!K38,Inventory_Data!L5:L804)</f>
        <v>565299375</v>
      </c>
      <c r="P38" t="str">
        <v>Delhi WH</v>
      </c>
      <c r="Q38">
        <f>SUMIF(Inventory_Data!D4:D803,Sheet2!P38,Inventory_Data!H4:H803)</f>
        <v>29826</v>
      </c>
      <c r="T38">
        <v>4.2</v>
      </c>
      <c r="U38">
        <f>COUNTIF(Inventory_Data!O:O,T38)</f>
        <v>54</v>
      </c>
    </row>
    <row r="39" spans="3:23" x14ac:dyDescent="0.3">
      <c r="P39" t="str">
        <v>Mumbai WH</v>
      </c>
      <c r="Q39">
        <f>SUMIF(Inventory_Data!D5:D804,Sheet2!P39,Inventory_Data!H5:H804)</f>
        <v>26479</v>
      </c>
      <c r="T39">
        <v>3.7</v>
      </c>
      <c r="U39">
        <f>COUNTIF(Inventory_Data!O:O,T39)</f>
        <v>51</v>
      </c>
    </row>
    <row r="40" spans="3:23" x14ac:dyDescent="0.3">
      <c r="T40">
        <v>4.3</v>
      </c>
      <c r="U40">
        <f>COUNTIF(Inventory_Data!O:O,T40)</f>
        <v>66</v>
      </c>
    </row>
    <row r="41" spans="3:23" x14ac:dyDescent="0.3">
      <c r="T41">
        <v>3.6</v>
      </c>
      <c r="U41">
        <f>COUNTIF(Inventory_Data!O:O,T41)</f>
        <v>51</v>
      </c>
    </row>
    <row r="42" spans="3:23" x14ac:dyDescent="0.3">
      <c r="T42">
        <v>3.9</v>
      </c>
      <c r="U42">
        <f>COUNTIF(Inventory_Data!O:O,T42)</f>
        <v>50</v>
      </c>
    </row>
    <row r="43" spans="3:23" x14ac:dyDescent="0.3">
      <c r="O43" s="8" t="s">
        <v>1793</v>
      </c>
      <c r="P43" t="s">
        <v>1814</v>
      </c>
      <c r="T43">
        <v>4.7</v>
      </c>
      <c r="U43">
        <f>COUNTIF(Inventory_Data!O:O,T43)</f>
        <v>47</v>
      </c>
    </row>
    <row r="44" spans="3:23" x14ac:dyDescent="0.3">
      <c r="O44" s="9" t="s">
        <v>1777</v>
      </c>
      <c r="P44" s="10">
        <v>28835</v>
      </c>
      <c r="T44">
        <v>4.5</v>
      </c>
      <c r="U44">
        <f>COUNTIF(Inventory_Data!O:O,T44)</f>
        <v>57</v>
      </c>
    </row>
    <row r="45" spans="3:23" x14ac:dyDescent="0.3">
      <c r="O45" s="9" t="s">
        <v>1779</v>
      </c>
      <c r="P45" s="10">
        <v>25128</v>
      </c>
      <c r="T45">
        <v>4.8</v>
      </c>
      <c r="U45">
        <f>COUNTIF(Inventory_Data!O:O,T45)</f>
        <v>53</v>
      </c>
    </row>
    <row r="46" spans="3:23" x14ac:dyDescent="0.3">
      <c r="O46" s="9" t="s">
        <v>1781</v>
      </c>
      <c r="P46" s="10">
        <v>30673</v>
      </c>
      <c r="T46">
        <v>4.4000000000000004</v>
      </c>
      <c r="U46">
        <f>COUNTIF(Inventory_Data!O:O,T46)</f>
        <v>62</v>
      </c>
    </row>
    <row r="47" spans="3:23" x14ac:dyDescent="0.3">
      <c r="O47" s="9" t="s">
        <v>1774</v>
      </c>
      <c r="P47" s="10">
        <v>25939</v>
      </c>
      <c r="T47">
        <v>3.5</v>
      </c>
      <c r="U47">
        <f>COUNTIF(Inventory_Data!O:O,T47)</f>
        <v>23</v>
      </c>
    </row>
    <row r="48" spans="3:23" x14ac:dyDescent="0.3">
      <c r="O48" s="9" t="s">
        <v>1794</v>
      </c>
      <c r="P48" s="10">
        <v>110575</v>
      </c>
      <c r="T48">
        <v>4</v>
      </c>
      <c r="U48">
        <f>COUNTIF(Inventory_Data!O:O,T48)</f>
        <v>45</v>
      </c>
    </row>
    <row r="49" spans="20:21" x14ac:dyDescent="0.3">
      <c r="T49">
        <v>5</v>
      </c>
      <c r="U49">
        <f>COUNTIF(Inventory_Data!O:O,T49)</f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Orders_Data</vt:lpstr>
      <vt:lpstr>Inventory_Data</vt:lpstr>
      <vt:lpstr>Order Dashboard</vt:lpstr>
      <vt:lpstr>Inventory Dashboard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Lakshay Parashar</cp:lastModifiedBy>
  <dcterms:created xsi:type="dcterms:W3CDTF">2026-07-18T11:21:36Z</dcterms:created>
  <dcterms:modified xsi:type="dcterms:W3CDTF">2026-07-18T20:40:43Z</dcterms:modified>
</cp:coreProperties>
</file>